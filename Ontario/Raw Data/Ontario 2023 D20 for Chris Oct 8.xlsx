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Nearshore Rotifers\Ontario\Raw Data\"/>
    </mc:Choice>
  </mc:AlternateContent>
  <xr:revisionPtr revIDLastSave="0" documentId="13_ncr:1_{D26E170C-E17F-4402-A313-696DBECEC960}" xr6:coauthVersionLast="47" xr6:coauthVersionMax="47" xr10:uidLastSave="{00000000-0000-0000-0000-000000000000}"/>
  <bookViews>
    <workbookView xWindow="-120" yWindow="-120" windowWidth="29040" windowHeight="15720" activeTab="3" xr2:uid="{C638C6A3-D0E4-694A-82C4-3310F222C03C}"/>
  </bookViews>
  <sheets>
    <sheet name="pivot vol biomass" sheetId="6" r:id="rId1"/>
    <sheet name="pivot ind bio" sheetId="7" r:id="rId2"/>
    <sheet name="D20 cnt" sheetId="5" r:id="rId3"/>
    <sheet name="D20 sample" sheetId="3" r:id="rId4"/>
  </sheets>
  <definedNames>
    <definedName name="_xlnm._FilterDatabase" localSheetId="2" hidden="1">'D20 cnt'!$A$1:$I$406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L9" i="3"/>
  <c r="G8" i="3"/>
  <c r="L8" i="3"/>
  <c r="G7" i="3"/>
  <c r="L7" i="3"/>
  <c r="G6" i="3"/>
  <c r="L6" i="3"/>
  <c r="G5" i="3"/>
  <c r="L5" i="3"/>
  <c r="G4" i="3"/>
  <c r="L4" i="3"/>
  <c r="G3" i="3"/>
  <c r="L3" i="3"/>
  <c r="G2" i="3"/>
  <c r="L2" i="3"/>
</calcChain>
</file>

<file path=xl/sharedStrings.xml><?xml version="1.0" encoding="utf-8"?>
<sst xmlns="http://schemas.openxmlformats.org/spreadsheetml/2006/main" count="2031" uniqueCount="131">
  <si>
    <t>Speccode</t>
  </si>
  <si>
    <t>Density</t>
  </si>
  <si>
    <t>Biomass mg m3</t>
  </si>
  <si>
    <t>Group</t>
  </si>
  <si>
    <t>23GO10I14</t>
  </si>
  <si>
    <t>ASCOVAL</t>
  </si>
  <si>
    <t>ROT</t>
  </si>
  <si>
    <t>ASPPRIO</t>
  </si>
  <si>
    <t>COLSP</t>
  </si>
  <si>
    <t>COOUNIC</t>
  </si>
  <si>
    <t>COPNAUP</t>
  </si>
  <si>
    <t>NAUP</t>
  </si>
  <si>
    <t>DREPOLYV</t>
  </si>
  <si>
    <t>DVEL</t>
  </si>
  <si>
    <t>GASSTYL</t>
  </si>
  <si>
    <t>KELLONG</t>
  </si>
  <si>
    <t>KERCOCH</t>
  </si>
  <si>
    <t>KERCRAS</t>
  </si>
  <si>
    <t>KEREARL</t>
  </si>
  <si>
    <t>KERQUAD</t>
  </si>
  <si>
    <t>PLOLENT</t>
  </si>
  <si>
    <t>PLOTRUN</t>
  </si>
  <si>
    <t>POLSP</t>
  </si>
  <si>
    <t>POLVULG</t>
  </si>
  <si>
    <t>SYNSP</t>
  </si>
  <si>
    <t>TRICYLI</t>
  </si>
  <si>
    <t>TRIMULT</t>
  </si>
  <si>
    <t>23GO10I34</t>
  </si>
  <si>
    <t>KERCOCHH</t>
  </si>
  <si>
    <t>PLOHUDS</t>
  </si>
  <si>
    <t>23GO10I54</t>
  </si>
  <si>
    <t>POLREMA</t>
  </si>
  <si>
    <t>23GO10I74</t>
  </si>
  <si>
    <t>23GO10I94</t>
  </si>
  <si>
    <t>ASCECAU</t>
  </si>
  <si>
    <t>TRIPUSI</t>
  </si>
  <si>
    <t>23GO11I14</t>
  </si>
  <si>
    <t>ASPHERR</t>
  </si>
  <si>
    <t>23GO11I34</t>
  </si>
  <si>
    <t>23GO11I54</t>
  </si>
  <si>
    <t>TRISP</t>
  </si>
  <si>
    <t>Sample ID</t>
  </si>
  <si>
    <t>Vol m3</t>
  </si>
  <si>
    <t>Avg Ind Wt</t>
  </si>
  <si>
    <t>Tow Depth</t>
  </si>
  <si>
    <t>Station</t>
  </si>
  <si>
    <t>Areal Bio g</t>
  </si>
  <si>
    <t>BOSLONG</t>
  </si>
  <si>
    <t>BYTLONG</t>
  </si>
  <si>
    <t>CECPENG</t>
  </si>
  <si>
    <t>CERLACU</t>
  </si>
  <si>
    <t>CYCCOPE</t>
  </si>
  <si>
    <t>DAPAMBI</t>
  </si>
  <si>
    <t>DAPGALEM</t>
  </si>
  <si>
    <t>DAPRETR</t>
  </si>
  <si>
    <t>DIACOPE</t>
  </si>
  <si>
    <t>DIYTHOM</t>
  </si>
  <si>
    <t>EPICOPE</t>
  </si>
  <si>
    <t>HOLGIBB</t>
  </si>
  <si>
    <t>LEOMINU</t>
  </si>
  <si>
    <t>LETKIND</t>
  </si>
  <si>
    <t>POYPEDI</t>
  </si>
  <si>
    <t>SKIOREG</t>
  </si>
  <si>
    <t>EPILACU</t>
  </si>
  <si>
    <t>EUBCORE</t>
  </si>
  <si>
    <t>CERSP</t>
  </si>
  <si>
    <t>CHYSPHA</t>
  </si>
  <si>
    <t>LEOSICO</t>
  </si>
  <si>
    <t>LEOSICI</t>
  </si>
  <si>
    <t>LIMMACR</t>
  </si>
  <si>
    <t>ON49</t>
  </si>
  <si>
    <t>NDAP</t>
  </si>
  <si>
    <t>Pred</t>
  </si>
  <si>
    <t>CYC</t>
  </si>
  <si>
    <t>DAP</t>
  </si>
  <si>
    <t>CAL</t>
  </si>
  <si>
    <t>ON55M</t>
  </si>
  <si>
    <t>ON60</t>
  </si>
  <si>
    <t>ON63</t>
  </si>
  <si>
    <t>ON12</t>
  </si>
  <si>
    <t>ON25</t>
  </si>
  <si>
    <t>ON33</t>
  </si>
  <si>
    <t>ON41</t>
  </si>
  <si>
    <t>LIMNO</t>
  </si>
  <si>
    <t>Row Labels</t>
  </si>
  <si>
    <t>(blank)</t>
  </si>
  <si>
    <t>Grand Total</t>
  </si>
  <si>
    <t>Column Labels</t>
  </si>
  <si>
    <t>Sum of Biomass mg m3</t>
  </si>
  <si>
    <t>Average of Avg Ind Wt</t>
  </si>
  <si>
    <t>Rot Split</t>
  </si>
  <si>
    <t>Rot vol</t>
  </si>
  <si>
    <t>Submlab</t>
  </si>
  <si>
    <t>REVS</t>
  </si>
  <si>
    <t>FMCALIB</t>
  </si>
  <si>
    <t>Eff</t>
  </si>
  <si>
    <t>Date</t>
  </si>
  <si>
    <t>Time UTC</t>
  </si>
  <si>
    <t>D or N</t>
  </si>
  <si>
    <t>D</t>
  </si>
  <si>
    <t>N</t>
  </si>
  <si>
    <t>Site Depth</t>
  </si>
  <si>
    <t xml:space="preserve">Lat </t>
  </si>
  <si>
    <t>Lon</t>
  </si>
  <si>
    <t>Rot Factor</t>
  </si>
  <si>
    <t>Basin</t>
  </si>
  <si>
    <t>W</t>
  </si>
  <si>
    <t>E</t>
  </si>
  <si>
    <t>23GO00I14</t>
  </si>
  <si>
    <t>23GO00I34</t>
  </si>
  <si>
    <t>23GO00I54</t>
  </si>
  <si>
    <t>23GO00I74</t>
  </si>
  <si>
    <t>23GO00I94</t>
  </si>
  <si>
    <t>23GO01I14</t>
  </si>
  <si>
    <t>23GO01I34</t>
  </si>
  <si>
    <t>ON33M</t>
  </si>
  <si>
    <t>23GO01I54</t>
  </si>
  <si>
    <t>NA</t>
  </si>
  <si>
    <t>CLA</t>
  </si>
  <si>
    <t>HARSP</t>
  </si>
  <si>
    <t>LIMCOPE</t>
  </si>
  <si>
    <t>LECSP</t>
  </si>
  <si>
    <t>POLMAJO</t>
  </si>
  <si>
    <t>NOTLAUR</t>
  </si>
  <si>
    <t>ALOSP</t>
  </si>
  <si>
    <t>DAPSP</t>
  </si>
  <si>
    <t>LEOASHL</t>
  </si>
  <si>
    <t>KERHIEM</t>
  </si>
  <si>
    <t>MONSP</t>
  </si>
  <si>
    <t>NOTACUM</t>
  </si>
  <si>
    <t>NOTSP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</si>
</sst>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m/d/yyyy;@"/>
    <numFmt numFmtId="167" formatCode="h:mm;@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65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166" fontId="5" fillId="0" borderId="0" xfId="0" applyNumberFormat="1" applyFont="1"/>
    <xf numFmtId="20" fontId="4" fillId="0" borderId="0" xfId="0" applyNumberFormat="1" applyFont="1"/>
    <xf numFmtId="0" fontId="6" fillId="0" borderId="0" xfId="0" applyFont="1"/>
    <xf numFmtId="166" fontId="4" fillId="0" borderId="0" xfId="0" applyNumberFormat="1" applyFont="1"/>
    <xf numFmtId="0" fontId="1" fillId="0" borderId="0" xfId="0" applyFont="1"/>
    <xf numFmtId="1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38.559791898151" createdVersion="8" refreshedVersion="8" minRefreshableVersion="3" recordCount="266" xr:uid="{6C6A5E23-48E5-1B4F-9E82-3F869B0AC0C7}">
  <cacheSource type="worksheet">
    <worksheetSource ref="A1:I1048576" sheet="D20 cnt"/>
  </cacheSource>
  <cacheFields count="9">
    <cacheField name="Sample ID" numFmtId="0">
      <sharedItems containsBlank="1"/>
    </cacheField>
    <cacheField name="Speccode" numFmtId="0">
      <sharedItems containsBlank="1" count="50">
        <s v="BOSLONG"/>
        <s v="BYTLONG"/>
        <s v="CECPENG"/>
        <s v="CERLACU"/>
        <s v="CYCCOPE"/>
        <s v="DAPAMBI"/>
        <s v="DAPGALEM"/>
        <s v="DAPRETR"/>
        <s v="DIACOPE"/>
        <s v="DIYTHOM"/>
        <s v="EPICOPE"/>
        <s v="HOLGIBB"/>
        <s v="LEOMINU"/>
        <s v="LETKIND"/>
        <s v="POYPEDI"/>
        <s v="SKIOREG"/>
        <s v="COPNAUP"/>
        <s v="DREPOLYV"/>
        <s v="ASCOVAL"/>
        <s v="ASPPRIO"/>
        <s v="COLSP"/>
        <s v="COOUNIC"/>
        <s v="GASSTYL"/>
        <s v="KELLONG"/>
        <s v="KERCOCH"/>
        <s v="KERCRAS"/>
        <s v="KEREARL"/>
        <s v="KERQUAD"/>
        <s v="PLOLENT"/>
        <s v="PLOTRUN"/>
        <s v="POLSP"/>
        <s v="POLVULG"/>
        <s v="SYNSP"/>
        <s v="TRICYLI"/>
        <s v="TRIMULT"/>
        <s v="EPILACU"/>
        <s v="EUBCORE"/>
        <s v="KERCOCHH"/>
        <s v="PLOHUDS"/>
        <s v="CERSP"/>
        <s v="POLREMA"/>
        <s v="ASCECAU"/>
        <s v="TRIPUSI"/>
        <s v="CHYSPHA"/>
        <s v="LEOSICO"/>
        <s v="ASPHERR"/>
        <s v="LEOSICI"/>
        <s v="LIMMACR"/>
        <s v="TRISP"/>
        <m/>
      </sharedItems>
    </cacheField>
    <cacheField name="Density" numFmtId="0">
      <sharedItems containsString="0" containsBlank="1" containsNumber="1" minValue="3.5615092160424133" maxValue="212655.2071848108"/>
    </cacheField>
    <cacheField name="Avg Ind Wt" numFmtId="0">
      <sharedItems containsString="0" containsBlank="1" containsNumber="1" minValue="1.2349373684210528E-3" maxValue="217.05038760344695"/>
    </cacheField>
    <cacheField name="Biomass mg m3" numFmtId="0">
      <sharedItems containsString="0" containsBlank="1" containsNumber="1" minValue="1.8998286825466825E-3" maxValue="27.984424818191236"/>
    </cacheField>
    <cacheField name="Tow Depth" numFmtId="0">
      <sharedItems containsString="0" containsBlank="1" containsNumber="1" containsInteger="1" minValue="20" maxValue="20"/>
    </cacheField>
    <cacheField name="Station" numFmtId="0">
      <sharedItems containsBlank="1" count="9">
        <s v="ON49"/>
        <s v="ON55M"/>
        <s v="ON60"/>
        <s v="ON63"/>
        <s v="ON12"/>
        <s v="ON25"/>
        <s v="ON33"/>
        <s v="ON41"/>
        <m/>
      </sharedItems>
    </cacheField>
    <cacheField name="Areal Bio g" numFmtId="0">
      <sharedItems containsString="0" containsBlank="1" containsNumber="1" minValue="3.7996573650933647E-5" maxValue="0.55968849636382467"/>
    </cacheField>
    <cacheField name="Group" numFmtId="0">
      <sharedItems containsBlank="1" count="10">
        <s v="NDAP"/>
        <s v="Pred"/>
        <s v="CYC"/>
        <s v="DAP"/>
        <s v="CAL"/>
        <s v="NAUP"/>
        <s v="DVEL"/>
        <s v="ROT"/>
        <s v="LIM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s v="23GO10I14"/>
    <x v="0"/>
    <n v="8259.3493725444769"/>
    <n v="1.0437400713273599"/>
    <n v="8.6206139032171585"/>
    <n v="20"/>
    <x v="0"/>
    <n v="0.17241227806434317"/>
    <x v="0"/>
  </r>
  <r>
    <s v="23GO10I14"/>
    <x v="1"/>
    <n v="4.1900108424028399"/>
    <n v="160.08010227458445"/>
    <n v="0.67073736418346441"/>
    <n v="20"/>
    <x v="0"/>
    <n v="1.3414747283669289E-2"/>
    <x v="1"/>
  </r>
  <r>
    <s v="23GO10I14"/>
    <x v="2"/>
    <n v="497.35428699321704"/>
    <n v="3.4534425479836726"/>
    <n v="1.7175844561244582"/>
    <n v="20"/>
    <x v="0"/>
    <n v="3.4351689122489162E-2"/>
    <x v="1"/>
  </r>
  <r>
    <s v="23GO10I14"/>
    <x v="3"/>
    <n v="35.754759188504231"/>
    <n v="0.87278424078620287"/>
    <n v="3.1206190352832178E-2"/>
    <n v="20"/>
    <x v="0"/>
    <n v="6.241238070566436E-4"/>
    <x v="0"/>
  </r>
  <r>
    <s v="23GO10I14"/>
    <x v="4"/>
    <n v="572.07614701606769"/>
    <n v="0.53833491389303256"/>
    <n v="0.30796856334415262"/>
    <n v="20"/>
    <x v="0"/>
    <n v="6.1593712668830524E-3"/>
    <x v="2"/>
  </r>
  <r>
    <s v="23GO10I14"/>
    <x v="5"/>
    <n v="35.754759188504231"/>
    <n v="2.740269522336181"/>
    <n v="9.7977676882727668E-2"/>
    <n v="20"/>
    <x v="0"/>
    <n v="1.9595535376545534E-3"/>
    <x v="3"/>
  </r>
  <r>
    <s v="23GO10I14"/>
    <x v="6"/>
    <n v="3003.3997718343553"/>
    <n v="2.7919187532000032"/>
    <n v="8.3852481463409472"/>
    <n v="20"/>
    <x v="0"/>
    <n v="0.16770496292681894"/>
    <x v="3"/>
  </r>
  <r>
    <s v="23GO10I14"/>
    <x v="7"/>
    <n v="2681.6069391378173"/>
    <n v="2.2341816729009794"/>
    <n v="5.9911970773458032"/>
    <n v="20"/>
    <x v="0"/>
    <n v="0.11982394154691606"/>
    <x v="3"/>
  </r>
  <r>
    <s v="23GO10I14"/>
    <x v="8"/>
    <n v="214.52855513102537"/>
    <n v="2.767971329571131"/>
    <n v="0.59380888997699799"/>
    <n v="20"/>
    <x v="0"/>
    <n v="1.187617779953996E-2"/>
    <x v="4"/>
  </r>
  <r>
    <s v="23GO10I14"/>
    <x v="9"/>
    <n v="321.79283269653808"/>
    <n v="2.5454454656309209"/>
    <n v="0.81910610685993246"/>
    <n v="20"/>
    <x v="0"/>
    <n v="1.6382122137198651E-2"/>
    <x v="2"/>
  </r>
  <r>
    <s v="23GO10I14"/>
    <x v="10"/>
    <n v="35.754759188504231"/>
    <n v="10.223773996840388"/>
    <n v="0.36554857725471945"/>
    <n v="20"/>
    <x v="0"/>
    <n v="7.3109715450943892E-3"/>
    <x v="4"/>
  </r>
  <r>
    <s v="23GO10I14"/>
    <x v="11"/>
    <n v="2574.3426615723047"/>
    <n v="1.0119477363925313"/>
    <n v="2.6051002290768177"/>
    <n v="20"/>
    <x v="0"/>
    <n v="5.2102004581536354E-2"/>
    <x v="0"/>
  </r>
  <r>
    <s v="23GO10I14"/>
    <x v="12"/>
    <n v="250.28331431952958"/>
    <n v="3.89941413531841"/>
    <n v="0.97595829369191422"/>
    <n v="20"/>
    <x v="0"/>
    <n v="1.9519165873838281E-2"/>
    <x v="4"/>
  </r>
  <r>
    <s v="23GO10I14"/>
    <x v="13"/>
    <n v="137.91121401280202"/>
    <n v="7.1900610868008243"/>
    <n v="0.9915900533069083"/>
    <n v="20"/>
    <x v="0"/>
    <n v="1.9831801066138164E-2"/>
    <x v="1"/>
  </r>
  <r>
    <s v="23GO10I14"/>
    <x v="14"/>
    <n v="61.293872894578676"/>
    <n v="5.437946885755057"/>
    <n v="0.33331282522294042"/>
    <n v="20"/>
    <x v="0"/>
    <n v="6.6662565044588087E-3"/>
    <x v="1"/>
  </r>
  <r>
    <s v="23GO10I14"/>
    <x v="15"/>
    <n v="71.509518377008462"/>
    <n v="6.4436661934637449"/>
    <n v="0.46078346607680387"/>
    <n v="20"/>
    <x v="0"/>
    <n v="9.2156693215360783E-3"/>
    <x v="4"/>
  </r>
  <r>
    <s v="23GO10I14"/>
    <x v="16"/>
    <n v="3134.128110117324"/>
    <n v="7.5618803248905561E-2"/>
    <n v="0.23699901691582617"/>
    <n v="20"/>
    <x v="0"/>
    <n v="4.7399803383165236E-3"/>
    <x v="5"/>
  </r>
  <r>
    <s v="23GO10I14"/>
    <x v="17"/>
    <n v="3419.048847400717"/>
    <n v="0.44668794219614699"/>
    <n v="1.5272478939135343"/>
    <n v="20"/>
    <x v="0"/>
    <n v="3.0544957878270686E-2"/>
    <x v="6"/>
  </r>
  <r>
    <s v="23GO10I14"/>
    <x v="18"/>
    <n v="1567.064055058662"/>
    <n v="1.4025716727272725E-2"/>
    <n v="2.1979196529744102E-2"/>
    <n v="20"/>
    <x v="0"/>
    <n v="4.3958393059488203E-4"/>
    <x v="7"/>
  </r>
  <r>
    <s v="23GO10I14"/>
    <x v="19"/>
    <n v="569.84147456678613"/>
    <n v="1.9530225594749999"/>
    <n v="1.1129132551534329"/>
    <n v="20"/>
    <x v="0"/>
    <n v="2.2258265103068661E-2"/>
    <x v="7"/>
  </r>
  <r>
    <s v="23GO10I14"/>
    <x v="20"/>
    <n v="142.46036864169653"/>
    <n v="1.3335840000000002E-2"/>
    <n v="1.8998286825466825E-3"/>
    <n v="20"/>
    <x v="0"/>
    <n v="3.7996573650933647E-5"/>
    <x v="7"/>
  </r>
  <r>
    <s v="23GO10I14"/>
    <x v="21"/>
    <n v="28207.152991055915"/>
    <n v="1.8699096000000005E-2"/>
    <n v="0.52744826166644176"/>
    <n v="20"/>
    <x v="0"/>
    <n v="1.0548965233328836E-2"/>
    <x v="7"/>
  </r>
  <r>
    <s v="23GO10I14"/>
    <x v="22"/>
    <n v="1139.6829491335723"/>
    <n v="2.3020782500000003E-2"/>
    <n v="2.6236393290962536E-2"/>
    <n v="20"/>
    <x v="0"/>
    <n v="5.2472786581925072E-4"/>
    <x v="7"/>
  </r>
  <r>
    <s v="23GO10I14"/>
    <x v="23"/>
    <n v="7123.0184320848275"/>
    <n v="5.5919112322500002E-3"/>
    <n v="3.9831286777898933E-2"/>
    <n v="20"/>
    <x v="0"/>
    <n v="7.966257355579787E-4"/>
    <x v="7"/>
  </r>
  <r>
    <s v="23GO10I14"/>
    <x v="24"/>
    <n v="7265.4788007265233"/>
    <n v="1.5430737000000001E-3"/>
    <n v="1.1211169255308641E-2"/>
    <n v="20"/>
    <x v="0"/>
    <n v="2.2422338510617282E-4"/>
    <x v="7"/>
  </r>
  <r>
    <s v="23GO10I14"/>
    <x v="25"/>
    <n v="1139.6829491335723"/>
    <n v="4.284692750000001E-3"/>
    <n v="4.8831912694512376E-3"/>
    <n v="20"/>
    <x v="0"/>
    <n v="9.766382538902475E-5"/>
    <x v="7"/>
  </r>
  <r>
    <s v="23GO10I14"/>
    <x v="26"/>
    <n v="4131.3506906091998"/>
    <n v="2.2792065000000004E-3"/>
    <n v="9.4162013478159782E-3"/>
    <n v="20"/>
    <x v="0"/>
    <n v="1.8832402695631955E-4"/>
    <x v="7"/>
  </r>
  <r>
    <s v="23GO10I14"/>
    <x v="27"/>
    <n v="142.46036864169653"/>
    <n v="5.810703359999999E-2"/>
    <n v="8.2779494273314443E-3"/>
    <n v="20"/>
    <x v="0"/>
    <n v="1.6555898854662886E-4"/>
    <x v="7"/>
  </r>
  <r>
    <s v="23GO10I14"/>
    <x v="28"/>
    <n v="712.30184320848275"/>
    <n v="2.9114569999999999E-2"/>
    <n v="2.0738361875222395E-2"/>
    <n v="20"/>
    <x v="0"/>
    <n v="4.1476723750444788E-4"/>
    <x v="7"/>
  </r>
  <r>
    <s v="23GO10I14"/>
    <x v="29"/>
    <n v="569.84147456678613"/>
    <n v="8.5876024999999995E-3"/>
    <n v="4.8935720715934192E-3"/>
    <n v="20"/>
    <x v="0"/>
    <n v="9.7871441431868379E-5"/>
    <x v="7"/>
  </r>
  <r>
    <s v="23GO10I14"/>
    <x v="30"/>
    <n v="854.76221185017926"/>
    <n v="3.2996312066666672E-2"/>
    <n v="2.8204000685002763E-2"/>
    <n v="20"/>
    <x v="0"/>
    <n v="5.640800137000552E-4"/>
    <x v="7"/>
  </r>
  <r>
    <s v="23GO10I14"/>
    <x v="31"/>
    <n v="284.92073728339307"/>
    <n v="3.5440004600000005E-2"/>
    <n v="1.0097592239958843E-2"/>
    <n v="20"/>
    <x v="0"/>
    <n v="2.0195184479917689E-4"/>
    <x v="7"/>
  </r>
  <r>
    <s v="23GO10I14"/>
    <x v="32"/>
    <n v="1424.6036864169655"/>
    <n v="3.2393987999999999E-2"/>
    <n v="4.614859472254694E-2"/>
    <n v="20"/>
    <x v="0"/>
    <n v="9.2297189445093885E-4"/>
    <x v="7"/>
  </r>
  <r>
    <s v="23GO10I14"/>
    <x v="33"/>
    <n v="142.46036864169653"/>
    <n v="4.4440299487999997E-2"/>
    <n v="6.3309814476078773E-3"/>
    <n v="20"/>
    <x v="0"/>
    <n v="1.2661962895215757E-4"/>
    <x v="7"/>
  </r>
  <r>
    <s v="23GO10I14"/>
    <x v="34"/>
    <n v="854.76221185017926"/>
    <n v="7.8334796210666677E-2"/>
    <n v="6.6957623673862487E-2"/>
    <n v="20"/>
    <x v="0"/>
    <n v="1.3391524734772497E-3"/>
    <x v="7"/>
  </r>
  <r>
    <s v="23GO10I34"/>
    <x v="0"/>
    <n v="76.675917067090495"/>
    <n v="0.64411707285911879"/>
    <n v="4.9388267260042883E-2"/>
    <n v="20"/>
    <x v="1"/>
    <n v="9.8776534520085774E-4"/>
    <x v="0"/>
  </r>
  <r>
    <s v="23GO10I34"/>
    <x v="1"/>
    <n v="15.356966344403068"/>
    <n v="216.75772467335406"/>
    <n v="3.3287410826980848"/>
    <n v="20"/>
    <x v="1"/>
    <n v="6.6574821653961697E-2"/>
    <x v="1"/>
  </r>
  <r>
    <s v="23GO10I34"/>
    <x v="2"/>
    <n v="4.5744155068434669"/>
    <n v="3.9672825086018779"/>
    <n v="1.8147998627377281E-2"/>
    <n v="20"/>
    <x v="1"/>
    <n v="3.6295997254754564E-4"/>
    <x v="1"/>
  </r>
  <r>
    <s v="23GO10I34"/>
    <x v="4"/>
    <n v="501.87872989368327"/>
    <n v="0.34428795840562093"/>
    <n v="0.17279080328230229"/>
    <n v="20"/>
    <x v="1"/>
    <n v="3.4558160656460455E-3"/>
    <x v="2"/>
  </r>
  <r>
    <s v="23GO10I34"/>
    <x v="6"/>
    <n v="160.32237204937104"/>
    <n v="2.2470215144914532"/>
    <n v="0.36024781924923993"/>
    <n v="20"/>
    <x v="1"/>
    <n v="7.2049563849847986E-3"/>
    <x v="3"/>
  </r>
  <r>
    <s v="23GO10I34"/>
    <x v="7"/>
    <n v="648.26002611267415"/>
    <n v="1.7931839506612033"/>
    <n v="1.1624494746804599"/>
    <n v="20"/>
    <x v="1"/>
    <n v="2.3248989493609196E-2"/>
    <x v="3"/>
  </r>
  <r>
    <s v="23GO10I34"/>
    <x v="8"/>
    <n v="1547.4594171721901"/>
    <n v="1.623989957602878"/>
    <n v="2.5130585532856395"/>
    <n v="20"/>
    <x v="1"/>
    <n v="5.026117106571279E-2"/>
    <x v="4"/>
  </r>
  <r>
    <s v="23GO10I34"/>
    <x v="9"/>
    <n v="230.02775120127149"/>
    <n v="2.7646330385592273"/>
    <n v="0.63594232075651713"/>
    <n v="20"/>
    <x v="1"/>
    <n v="1.2718846415130344E-2"/>
    <x v="2"/>
  </r>
  <r>
    <s v="23GO10I34"/>
    <x v="10"/>
    <n v="69.705379151900445"/>
    <n v="3.4994469452449635"/>
    <n v="0.24393027614025997"/>
    <n v="20"/>
    <x v="1"/>
    <n v="4.8786055228051996E-3"/>
    <x v="4"/>
  </r>
  <r>
    <s v="23GO10I34"/>
    <x v="35"/>
    <n v="17.92424035334583"/>
    <n v="10.578073808198372"/>
    <n v="0.18960393741357986"/>
    <n v="20"/>
    <x v="1"/>
    <n v="3.7920787482715974E-3"/>
    <x v="4"/>
  </r>
  <r>
    <s v="23GO10I34"/>
    <x v="36"/>
    <n v="13.94107583038009"/>
    <n v="0.85475188207944941"/>
    <n v="1.1916160804229704E-2"/>
    <n v="20"/>
    <x v="1"/>
    <n v="2.3832321608459409E-4"/>
    <x v="0"/>
  </r>
  <r>
    <s v="23GO10I34"/>
    <x v="11"/>
    <n v="146.38129621899094"/>
    <n v="0.99868414847039555"/>
    <n v="0.1461886801664557"/>
    <n v="20"/>
    <x v="1"/>
    <n v="2.9237736033291138E-3"/>
    <x v="0"/>
  </r>
  <r>
    <s v="23GO10I34"/>
    <x v="12"/>
    <n v="606.43679862153397"/>
    <n v="3.7309583156533437"/>
    <n v="2.262590416735204"/>
    <n v="20"/>
    <x v="1"/>
    <n v="4.5251808334704081E-2"/>
    <x v="4"/>
  </r>
  <r>
    <s v="23GO10I34"/>
    <x v="13"/>
    <n v="425.20281282659272"/>
    <n v="3.7943093899965943"/>
    <n v="1.6133510253609051"/>
    <n v="20"/>
    <x v="1"/>
    <n v="3.2267020507218108E-2"/>
    <x v="1"/>
  </r>
  <r>
    <s v="23GO10I34"/>
    <x v="15"/>
    <n v="118.49914455823075"/>
    <n v="7.4690738846721629"/>
    <n v="0.88507886597587271"/>
    <n v="20"/>
    <x v="1"/>
    <n v="1.7701577319517454E-2"/>
    <x v="4"/>
  </r>
  <r>
    <s v="23GO10I34"/>
    <x v="16"/>
    <n v="10813.918258177957"/>
    <n v="9.3994157226235109E-2"/>
    <n v="1.0164451329908333"/>
    <n v="20"/>
    <x v="1"/>
    <n v="2.0328902659816666E-2"/>
    <x v="5"/>
  </r>
  <r>
    <s v="23GO10I34"/>
    <x v="17"/>
    <n v="3089.6909309079874"/>
    <n v="0.20469057315470787"/>
    <n v="0.63243060751845881"/>
    <n v="20"/>
    <x v="1"/>
    <n v="1.2648612150369177E-2"/>
    <x v="6"/>
  </r>
  <r>
    <s v="23GO10I34"/>
    <x v="18"/>
    <n v="1029.8969769693292"/>
    <n v="1.6239521999999999E-2"/>
    <n v="1.6725034615226914E-2"/>
    <n v="20"/>
    <x v="1"/>
    <n v="3.3450069230453829E-4"/>
    <x v="7"/>
  </r>
  <r>
    <s v="23GO10I34"/>
    <x v="19"/>
    <n v="514.94848848466461"/>
    <n v="1.3203656294399999"/>
    <n v="0.67992028512723068"/>
    <n v="20"/>
    <x v="1"/>
    <n v="1.3598405702544614E-2"/>
    <x v="7"/>
  </r>
  <r>
    <s v="23GO10I34"/>
    <x v="20"/>
    <n v="3089.6909309079874"/>
    <n v="1.4012490000000002E-2"/>
    <n v="4.329426327243887E-2"/>
    <n v="20"/>
    <x v="1"/>
    <n v="8.6588526544877737E-4"/>
    <x v="7"/>
  </r>
  <r>
    <s v="23GO10I34"/>
    <x v="21"/>
    <n v="67973.200479975727"/>
    <n v="1.6377171199999999E-2"/>
    <n v="1.1132087412724845"/>
    <n v="20"/>
    <x v="1"/>
    <n v="2.2264174825449689E-2"/>
    <x v="7"/>
  </r>
  <r>
    <s v="23GO10I34"/>
    <x v="22"/>
    <n v="5149.4848848466463"/>
    <n v="1.9849802E-2"/>
    <n v="0.10221625536619873"/>
    <n v="20"/>
    <x v="1"/>
    <n v="2.0443251073239748E-3"/>
    <x v="7"/>
  </r>
  <r>
    <s v="23GO10I34"/>
    <x v="23"/>
    <n v="13388.66070060128"/>
    <n v="6.014311556842105E-3"/>
    <n v="8.0523576782263989E-2"/>
    <n v="20"/>
    <x v="1"/>
    <n v="1.6104715356452797E-3"/>
    <x v="7"/>
  </r>
  <r>
    <s v="23GO10I34"/>
    <x v="24"/>
    <n v="18538.145585447925"/>
    <n v="1.7404353000000001E-3"/>
    <n v="3.2264442973452739E-2"/>
    <n v="20"/>
    <x v="1"/>
    <n v="6.4528885946905478E-4"/>
    <x v="7"/>
  </r>
  <r>
    <s v="23GO10I34"/>
    <x v="37"/>
    <n v="1029.8969769693292"/>
    <n v="2.1551650000000001E-3"/>
    <n v="2.2195979183701046E-3"/>
    <n v="20"/>
    <x v="1"/>
    <n v="4.4391958367402089E-5"/>
    <x v="7"/>
  </r>
  <r>
    <s v="23GO10I34"/>
    <x v="25"/>
    <n v="18538.145585447925"/>
    <n v="3.9720976999999989E-3"/>
    <n v="7.3635325442222829E-2"/>
    <n v="20"/>
    <x v="1"/>
    <n v="1.4727065088444566E-3"/>
    <x v="7"/>
  </r>
  <r>
    <s v="23GO10I34"/>
    <x v="26"/>
    <n v="3089.6909309079874"/>
    <n v="2.495635E-3"/>
    <n v="7.710740826356555E-3"/>
    <n v="20"/>
    <x v="1"/>
    <n v="1.542148165271311E-4"/>
    <x v="7"/>
  </r>
  <r>
    <s v="23GO10I34"/>
    <x v="38"/>
    <n v="1544.8454654539937"/>
    <n v="0.35661537000000004"/>
    <n v="0.55091563725569825"/>
    <n v="20"/>
    <x v="1"/>
    <n v="1.1018312745113966E-2"/>
    <x v="7"/>
  </r>
  <r>
    <s v="23GO10I34"/>
    <x v="28"/>
    <n v="7209.2788387853043"/>
    <n v="3.3328348571428572E-2"/>
    <n v="0.24027335808766043"/>
    <n v="20"/>
    <x v="1"/>
    <n v="4.8054671617532079E-3"/>
    <x v="7"/>
  </r>
  <r>
    <s v="23GO10I34"/>
    <x v="29"/>
    <n v="5664.4333733313106"/>
    <n v="2.1458869090909091E-2"/>
    <n v="0.12155233423249318"/>
    <n v="20"/>
    <x v="1"/>
    <n v="2.4310466846498634E-3"/>
    <x v="7"/>
  </r>
  <r>
    <s v="23GO10I34"/>
    <x v="30"/>
    <n v="3089.6909309079874"/>
    <n v="3.9965823333333338E-2"/>
    <n v="0.12348204189927084"/>
    <n v="20"/>
    <x v="1"/>
    <n v="2.4696408379854167E-3"/>
    <x v="7"/>
  </r>
  <r>
    <s v="23GO10I34"/>
    <x v="31"/>
    <n v="5664.4333733313106"/>
    <n v="4.2541024400000009E-2"/>
    <n v="0.24097079834706164"/>
    <n v="20"/>
    <x v="1"/>
    <n v="4.8194159669412333E-3"/>
    <x v="7"/>
  </r>
  <r>
    <s v="23GO10I34"/>
    <x v="32"/>
    <n v="7209.2788387853043"/>
    <n v="2.4904332142857141E-2"/>
    <n v="0.17954227471158066"/>
    <n v="20"/>
    <x v="1"/>
    <n v="3.5908454942316132E-3"/>
    <x v="7"/>
  </r>
  <r>
    <s v="23GO10I34"/>
    <x v="33"/>
    <n v="2059.7939539386584"/>
    <n v="0.10061211425200001"/>
    <n v="0.20724022462925515"/>
    <n v="20"/>
    <x v="1"/>
    <n v="4.1448044925851031E-3"/>
    <x v="7"/>
  </r>
  <r>
    <s v="23GO10I34"/>
    <x v="34"/>
    <n v="3604.6394193926521"/>
    <n v="7.5656476613714302E-2"/>
    <n v="0.27271431793415285"/>
    <n v="20"/>
    <x v="1"/>
    <n v="5.4542863586830572E-3"/>
    <x v="7"/>
  </r>
  <r>
    <s v="23GO10I54"/>
    <x v="0"/>
    <n v="1168.1750228619117"/>
    <n v="1.0953914399542815"/>
    <n v="1.279608920411335"/>
    <n v="20"/>
    <x v="2"/>
    <n v="2.5592178408226703E-2"/>
    <x v="0"/>
  </r>
  <r>
    <s v="23GO10I54"/>
    <x v="1"/>
    <n v="5.7874524760689221"/>
    <n v="172.97087255543687"/>
    <n v="1.0010607046587652"/>
    <n v="20"/>
    <x v="2"/>
    <n v="2.0021214093175303E-2"/>
    <x v="1"/>
  </r>
  <r>
    <s v="23GO10I54"/>
    <x v="2"/>
    <n v="179.85621541014189"/>
    <n v="4.4857768893124135"/>
    <n v="0.80679485448600963"/>
    <n v="20"/>
    <x v="2"/>
    <n v="1.6135897089720193E-2"/>
    <x v="1"/>
  </r>
  <r>
    <s v="23GO10I54"/>
    <x v="3"/>
    <n v="9.4973579094464355"/>
    <n v="1.9697958805028424"/>
    <n v="1.8707856485688675E-2"/>
    <n v="20"/>
    <x v="2"/>
    <n v="3.7415712971377354E-4"/>
    <x v="0"/>
  </r>
  <r>
    <s v="23GO10I54"/>
    <x v="39"/>
    <n v="28.49207372833931"/>
    <n v="0.28050811612069759"/>
    <n v="7.9922579259084792E-3"/>
    <n v="20"/>
    <x v="2"/>
    <n v="1.5984515851816958E-4"/>
    <x v="0"/>
  </r>
  <r>
    <s v="23GO10I54"/>
    <x v="4"/>
    <n v="28.49207372833931"/>
    <n v="1.688876948101371"/>
    <n v="4.8119606523396946E-2"/>
    <n v="20"/>
    <x v="2"/>
    <n v="9.6239213046793893E-4"/>
    <x v="2"/>
  </r>
  <r>
    <s v="23GO10I54"/>
    <x v="6"/>
    <n v="75.978863275571484"/>
    <n v="2.3871041192943583"/>
    <n v="0.18136945750441952"/>
    <n v="20"/>
    <x v="2"/>
    <n v="3.6273891500883905E-3"/>
    <x v="3"/>
  </r>
  <r>
    <s v="23GO10I54"/>
    <x v="7"/>
    <n v="2820.7152991055918"/>
    <n v="1.6864699060519341"/>
    <n v="4.7570514654818608"/>
    <n v="20"/>
    <x v="2"/>
    <n v="9.5141029309637221E-2"/>
    <x v="3"/>
  </r>
  <r>
    <s v="23GO10I54"/>
    <x v="8"/>
    <n v="997.22258049187587"/>
    <n v="2.377520233215054"/>
    <n v="2.3709168621383627"/>
    <n v="20"/>
    <x v="2"/>
    <n v="4.7418337242767249E-2"/>
    <x v="4"/>
  </r>
  <r>
    <s v="23GO10I54"/>
    <x v="9"/>
    <n v="37.989431637785742"/>
    <n v="3.7065259584548311"/>
    <n v="0.14080881451239807"/>
    <n v="20"/>
    <x v="2"/>
    <n v="2.8161762902479612E-3"/>
    <x v="2"/>
  </r>
  <r>
    <s v="23GO10I54"/>
    <x v="10"/>
    <n v="66.481505366125049"/>
    <n v="5.4587380609630918"/>
    <n v="0.36290512369218886"/>
    <n v="20"/>
    <x v="2"/>
    <n v="7.2581024738437774E-3"/>
    <x v="4"/>
  </r>
  <r>
    <s v="23GO10I54"/>
    <x v="35"/>
    <n v="36.63266622215054"/>
    <n v="9.8445941183702246"/>
    <n v="0.36063373043080282"/>
    <n v="20"/>
    <x v="2"/>
    <n v="7.2126746086160565E-3"/>
    <x v="4"/>
  </r>
  <r>
    <s v="23GO10I54"/>
    <x v="36"/>
    <n v="66.481505366125049"/>
    <n v="1.4914599187977695"/>
    <n v="9.9154500594914333E-2"/>
    <n v="20"/>
    <x v="2"/>
    <n v="1.9830900118982865E-3"/>
    <x v="0"/>
  </r>
  <r>
    <s v="23GO10I54"/>
    <x v="11"/>
    <n v="2250.8738245388054"/>
    <n v="1.7305500511071277"/>
    <n v="3.8952498120913255"/>
    <n v="20"/>
    <x v="2"/>
    <n v="7.7904996241826507E-2"/>
    <x v="0"/>
  </r>
  <r>
    <s v="23GO10I54"/>
    <x v="12"/>
    <n v="883.25428557851853"/>
    <n v="3.5467693219490832"/>
    <n v="3.1326992035699441"/>
    <n v="20"/>
    <x v="2"/>
    <n v="6.2653984071398883E-2"/>
    <x v="4"/>
  </r>
  <r>
    <s v="23GO10I54"/>
    <x v="13"/>
    <n v="474.86789547232178"/>
    <n v="3.4651406981449902"/>
    <n v="1.6454840708436034"/>
    <n v="20"/>
    <x v="2"/>
    <n v="3.2909681416872068E-2"/>
    <x v="1"/>
  </r>
  <r>
    <s v="23GO10I54"/>
    <x v="15"/>
    <n v="237.43394773616089"/>
    <n v="7.6011036796295581"/>
    <n v="1.8047600538063047"/>
    <n v="20"/>
    <x v="2"/>
    <n v="3.6095201076126092E-2"/>
    <x v="4"/>
  </r>
  <r>
    <s v="23GO10I54"/>
    <x v="16"/>
    <n v="3804.4444444444443"/>
    <n v="8.4062094838681573E-2"/>
    <n v="0.31980956969738411"/>
    <n v="20"/>
    <x v="2"/>
    <n v="6.3961913939476825E-3"/>
    <x v="5"/>
  </r>
  <r>
    <s v="23GO10I54"/>
    <x v="17"/>
    <n v="3804.4444444444443"/>
    <n v="1.506235734466489"/>
    <n v="5.7303901720147312"/>
    <n v="20"/>
    <x v="2"/>
    <n v="0.11460780344029461"/>
    <x v="6"/>
  </r>
  <r>
    <s v="23GO10I54"/>
    <x v="18"/>
    <n v="4565.333333333333"/>
    <n v="1.3294712E-2"/>
    <n v="6.069479185066666E-2"/>
    <n v="20"/>
    <x v="2"/>
    <n v="1.2138958370133332E-3"/>
    <x v="7"/>
  </r>
  <r>
    <s v="23GO10I54"/>
    <x v="19"/>
    <n v="760.88888888888891"/>
    <n v="4.6314010204800002"/>
    <n v="3.5239815764718938"/>
    <n v="20"/>
    <x v="2"/>
    <n v="7.0479631529437883E-2"/>
    <x v="7"/>
  </r>
  <r>
    <s v="23GO10I54"/>
    <x v="20"/>
    <n v="760.88888888888891"/>
    <n v="2.843739E-2"/>
    <n v="2.1637694079999999E-2"/>
    <n v="20"/>
    <x v="2"/>
    <n v="4.3275388159999995E-4"/>
    <x v="7"/>
  </r>
  <r>
    <s v="23GO10I54"/>
    <x v="21"/>
    <n v="79893.333333333328"/>
    <n v="1.9258340399999997E-2"/>
    <n v="1.5386130090239996"/>
    <n v="20"/>
    <x v="2"/>
    <n v="3.0772260180479988E-2"/>
    <x v="7"/>
  </r>
  <r>
    <s v="23GO10I54"/>
    <x v="22"/>
    <n v="1141.3333333333333"/>
    <n v="2.1868693333333338E-2"/>
    <n v="2.4959468657777779E-2"/>
    <n v="20"/>
    <x v="2"/>
    <n v="4.9918937315555554E-4"/>
    <x v="7"/>
  </r>
  <r>
    <s v="23GO10I54"/>
    <x v="23"/>
    <n v="13696"/>
    <n v="6.1692232875000001E-3"/>
    <n v="8.4493682145600005E-2"/>
    <n v="20"/>
    <x v="2"/>
    <n v="1.6898736429120001E-3"/>
    <x v="7"/>
  </r>
  <r>
    <s v="23GO10I54"/>
    <x v="24"/>
    <n v="17120"/>
    <n v="1.3484174999999999E-3"/>
    <n v="2.3084907599999996E-2"/>
    <n v="20"/>
    <x v="2"/>
    <n v="4.616981519999999E-4"/>
    <x v="7"/>
  </r>
  <r>
    <s v="23GO10I54"/>
    <x v="25"/>
    <n v="7608.8888888888887"/>
    <n v="3.2848476000000002E-3"/>
    <n v="2.4994040405333331E-2"/>
    <n v="20"/>
    <x v="2"/>
    <n v="4.9988080810666662E-4"/>
    <x v="7"/>
  </r>
  <r>
    <s v="23GO10I54"/>
    <x v="26"/>
    <n v="6087.1111111111113"/>
    <n v="2.1638116250000004E-3"/>
    <n v="1.3171361784888891E-2"/>
    <n v="20"/>
    <x v="2"/>
    <n v="2.6342723569777781E-4"/>
    <x v="7"/>
  </r>
  <r>
    <s v="23GO10I54"/>
    <x v="38"/>
    <n v="380.44444444444446"/>
    <n v="0.16003008000000002"/>
    <n v="6.0882554880000009E-2"/>
    <n v="20"/>
    <x v="2"/>
    <n v="1.2176510976000001E-3"/>
    <x v="7"/>
  </r>
  <r>
    <s v="23GO10I54"/>
    <x v="28"/>
    <n v="3424"/>
    <n v="4.134819555555555E-2"/>
    <n v="0.14157622158222222"/>
    <n v="20"/>
    <x v="2"/>
    <n v="2.8315244316444448E-3"/>
    <x v="7"/>
  </r>
  <r>
    <s v="23GO10I54"/>
    <x v="40"/>
    <n v="380.44444444444446"/>
    <n v="2.0989337600000005E-2"/>
    <n v="7.9852768824888905E-3"/>
    <n v="20"/>
    <x v="2"/>
    <n v="1.5970553764977778E-4"/>
    <x v="7"/>
  </r>
  <r>
    <s v="23GO10I54"/>
    <x v="30"/>
    <n v="9511.1111111111113"/>
    <n v="4.7507031880000009E-2"/>
    <n v="0.45184465876977786"/>
    <n v="20"/>
    <x v="2"/>
    <n v="9.0368931753955564E-3"/>
    <x v="7"/>
  </r>
  <r>
    <s v="23GO10I54"/>
    <x v="31"/>
    <n v="5326.2222222222226"/>
    <n v="5.4519377000000001E-2"/>
    <n v="0.29038231731911113"/>
    <n v="20"/>
    <x v="2"/>
    <n v="5.8076463463822229E-3"/>
    <x v="7"/>
  </r>
  <r>
    <s v="23GO10I54"/>
    <x v="32"/>
    <n v="10272"/>
    <n v="3.2789072500000002E-2"/>
    <n v="0.33680935272000007"/>
    <n v="20"/>
    <x v="2"/>
    <n v="6.7361870544000012E-3"/>
    <x v="7"/>
  </r>
  <r>
    <s v="23GO10I54"/>
    <x v="34"/>
    <n v="380.44444444444446"/>
    <n v="6.570219801600001E-2"/>
    <n v="2.4996036222976005E-2"/>
    <n v="20"/>
    <x v="2"/>
    <n v="4.999207244595201E-4"/>
    <x v="7"/>
  </r>
  <r>
    <s v="23GO10I74"/>
    <x v="0"/>
    <n v="666.11606159405142"/>
    <n v="0.79636814865443606"/>
    <n v="0.53047361476063903"/>
    <n v="20"/>
    <x v="3"/>
    <n v="1.0609472295212781E-2"/>
    <x v="0"/>
  </r>
  <r>
    <s v="23GO10I74"/>
    <x v="1"/>
    <n v="20.002996966813555"/>
    <n v="193.82149011041994"/>
    <n v="3.8770106787820136"/>
    <n v="20"/>
    <x v="3"/>
    <n v="7.7540213575640268E-2"/>
    <x v="1"/>
  </r>
  <r>
    <s v="23GO10I74"/>
    <x v="4"/>
    <n v="3309.7641810454429"/>
    <n v="0.52938631898362931"/>
    <n v="1.7521438765075135"/>
    <n v="20"/>
    <x v="3"/>
    <n v="3.5042877530150271E-2"/>
    <x v="2"/>
  </r>
  <r>
    <s v="23GO10I74"/>
    <x v="6"/>
    <n v="978.35796546626295"/>
    <n v="2.8604645347737172"/>
    <n v="2.7985582625296144"/>
    <n v="20"/>
    <x v="3"/>
    <n v="5.5971165250592286E-2"/>
    <x v="3"/>
  </r>
  <r>
    <s v="23GO10I74"/>
    <x v="7"/>
    <n v="41.632253849628214"/>
    <n v="4.362087458794206"/>
    <n v="0.18160353239880003"/>
    <n v="20"/>
    <x v="3"/>
    <n v="3.6320706479760004E-3"/>
    <x v="3"/>
  </r>
  <r>
    <s v="23GO10I74"/>
    <x v="8"/>
    <n v="3497.1093233687698"/>
    <n v="1.4091771523227263"/>
    <n v="4.9280465576660593"/>
    <n v="20"/>
    <x v="3"/>
    <n v="9.856093115332118E-2"/>
    <x v="4"/>
  </r>
  <r>
    <s v="23GO10I74"/>
    <x v="9"/>
    <n v="2685.2803733010196"/>
    <n v="3.7257294640099294"/>
    <n v="10.004628205935191"/>
    <n v="20"/>
    <x v="3"/>
    <n v="0.20009256411870383"/>
    <x v="2"/>
  </r>
  <r>
    <s v="23GO10I74"/>
    <x v="10"/>
    <n v="270.60965002258337"/>
    <n v="1.8268247632285333"/>
    <n v="0.49435640982986212"/>
    <n v="20"/>
    <x v="3"/>
    <n v="9.8871281965972422E-3"/>
    <x v="4"/>
  </r>
  <r>
    <s v="23GO10I74"/>
    <x v="35"/>
    <n v="44.605986267458796"/>
    <n v="9.8670422090673302"/>
    <n v="0.4401291492780936"/>
    <n v="20"/>
    <x v="3"/>
    <n v="8.8025829855618715E-3"/>
    <x v="4"/>
  </r>
  <r>
    <s v="23GO10I74"/>
    <x v="36"/>
    <n v="20.816126924814107"/>
    <n v="2.1347687321001785"/>
    <n v="4.4437616882521798E-2"/>
    <n v="20"/>
    <x v="3"/>
    <n v="8.8875233765043596E-4"/>
    <x v="0"/>
  </r>
  <r>
    <s v="23GO10I74"/>
    <x v="12"/>
    <n v="2185.6933271054813"/>
    <n v="3.7133870232896768"/>
    <n v="8.1163252377643325"/>
    <n v="20"/>
    <x v="3"/>
    <n v="0.16232650475528662"/>
    <x v="4"/>
  </r>
  <r>
    <s v="23GO10I74"/>
    <x v="13"/>
    <n v="1436.3127578121732"/>
    <n v="2.438119198770007"/>
    <n v="3.5019017102601553"/>
    <n v="20"/>
    <x v="3"/>
    <n v="7.0038034205203104E-2"/>
    <x v="1"/>
  </r>
  <r>
    <s v="23GO10I74"/>
    <x v="15"/>
    <n v="520.40317312035256"/>
    <n v="6.8511656259798173"/>
    <n v="3.5653683313329836"/>
    <n v="20"/>
    <x v="3"/>
    <n v="7.1307366626659666E-2"/>
    <x v="4"/>
  </r>
  <r>
    <s v="23GO10I74"/>
    <x v="16"/>
    <n v="22247.235650895076"/>
    <n v="0.15711156529178327"/>
    <n v="3.4952980165272902"/>
    <n v="20"/>
    <x v="3"/>
    <n v="6.9905960330545816E-2"/>
    <x v="5"/>
  </r>
  <r>
    <s v="23GO10I74"/>
    <x v="17"/>
    <n v="741.57452169650253"/>
    <n v="0.71972977198106691"/>
    <n v="0.53373326140759247"/>
    <n v="20"/>
    <x v="3"/>
    <n v="1.0674665228151848E-2"/>
    <x v="6"/>
  </r>
  <r>
    <s v="23GO10I74"/>
    <x v="18"/>
    <n v="741.57452169650253"/>
    <n v="1.1643588E-2"/>
    <n v="8.6345882019311353E-3"/>
    <n v="20"/>
    <x v="3"/>
    <n v="1.7269176403862272E-4"/>
    <x v="7"/>
  </r>
  <r>
    <s v="23GO10I74"/>
    <x v="19"/>
    <n v="741.57452169650253"/>
    <n v="4.0316122111199997"/>
    <n v="2.9897408971270929"/>
    <n v="20"/>
    <x v="3"/>
    <n v="5.9794817942541857E-2"/>
    <x v="7"/>
  </r>
  <r>
    <s v="23GO10I74"/>
    <x v="20"/>
    <n v="4449.4471301790154"/>
    <n v="1.7678970000000002E-2"/>
    <n v="7.8661642331020909E-2"/>
    <n v="20"/>
    <x v="3"/>
    <n v="1.5732328466204182E-3"/>
    <x v="7"/>
  </r>
  <r>
    <s v="23GO10I74"/>
    <x v="21"/>
    <n v="100854.13495072434"/>
    <n v="2.6073817900000008E-2"/>
    <n v="2.629652349167213"/>
    <n v="20"/>
    <x v="3"/>
    <n v="5.2593046983344258E-2"/>
    <x v="7"/>
  </r>
  <r>
    <s v="23GO10I74"/>
    <x v="22"/>
    <n v="2224.7235650895077"/>
    <n v="2.4988913333333335E-2"/>
    <n v="5.5593424358646067E-2"/>
    <n v="20"/>
    <x v="3"/>
    <n v="1.1118684871729214E-3"/>
    <x v="7"/>
  </r>
  <r>
    <s v="23GO10I74"/>
    <x v="23"/>
    <n v="4449.4471301790154"/>
    <n v="5.4951907149999998E-3"/>
    <n v="2.4450560556643124E-2"/>
    <n v="20"/>
    <x v="3"/>
    <n v="4.8901121113286252E-4"/>
    <x v="7"/>
  </r>
  <r>
    <s v="23GO10I74"/>
    <x v="24"/>
    <n v="21505.661129198572"/>
    <n v="1.3242758000000002E-3"/>
    <n v="2.8479426596398346E-2"/>
    <n v="20"/>
    <x v="3"/>
    <n v="5.6958853192796684E-4"/>
    <x v="7"/>
  </r>
  <r>
    <s v="23GO10I74"/>
    <x v="25"/>
    <n v="29662.9808678601"/>
    <n v="3.4368382000000003E-3"/>
    <n v="0.10194686577253076"/>
    <n v="20"/>
    <x v="3"/>
    <n v="2.0389373154506151E-3"/>
    <x v="7"/>
  </r>
  <r>
    <s v="23GO10I74"/>
    <x v="26"/>
    <n v="8898.8942603580308"/>
    <n v="2.1055455000000001E-3"/>
    <n v="1.8737026764872679E-2"/>
    <n v="20"/>
    <x v="3"/>
    <n v="3.7474053529745359E-4"/>
    <x v="7"/>
  </r>
  <r>
    <s v="23GO10I74"/>
    <x v="38"/>
    <n v="741.57452169650253"/>
    <n v="0.61629875000000001"/>
    <n v="0.4570314507534024"/>
    <n v="20"/>
    <x v="3"/>
    <n v="9.1406290150680483E-3"/>
    <x v="7"/>
  </r>
  <r>
    <s v="23GO10I74"/>
    <x v="30"/>
    <n v="40045.024171611134"/>
    <n v="5.0592084620000012E-2"/>
    <n v="2.0259612515000964"/>
    <n v="20"/>
    <x v="3"/>
    <n v="4.0519225030001924E-2"/>
    <x v="7"/>
  </r>
  <r>
    <s v="23GO10I74"/>
    <x v="31"/>
    <n v="22247.235650895076"/>
    <n v="5.1946198920000006E-2"/>
    <n v="1.1556593285415115"/>
    <n v="20"/>
    <x v="3"/>
    <n v="2.3113186570830231E-2"/>
    <x v="7"/>
  </r>
  <r>
    <s v="23GO10I74"/>
    <x v="32"/>
    <n v="1483.1490433930051"/>
    <n v="8.3159730000000015E-2"/>
    <n v="0.12333827399832061"/>
    <n v="20"/>
    <x v="3"/>
    <n v="2.4667654799664122E-3"/>
    <x v="7"/>
  </r>
  <r>
    <s v="23GO10I74"/>
    <x v="33"/>
    <n v="741.57452169650253"/>
    <n v="8.2112681664000001E-2"/>
    <n v="6.0892672630197972E-2"/>
    <n v="20"/>
    <x v="3"/>
    <n v="1.2178534526039596E-3"/>
    <x v="7"/>
  </r>
  <r>
    <s v="23GO10I74"/>
    <x v="34"/>
    <n v="5191.0216518755178"/>
    <n v="7.4152566398857145E-2"/>
    <n v="0.38492757771860442"/>
    <n v="20"/>
    <x v="3"/>
    <n v="7.6985515543720878E-3"/>
    <x v="7"/>
  </r>
  <r>
    <s v="23GO10I94"/>
    <x v="0"/>
    <n v="11051.471021901309"/>
    <n v="1.3718890844053866"/>
    <n v="15.161392461568848"/>
    <n v="20"/>
    <x v="4"/>
    <n v="0.30322784923137697"/>
    <x v="0"/>
  </r>
  <r>
    <s v="23GO10I94"/>
    <x v="2"/>
    <n v="270.89054946261996"/>
    <n v="4.2860174492206209"/>
    <n v="1.1610416218257509"/>
    <n v="20"/>
    <x v="4"/>
    <n v="2.3220832436515019E-2"/>
    <x v="1"/>
  </r>
  <r>
    <s v="23GO10I94"/>
    <x v="4"/>
    <n v="15748.346206209364"/>
    <n v="0.52557713359573954"/>
    <n v="8.276970657932857"/>
    <n v="20"/>
    <x v="4"/>
    <n v="0.16553941315865714"/>
    <x v="2"/>
  </r>
  <r>
    <s v="23GO10I94"/>
    <x v="5"/>
    <n v="92.095591849177566"/>
    <n v="9.5553616319130654"/>
    <n v="0.88000668482395694"/>
    <n v="20"/>
    <x v="4"/>
    <n v="1.7600133696479142E-2"/>
    <x v="3"/>
  </r>
  <r>
    <s v="23GO10I94"/>
    <x v="6"/>
    <n v="2578.6765717769717"/>
    <n v="6.9151710261966572"/>
    <n v="17.831989515084238"/>
    <n v="20"/>
    <x v="4"/>
    <n v="0.3566397903016848"/>
    <x v="3"/>
  </r>
  <r>
    <s v="23GO10I94"/>
    <x v="7"/>
    <n v="2670.7721636261494"/>
    <n v="2.4966586700683133"/>
    <n v="6.668006478094334"/>
    <n v="20"/>
    <x v="4"/>
    <n v="0.13336012956188667"/>
    <x v="3"/>
  </r>
  <r>
    <s v="23GO10I94"/>
    <x v="8"/>
    <n v="1105.1471021901309"/>
    <n v="3.6796527148112053"/>
    <n v="4.0665575348396521"/>
    <n v="20"/>
    <x v="4"/>
    <n v="8.1331150696793045E-2"/>
    <x v="4"/>
  </r>
  <r>
    <s v="23GO10I94"/>
    <x v="9"/>
    <n v="4052.2060413638128"/>
    <n v="3.6634999705467179"/>
    <n v="14.845256713185561"/>
    <n v="20"/>
    <x v="4"/>
    <n v="0.29690513426371118"/>
    <x v="2"/>
  </r>
  <r>
    <s v="23GO10I94"/>
    <x v="11"/>
    <n v="6354.5958375932523"/>
    <n v="2.0852369921632645"/>
    <n v="13.250838310796155"/>
    <n v="20"/>
    <x v="4"/>
    <n v="0.26501676621592307"/>
    <x v="0"/>
  </r>
  <r>
    <s v="23GO10I94"/>
    <x v="12"/>
    <n v="276.28677554753273"/>
    <n v="4.2334605430557453"/>
    <n v="1.1696491628485788"/>
    <n v="20"/>
    <x v="4"/>
    <n v="2.3392983256971575E-2"/>
    <x v="4"/>
  </r>
  <r>
    <s v="23GO10I94"/>
    <x v="13"/>
    <n v="355.22585427539917"/>
    <n v="4.8002831675134559"/>
    <n v="1.7051846889437863"/>
    <n v="20"/>
    <x v="4"/>
    <n v="3.4103693778875725E-2"/>
    <x v="1"/>
  </r>
  <r>
    <s v="23GO10I94"/>
    <x v="14"/>
    <n v="78.939078727866487"/>
    <n v="4.091078776080221"/>
    <n v="0.32294598958690024"/>
    <n v="20"/>
    <x v="4"/>
    <n v="6.4589197917380046E-3"/>
    <x v="1"/>
  </r>
  <r>
    <s v="23GO10I94"/>
    <x v="16"/>
    <n v="81124.32432432432"/>
    <n v="0.10256094581944404"/>
    <n v="8.3201874316660316"/>
    <n v="20"/>
    <x v="4"/>
    <n v="0.16640374863332061"/>
    <x v="5"/>
  </r>
  <r>
    <s v="23GO10I94"/>
    <x v="17"/>
    <n v="27848.648648648646"/>
    <n v="0.21043188814727598"/>
    <n v="5.8602437174852202"/>
    <n v="20"/>
    <x v="4"/>
    <n v="0.11720487434970439"/>
    <x v="6"/>
  </r>
  <r>
    <s v="23GO10I94"/>
    <x v="41"/>
    <n v="3632.4324324324321"/>
    <n v="3.9249215999999996E-2"/>
    <n v="0.14257012514594591"/>
    <n v="20"/>
    <x v="4"/>
    <n v="2.8514025029189182E-3"/>
    <x v="7"/>
  </r>
  <r>
    <s v="23GO10I94"/>
    <x v="18"/>
    <n v="6054.0540540540542"/>
    <n v="1.4603001599999998E-2"/>
    <n v="8.8407361037837834E-2"/>
    <n v="20"/>
    <x v="4"/>
    <n v="1.7681472207567567E-3"/>
    <x v="7"/>
  </r>
  <r>
    <s v="23GO10I94"/>
    <x v="19"/>
    <n v="3632.4324324324321"/>
    <n v="1.83598136111"/>
    <n v="6.6690782414374041"/>
    <n v="20"/>
    <x v="4"/>
    <n v="0.13338156482874808"/>
    <x v="7"/>
  </r>
  <r>
    <s v="23GO10I94"/>
    <x v="20"/>
    <n v="16951.35135135135"/>
    <n v="1.9549709999999998E-2"/>
    <n v="0.33139400302702693"/>
    <n v="20"/>
    <x v="4"/>
    <n v="6.6278800605405388E-3"/>
    <x v="7"/>
  </r>
  <r>
    <s v="23GO10I94"/>
    <x v="21"/>
    <n v="73859.459459459453"/>
    <n v="2.1397907700000003E-2"/>
    <n v="1.5804378962854055"/>
    <n v="20"/>
    <x v="4"/>
    <n v="3.1608757925708109E-2"/>
    <x v="7"/>
  </r>
  <r>
    <s v="23GO10I94"/>
    <x v="22"/>
    <n v="2421.6216216216217"/>
    <n v="2.1723850000000003E-2"/>
    <n v="5.260694486486487E-2"/>
    <n v="20"/>
    <x v="4"/>
    <n v="1.0521388972972974E-3"/>
    <x v="7"/>
  </r>
  <r>
    <s v="23GO10I94"/>
    <x v="23"/>
    <n v="131978.37837837837"/>
    <n v="6.3396397574999996E-3"/>
    <n v="0.83669537469794586"/>
    <n v="20"/>
    <x v="4"/>
    <n v="1.6733907493958918E-2"/>
    <x v="7"/>
  </r>
  <r>
    <s v="23GO10I94"/>
    <x v="24"/>
    <n v="158616.21621621621"/>
    <n v="1.5997559000000001E-3"/>
    <n v="0.25374722772756758"/>
    <n v="20"/>
    <x v="4"/>
    <n v="5.0749445545513515E-3"/>
    <x v="7"/>
  </r>
  <r>
    <s v="23GO10I94"/>
    <x v="25"/>
    <n v="7264.8648648648641"/>
    <n v="4.2055859999999999E-3"/>
    <n v="3.0553013967567561E-2"/>
    <n v="20"/>
    <x v="4"/>
    <n v="6.1106027935135126E-4"/>
    <x v="7"/>
  </r>
  <r>
    <s v="23GO10I94"/>
    <x v="26"/>
    <n v="10897.297297297297"/>
    <n v="2.6481139999999996E-3"/>
    <n v="2.8857285535135131E-2"/>
    <n v="20"/>
    <x v="4"/>
    <n v="5.7714571070270257E-4"/>
    <x v="7"/>
  </r>
  <r>
    <s v="23GO10I94"/>
    <x v="27"/>
    <n v="13318.918918918918"/>
    <n v="8.3487066599999993E-2"/>
    <n v="1.1119574708237836"/>
    <n v="20"/>
    <x v="4"/>
    <n v="2.2239149416475673E-2"/>
    <x v="7"/>
  </r>
  <r>
    <s v="23GO10I94"/>
    <x v="38"/>
    <n v="2421.6216216216217"/>
    <n v="0.51038288000000009"/>
    <n v="1.2359542175135139"/>
    <n v="20"/>
    <x v="4"/>
    <n v="2.471908435027028E-2"/>
    <x v="7"/>
  </r>
  <r>
    <s v="23GO10I94"/>
    <x v="29"/>
    <n v="2421.6216216216217"/>
    <n v="1.7798400000000002E-2"/>
    <n v="4.3100990270270277E-2"/>
    <n v="20"/>
    <x v="4"/>
    <n v="8.6201980540540556E-4"/>
    <x v="7"/>
  </r>
  <r>
    <s v="23GO10I94"/>
    <x v="40"/>
    <n v="2421.6216216216217"/>
    <n v="1.6991543800000002E-2"/>
    <n v="4.1147089850810815E-2"/>
    <n v="20"/>
    <x v="4"/>
    <n v="8.2294179701621626E-4"/>
    <x v="7"/>
  </r>
  <r>
    <s v="23GO10I94"/>
    <x v="30"/>
    <n v="2421.6216216216217"/>
    <n v="6.4780007600000009E-2"/>
    <n v="0.15687266705297298"/>
    <n v="20"/>
    <x v="4"/>
    <n v="3.1374533410594594E-3"/>
    <x v="7"/>
  </r>
  <r>
    <s v="23GO10I94"/>
    <x v="32"/>
    <n v="4843.2432432432433"/>
    <n v="2.2449040000000003E-2"/>
    <n v="0.10872616129729731"/>
    <n v="20"/>
    <x v="4"/>
    <n v="2.1745232259459462E-3"/>
    <x v="7"/>
  </r>
  <r>
    <s v="23GO10I94"/>
    <x v="34"/>
    <n v="2421.6216216216217"/>
    <n v="8.2245057179999997E-2"/>
    <n v="0.19916640873859459"/>
    <n v="20"/>
    <x v="4"/>
    <n v="3.9833281747718918E-3"/>
    <x v="7"/>
  </r>
  <r>
    <s v="23GO10I94"/>
    <x v="42"/>
    <n v="1210.8108108108108"/>
    <n v="6.8750522879999984E-3"/>
    <n v="8.3243876351999993E-3"/>
    <n v="20"/>
    <x v="4"/>
    <n v="1.6648775270399998E-4"/>
    <x v="7"/>
  </r>
  <r>
    <s v="23GO11I14"/>
    <x v="0"/>
    <n v="8090.1437515960633"/>
    <n v="0.76420412274183491"/>
    <n v="6.1825212085438066"/>
    <n v="20"/>
    <x v="5"/>
    <n v="0.12365042417087614"/>
    <x v="0"/>
  </r>
  <r>
    <s v="23GO11I14"/>
    <x v="2"/>
    <n v="289.43532643048911"/>
    <n v="2.750710790742422"/>
    <n v="0.79615287563440174"/>
    <n v="20"/>
    <x v="5"/>
    <n v="1.5923057512688035E-2"/>
    <x v="1"/>
  </r>
  <r>
    <s v="23GO11I14"/>
    <x v="3"/>
    <n v="42.804993394688161"/>
    <n v="2.6670980217741822"/>
    <n v="0.11416511320502973"/>
    <n v="20"/>
    <x v="5"/>
    <n v="2.2833022641005948E-3"/>
    <x v="0"/>
  </r>
  <r>
    <s v="23GO11I14"/>
    <x v="43"/>
    <n v="85.609986789376322"/>
    <n v="0.89682565819829163"/>
    <n v="7.6777232750729466E-2"/>
    <n v="20"/>
    <x v="5"/>
    <n v="1.5355446550145892E-3"/>
    <x v="0"/>
  </r>
  <r>
    <s v="23GO11I14"/>
    <x v="4"/>
    <n v="10144.783434541096"/>
    <n v="0.31852468034689385"/>
    <n v="3.2313639006756665"/>
    <n v="20"/>
    <x v="5"/>
    <n v="6.462727801351334E-2"/>
    <x v="2"/>
  </r>
  <r>
    <s v="23GO11I14"/>
    <x v="6"/>
    <n v="428.04993394688159"/>
    <n v="3.4336930639760781"/>
    <n v="1.4697920892288256"/>
    <n v="20"/>
    <x v="5"/>
    <n v="2.939584178457651E-2"/>
    <x v="3"/>
  </r>
  <r>
    <s v="23GO11I14"/>
    <x v="7"/>
    <n v="2568.2996036812897"/>
    <n v="1.805481087999014"/>
    <n v="4.6370163627619316"/>
    <n v="20"/>
    <x v="5"/>
    <n v="9.2740327255238633E-2"/>
    <x v="3"/>
  </r>
  <r>
    <s v="23GO11I14"/>
    <x v="8"/>
    <n v="513.65992073625796"/>
    <n v="2.1502977759468265"/>
    <n v="1.1045217851521987"/>
    <n v="20"/>
    <x v="5"/>
    <n v="2.2090435703043972E-2"/>
    <x v="4"/>
  </r>
  <r>
    <s v="23GO11I14"/>
    <x v="9"/>
    <n v="1198.5398150512685"/>
    <n v="2.725728656879514"/>
    <n v="3.2668943202963154"/>
    <n v="20"/>
    <x v="5"/>
    <n v="6.5337886405926318E-2"/>
    <x v="2"/>
  </r>
  <r>
    <s v="23GO11I14"/>
    <x v="10"/>
    <n v="42.804993394688161"/>
    <n v="2.568090011040062"/>
    <n v="0.10992707595953449"/>
    <n v="20"/>
    <x v="5"/>
    <n v="2.19854151919069E-3"/>
    <x v="4"/>
  </r>
  <r>
    <s v="23GO11I14"/>
    <x v="36"/>
    <n v="385.2449405521935"/>
    <n v="1.4904521554142993"/>
    <n v="0.57418915200847043"/>
    <n v="20"/>
    <x v="5"/>
    <n v="1.1483783040169409E-2"/>
    <x v="0"/>
  </r>
  <r>
    <s v="23GO11I14"/>
    <x v="11"/>
    <n v="4622.9392866263215"/>
    <n v="0.99793556552723772"/>
    <n v="4.613395531397523"/>
    <n v="20"/>
    <x v="5"/>
    <n v="9.226791062795045E-2"/>
    <x v="0"/>
  </r>
  <r>
    <s v="23GO11I14"/>
    <x v="12"/>
    <n v="42.804993394688161"/>
    <n v="3.3280235321885758"/>
    <n v="0.14245602531269877"/>
    <n v="20"/>
    <x v="5"/>
    <n v="2.8491205062539755E-3"/>
    <x v="4"/>
  </r>
  <r>
    <s v="23GO11I14"/>
    <x v="44"/>
    <n v="42.804993394688161"/>
    <n v="3.9959369923756203"/>
    <n v="0.1710460565642285"/>
    <n v="20"/>
    <x v="5"/>
    <n v="3.42092113128457E-3"/>
    <x v="4"/>
  </r>
  <r>
    <s v="23GO11I14"/>
    <x v="14"/>
    <n v="128.41498018406449"/>
    <n v="5.6431620350479408"/>
    <n v="0.72466654090614635"/>
    <n v="20"/>
    <x v="5"/>
    <n v="1.4493330818122927E-2"/>
    <x v="1"/>
  </r>
  <r>
    <s v="23GO11I14"/>
    <x v="15"/>
    <n v="42.804993394688161"/>
    <n v="6.5614247177830398"/>
    <n v="0.28086174170444667"/>
    <n v="20"/>
    <x v="5"/>
    <n v="5.6172348340889329E-3"/>
    <x v="4"/>
  </r>
  <r>
    <s v="23GO11I14"/>
    <x v="16"/>
    <n v="43195.588959414694"/>
    <n v="8.4123804546599776E-2"/>
    <n v="3.6337772828970651"/>
    <n v="20"/>
    <x v="5"/>
    <n v="7.2675545657941293E-2"/>
    <x v="5"/>
  </r>
  <r>
    <s v="23GO11I14"/>
    <x v="17"/>
    <n v="23259.16328583868"/>
    <n v="0.36005324864458194"/>
    <n v="8.3745373018210056"/>
    <n v="20"/>
    <x v="5"/>
    <n v="0.16749074603642011"/>
    <x v="6"/>
  </r>
  <r>
    <s v="23GO11I14"/>
    <x v="41"/>
    <n v="1661.3688061313344"/>
    <n v="3.5831807999999993E-2"/>
    <n v="5.9529848078487185E-2"/>
    <n v="20"/>
    <x v="5"/>
    <n v="1.1905969615697437E-3"/>
    <x v="7"/>
  </r>
  <r>
    <s v="23GO11I14"/>
    <x v="18"/>
    <n v="4984.1064183940034"/>
    <n v="1.5638148000000001E-2"/>
    <n v="7.7942193818595351E-2"/>
    <n v="20"/>
    <x v="5"/>
    <n v="1.558843876371907E-3"/>
    <x v="7"/>
  </r>
  <r>
    <s v="23GO11I14"/>
    <x v="45"/>
    <n v="1661.3688061313344"/>
    <n v="3.2376688281599999"/>
    <n v="5.3789619956888153"/>
    <n v="20"/>
    <x v="5"/>
    <n v="0.10757923991377631"/>
    <x v="7"/>
  </r>
  <r>
    <s v="23GO11I14"/>
    <x v="20"/>
    <n v="16613.688061313343"/>
    <n v="1.8283302000000001E-2"/>
    <n v="0.30375307615878638"/>
    <n v="20"/>
    <x v="5"/>
    <n v="6.0750615231757272E-3"/>
    <x v="7"/>
  </r>
  <r>
    <s v="23GO11I14"/>
    <x v="21"/>
    <n v="212655.2071848108"/>
    <n v="1.8252976299999998E-2"/>
    <n v="3.8815904568159407"/>
    <n v="20"/>
    <x v="5"/>
    <n v="7.7631809136318827E-2"/>
    <x v="7"/>
  </r>
  <r>
    <s v="23GO11I14"/>
    <x v="22"/>
    <n v="1661.3688061313344"/>
    <n v="2.6619999999999998E-2"/>
    <n v="4.4225637619216114E-2"/>
    <n v="20"/>
    <x v="5"/>
    <n v="8.8451275238432222E-4"/>
    <x v="7"/>
  </r>
  <r>
    <s v="23GO11I14"/>
    <x v="23"/>
    <n v="96359.390755617394"/>
    <n v="6.3647275124999996E-3"/>
    <n v="0.61330126543001617"/>
    <n v="20"/>
    <x v="5"/>
    <n v="1.2266025308600322E-2"/>
    <x v="7"/>
  </r>
  <r>
    <s v="23GO11I14"/>
    <x v="24"/>
    <n v="142877.71732729475"/>
    <n v="1.5209310000000001E-3"/>
    <n v="0.21730714949231975"/>
    <n v="20"/>
    <x v="5"/>
    <n v="4.3461429898463948E-3"/>
    <x v="7"/>
  </r>
  <r>
    <s v="23GO11I14"/>
    <x v="37"/>
    <n v="8306.8440306566717"/>
    <n v="2.2414067999999999E-3"/>
    <n v="1.8619016696853272E-2"/>
    <n v="20"/>
    <x v="5"/>
    <n v="3.7238033393706545E-4"/>
    <x v="7"/>
  </r>
  <r>
    <s v="23GO11I14"/>
    <x v="25"/>
    <n v="8306.8440306566717"/>
    <n v="3.6398955999999995E-3"/>
    <n v="3.0236045037073479E-2"/>
    <n v="20"/>
    <x v="5"/>
    <n v="6.0472090074146958E-4"/>
    <x v="7"/>
  </r>
  <r>
    <s v="23GO11I14"/>
    <x v="26"/>
    <n v="26581.90089810135"/>
    <n v="2.6760137500000006E-3"/>
    <n v="7.1133532304456584E-2"/>
    <n v="20"/>
    <x v="5"/>
    <n v="1.4226706460891316E-3"/>
    <x v="7"/>
  </r>
  <r>
    <s v="23GO11I14"/>
    <x v="27"/>
    <n v="18275.056867444677"/>
    <n v="7.7001865499999989E-2"/>
    <n v="1.407213470911826"/>
    <n v="20"/>
    <x v="5"/>
    <n v="2.8144269418236518E-2"/>
    <x v="7"/>
  </r>
  <r>
    <s v="23GO11I14"/>
    <x v="38"/>
    <n v="1661.3688061313344"/>
    <n v="0.14706125"/>
    <n v="0.2443229733406817"/>
    <n v="20"/>
    <x v="5"/>
    <n v="4.8864594668136339E-3"/>
    <x v="7"/>
  </r>
  <r>
    <s v="23GO11I14"/>
    <x v="40"/>
    <n v="4984.1064183940034"/>
    <n v="1.8521775066666669E-2"/>
    <n v="9.2314497989823371E-2"/>
    <n v="20"/>
    <x v="5"/>
    <n v="1.8462899597964674E-3"/>
    <x v="7"/>
  </r>
  <r>
    <s v="23GO11I14"/>
    <x v="33"/>
    <n v="1661.3688061313344"/>
    <n v="7.9400409088000015E-2"/>
    <n v="0.13191336285287014"/>
    <n v="20"/>
    <x v="5"/>
    <n v="2.6382672570574028E-3"/>
    <x v="7"/>
  </r>
  <r>
    <s v="23GO11I34"/>
    <x v="0"/>
    <n v="16271.165796860847"/>
    <n v="1.7198782906870875"/>
    <n v="27.984424818191236"/>
    <n v="20"/>
    <x v="6"/>
    <n v="0.55968849636382467"/>
    <x v="0"/>
  </r>
  <r>
    <s v="23GO11I34"/>
    <x v="2"/>
    <n v="309.57733954830206"/>
    <n v="2.8834654462772278"/>
    <n v="0.89265556153796166"/>
    <n v="20"/>
    <x v="6"/>
    <n v="1.7853111230759233E-2"/>
    <x v="1"/>
  </r>
  <r>
    <s v="23GO11I34"/>
    <x v="4"/>
    <n v="15149.016431560098"/>
    <n v="0.96396512089319497"/>
    <n v="14.603123455861827"/>
    <n v="20"/>
    <x v="6"/>
    <n v="0.29206246911723655"/>
    <x v="2"/>
  </r>
  <r>
    <s v="23GO11I34"/>
    <x v="6"/>
    <n v="1028.6369181923524"/>
    <n v="5.6907353700944734"/>
    <n v="5.8537004933421946"/>
    <n v="20"/>
    <x v="6"/>
    <n v="0.11707400986684389"/>
    <x v="3"/>
  </r>
  <r>
    <s v="23GO11I34"/>
    <x v="7"/>
    <n v="3834.0103314442222"/>
    <n v="3.7231298789267924"/>
    <n v="14.274518421113999"/>
    <n v="20"/>
    <x v="6"/>
    <n v="0.28549036842227998"/>
    <x v="3"/>
  </r>
  <r>
    <s v="23GO11I34"/>
    <x v="8"/>
    <n v="1496.1991537343306"/>
    <n v="5.2872939538150376"/>
    <n v="7.9108447392427026"/>
    <n v="20"/>
    <x v="6"/>
    <n v="0.15821689478485404"/>
    <x v="4"/>
  </r>
  <r>
    <s v="23GO11I34"/>
    <x v="9"/>
    <n v="8696.6575810807972"/>
    <n v="3.1186474306549665"/>
    <n v="27.121808820523665"/>
    <n v="20"/>
    <x v="6"/>
    <n v="0.54243617641047326"/>
    <x v="2"/>
  </r>
  <r>
    <s v="23GO11I34"/>
    <x v="36"/>
    <n v="93.512447108395662"/>
    <n v="0.80359762501548737"/>
    <n v="7.5146380405693131E-2"/>
    <n v="20"/>
    <x v="6"/>
    <n v="1.5029276081138625E-3"/>
    <x v="0"/>
  </r>
  <r>
    <s v="23GO11I34"/>
    <x v="11"/>
    <n v="12904.717700958603"/>
    <n v="1.1050492155650933"/>
    <n v="14.260348172533279"/>
    <n v="20"/>
    <x v="6"/>
    <n v="0.2852069634506656"/>
    <x v="0"/>
  </r>
  <r>
    <s v="23GO11I34"/>
    <x v="46"/>
    <n v="93.512447108395662"/>
    <n v="8.5782192137755011"/>
    <n v="0.80217027051240497"/>
    <n v="20"/>
    <x v="6"/>
    <n v="1.60434054102481E-2"/>
    <x v="4"/>
  </r>
  <r>
    <s v="23GO11I34"/>
    <x v="13"/>
    <n v="40.076763046455284"/>
    <n v="0.71838104484645471"/>
    <n v="2.879038691137633E-2"/>
    <n v="20"/>
    <x v="6"/>
    <n v="5.7580773822752665E-4"/>
    <x v="1"/>
  </r>
  <r>
    <s v="23GO11I34"/>
    <x v="14"/>
    <n v="240.4605782787317"/>
    <n v="6.1237248013964907"/>
    <n v="1.4725144069636118"/>
    <n v="20"/>
    <x v="6"/>
    <n v="2.9450288139272234E-2"/>
    <x v="1"/>
  </r>
  <r>
    <s v="23GO11I34"/>
    <x v="16"/>
    <n v="45306.780624017701"/>
    <n v="9.6096684775880958E-2"/>
    <n v="4.3538314158362201"/>
    <n v="20"/>
    <x v="6"/>
    <n v="8.70766283167244E-2"/>
    <x v="5"/>
  </r>
  <r>
    <s v="23GO11I34"/>
    <x v="17"/>
    <n v="8345.985904424313"/>
    <n v="0.37265573977304622"/>
    <n v="3.1101795513486588"/>
    <n v="20"/>
    <x v="6"/>
    <n v="6.2203591026973169E-2"/>
    <x v="6"/>
  </r>
  <r>
    <s v="23GO11I34"/>
    <x v="18"/>
    <n v="2384.5674012640893"/>
    <n v="1.3116431999999999E-2"/>
    <n v="3.1277016168097138E-2"/>
    <n v="20"/>
    <x v="6"/>
    <n v="6.2554032336194275E-4"/>
    <x v="7"/>
  </r>
  <r>
    <s v="23GO11I34"/>
    <x v="19"/>
    <n v="3576.8511018961344"/>
    <n v="2.7256591680499995"/>
    <n v="9.7492769986329417"/>
    <n v="20"/>
    <x v="6"/>
    <n v="0.19498553997265883"/>
    <x v="7"/>
  </r>
  <r>
    <s v="23GO11I34"/>
    <x v="20"/>
    <n v="11922.837006320447"/>
    <n v="2.3766858000000002E-2"/>
    <n v="0.28336837408636317"/>
    <n v="20"/>
    <x v="6"/>
    <n v="5.6673674817272627E-3"/>
    <x v="7"/>
  </r>
  <r>
    <s v="23GO11I34"/>
    <x v="21"/>
    <n v="172881.1365916465"/>
    <n v="2.0907828500000003E-2"/>
    <n v="3.6145691547432204"/>
    <n v="20"/>
    <x v="6"/>
    <n v="7.2291383094864409E-2"/>
    <x v="7"/>
  </r>
  <r>
    <s v="23GO11I34"/>
    <x v="22"/>
    <n v="1192.2837006320447"/>
    <n v="9.4910400000000009E-3"/>
    <n v="1.1316012294046763E-2"/>
    <n v="20"/>
    <x v="6"/>
    <n v="2.2632024588093526E-4"/>
    <x v="7"/>
  </r>
  <r>
    <s v="23GO11I34"/>
    <x v="23"/>
    <n v="139497.19297394925"/>
    <n v="7.0731482849999998E-3"/>
    <n v="0.98668433124600308"/>
    <n v="20"/>
    <x v="6"/>
    <n v="1.973368662492006E-2"/>
    <x v="7"/>
  </r>
  <r>
    <s v="23GO11I34"/>
    <x v="24"/>
    <n v="92998.128649299499"/>
    <n v="1.4629394999999996E-3"/>
    <n v="0.13605063582714186"/>
    <n v="20"/>
    <x v="6"/>
    <n v="2.7210127165428369E-3"/>
    <x v="7"/>
  </r>
  <r>
    <s v="23GO11I34"/>
    <x v="25"/>
    <n v="3576.8511018961344"/>
    <n v="3.2072693333333336E-3"/>
    <n v="1.1471924849011014E-2"/>
    <n v="20"/>
    <x v="6"/>
    <n v="2.2943849698022029E-4"/>
    <x v="7"/>
  </r>
  <r>
    <s v="23GO11I34"/>
    <x v="26"/>
    <n v="35768.511018961341"/>
    <n v="2.3441619999999995E-3"/>
    <n v="8.3847184327230442E-2"/>
    <n v="20"/>
    <x v="6"/>
    <n v="1.6769436865446089E-3"/>
    <x v="7"/>
  </r>
  <r>
    <s v="23GO11I34"/>
    <x v="27"/>
    <n v="1192.2837006320447"/>
    <n v="7.1890341600000005E-2"/>
    <n v="8.5713682522549836E-2"/>
    <n v="20"/>
    <x v="6"/>
    <n v="1.7142736504509968E-3"/>
    <x v="7"/>
  </r>
  <r>
    <s v="23GO11I34"/>
    <x v="38"/>
    <n v="1192.2837006320447"/>
    <n v="8.9989120000000006E-2"/>
    <n v="0.10729256101022115"/>
    <n v="20"/>
    <x v="6"/>
    <n v="2.1458512202044231E-3"/>
    <x v="7"/>
  </r>
  <r>
    <s v="23GO11I34"/>
    <x v="40"/>
    <n v="1192.2837006320447"/>
    <n v="1.82552832E-2"/>
    <n v="2.1765476609781995E-2"/>
    <n v="20"/>
    <x v="6"/>
    <n v="4.3530953219563987E-4"/>
    <x v="7"/>
  </r>
  <r>
    <s v="23GO11I34"/>
    <x v="30"/>
    <n v="1192.2837006320447"/>
    <n v="2.3209986800000006E-2"/>
    <n v="2.7672888953524915E-2"/>
    <n v="20"/>
    <x v="6"/>
    <n v="5.5345777907049836E-4"/>
    <x v="7"/>
  </r>
  <r>
    <s v="23GO11I34"/>
    <x v="32"/>
    <n v="4769.1348025281786"/>
    <n v="4.0091150000000006E-2"/>
    <n v="0.19120009873837762"/>
    <n v="20"/>
    <x v="6"/>
    <n v="3.8240019747675523E-3"/>
    <x v="7"/>
  </r>
  <r>
    <s v="23GO11I34"/>
    <x v="33"/>
    <n v="5961.4185031602237"/>
    <n v="8.1841454406400005E-2"/>
    <n v="0.48789116062385685"/>
    <n v="20"/>
    <x v="6"/>
    <n v="9.7578232124771371E-3"/>
    <x v="7"/>
  </r>
  <r>
    <s v="23GO11I34"/>
    <x v="34"/>
    <n v="1192.2837006320447"/>
    <n v="5.5224104415999994E-2"/>
    <n v="6.5842799577198921E-2"/>
    <n v="20"/>
    <x v="6"/>
    <n v="1.3168559915439785E-3"/>
    <x v="7"/>
  </r>
  <r>
    <s v="23GO11I54"/>
    <x v="0"/>
    <n v="1671.5349920625727"/>
    <n v="1.3017553027401461"/>
    <n v="2.1759295396331617"/>
    <n v="20"/>
    <x v="7"/>
    <n v="4.351859079266323E-2"/>
    <x v="0"/>
  </r>
  <r>
    <s v="23GO11I54"/>
    <x v="1"/>
    <n v="9.7941503441166358"/>
    <n v="217.05038760344695"/>
    <n v="2.1258241284369492"/>
    <n v="20"/>
    <x v="7"/>
    <n v="4.2516482568738988E-2"/>
    <x v="1"/>
  </r>
  <r>
    <s v="23GO11I54"/>
    <x v="2"/>
    <n v="3.5615092160424133"/>
    <n v="6.215999419479604"/>
    <n v="2.2138339219390901E-2"/>
    <n v="20"/>
    <x v="7"/>
    <n v="4.4276678438781803E-4"/>
    <x v="1"/>
  </r>
  <r>
    <s v="23GO11I54"/>
    <x v="4"/>
    <n v="5166.5627027388609"/>
    <n v="0.84353767636859178"/>
    <n v="4.3581902970809709"/>
    <n v="20"/>
    <x v="7"/>
    <n v="8.7163805941619418E-2"/>
    <x v="2"/>
  </r>
  <r>
    <s v="23GO11I54"/>
    <x v="6"/>
    <n v="1823.4927186137156"/>
    <n v="6.6445159156586628"/>
    <n v="12.116226390916518"/>
    <n v="20"/>
    <x v="7"/>
    <n v="0.24232452781833036"/>
    <x v="3"/>
  </r>
  <r>
    <s v="23GO11I54"/>
    <x v="7"/>
    <n v="506.52575517047649"/>
    <n v="2.1706785426056876"/>
    <n v="1.0995045880256953"/>
    <n v="20"/>
    <x v="7"/>
    <n v="2.1990091760513905E-2"/>
    <x v="3"/>
  </r>
  <r>
    <s v="23GO11I54"/>
    <x v="8"/>
    <n v="1519.5772655114297"/>
    <n v="3.1694157752296244"/>
    <n v="4.8161721569922209"/>
    <n v="20"/>
    <x v="7"/>
    <n v="9.6323443139844409E-2"/>
    <x v="4"/>
  </r>
  <r>
    <s v="23GO11I54"/>
    <x v="9"/>
    <n v="1899.4715818892871"/>
    <n v="4.2540587993579022"/>
    <n v="8.0804637970663968"/>
    <n v="20"/>
    <x v="7"/>
    <n v="0.16160927594132796"/>
    <x v="2"/>
  </r>
  <r>
    <s v="23GO11I54"/>
    <x v="10"/>
    <n v="50.652575517047651"/>
    <n v="4.6347638030510714"/>
    <n v="0.23476272353772337"/>
    <n v="20"/>
    <x v="7"/>
    <n v="4.6952544707544678E-3"/>
    <x v="4"/>
  </r>
  <r>
    <s v="23GO11I54"/>
    <x v="35"/>
    <n v="21.708246650163279"/>
    <n v="14.581366797310977"/>
    <n v="0.31653590693252809"/>
    <n v="20"/>
    <x v="7"/>
    <n v="6.3307181386505623E-3"/>
    <x v="4"/>
  </r>
  <r>
    <s v="23GO11I54"/>
    <x v="11"/>
    <n v="10.854123325081639"/>
    <n v="1.866984208896922"/>
    <n v="2.0264476849347172E-2"/>
    <n v="20"/>
    <x v="7"/>
    <n v="4.0528953698694349E-4"/>
    <x v="0"/>
  </r>
  <r>
    <s v="23GO11I54"/>
    <x v="12"/>
    <n v="253.26287758523824"/>
    <n v="3.886361120166808"/>
    <n v="0.98427100062883566"/>
    <n v="20"/>
    <x v="7"/>
    <n v="1.9685420012576713E-2"/>
    <x v="4"/>
  </r>
  <r>
    <s v="23GO11I54"/>
    <x v="46"/>
    <n v="50.652575517047651"/>
    <n v="13.289414609426299"/>
    <n v="0.67314307708132193"/>
    <n v="20"/>
    <x v="7"/>
    <n v="1.3462861541626438E-2"/>
    <x v="4"/>
  </r>
  <r>
    <s v="23GO11I54"/>
    <x v="13"/>
    <n v="466.72730297851047"/>
    <n v="7.712114874341661"/>
    <n v="3.5994545755619374"/>
    <n v="20"/>
    <x v="7"/>
    <n v="7.1989091511238737E-2"/>
    <x v="1"/>
  </r>
  <r>
    <s v="23GO11I54"/>
    <x v="47"/>
    <n v="65.12473995048984"/>
    <n v="51.435577247827013"/>
    <n v="3.349728592468066"/>
    <n v="20"/>
    <x v="7"/>
    <n v="6.699457184936132E-2"/>
    <x v="8"/>
  </r>
  <r>
    <s v="23GO11I54"/>
    <x v="16"/>
    <n v="17285.191395192513"/>
    <n v="0.1197547861258155"/>
    <n v="2.0699843986750657"/>
    <n v="20"/>
    <x v="7"/>
    <n v="4.1399687973501312E-2"/>
    <x v="5"/>
  </r>
  <r>
    <s v="23GO11I54"/>
    <x v="17"/>
    <n v="797.77806439350059"/>
    <n v="0.29332521440284226"/>
    <n v="0.23400842178410808"/>
    <n v="20"/>
    <x v="7"/>
    <n v="4.6801684356821615E-3"/>
    <x v="6"/>
  </r>
  <r>
    <s v="23GO11I54"/>
    <x v="18"/>
    <n v="2393.3341931805016"/>
    <n v="1.251564E-2"/>
    <n v="2.9954109161537613E-2"/>
    <n v="20"/>
    <x v="7"/>
    <n v="5.9908218323075221E-4"/>
    <x v="7"/>
  </r>
  <r>
    <s v="23GO11I54"/>
    <x v="19"/>
    <n v="265.9260214645002"/>
    <n v="3.3202117010399999"/>
    <n v="0.88293068807744768"/>
    <n v="20"/>
    <x v="7"/>
    <n v="1.7658613761548952E-2"/>
    <x v="7"/>
  </r>
  <r>
    <s v="23GO11I54"/>
    <x v="20"/>
    <n v="1861.4821502515013"/>
    <n v="1.6597748571428574E-2"/>
    <n v="3.0896412700076644E-2"/>
    <n v="20"/>
    <x v="7"/>
    <n v="6.1792825400153282E-4"/>
    <x v="7"/>
  </r>
  <r>
    <s v="23GO11I54"/>
    <x v="21"/>
    <n v="32974.826661598025"/>
    <n v="1.9708851500000003E-2"/>
    <n v="0.64989596191167631"/>
    <n v="20"/>
    <x v="7"/>
    <n v="1.2997919238233527E-2"/>
    <x v="7"/>
  </r>
  <r>
    <s v="23GO11I54"/>
    <x v="22"/>
    <n v="5052.5944078255034"/>
    <n v="2.5753287368421054E-2"/>
    <n v="0.13012091574080739"/>
    <n v="20"/>
    <x v="7"/>
    <n v="2.602418314816148E-3"/>
    <x v="7"/>
  </r>
  <r>
    <s v="23GO11I54"/>
    <x v="23"/>
    <n v="17551.117416657013"/>
    <n v="7.2619143817499992E-3"/>
    <n v="0.12745471198380445"/>
    <n v="20"/>
    <x v="7"/>
    <n v="2.5490942396760889E-3"/>
    <x v="7"/>
  </r>
  <r>
    <s v="23GO11I54"/>
    <x v="24"/>
    <n v="5052.5944078255034"/>
    <n v="1.2349373684210528E-3"/>
    <n v="6.2396376416989545E-3"/>
    <n v="20"/>
    <x v="7"/>
    <n v="1.2479275283397908E-4"/>
    <x v="7"/>
  </r>
  <r>
    <s v="23GO11I54"/>
    <x v="25"/>
    <n v="16753.339352263512"/>
    <n v="3.2139107000000002E-3"/>
    <n v="5.3843736604970771E-2"/>
    <n v="20"/>
    <x v="7"/>
    <n v="1.0768747320994154E-3"/>
    <x v="7"/>
  </r>
  <r>
    <s v="23GO11I54"/>
    <x v="26"/>
    <n v="1063.7040858580008"/>
    <n v="1.8708900000000001E-3"/>
    <n v="1.9900733371908752E-3"/>
    <n v="20"/>
    <x v="7"/>
    <n v="3.9801466743817499E-5"/>
    <x v="7"/>
  </r>
  <r>
    <s v="23GO11I54"/>
    <x v="27"/>
    <n v="265.9260214645002"/>
    <n v="2.9915169900000003E-2"/>
    <n v="7.9552221129415707E-3"/>
    <n v="20"/>
    <x v="7"/>
    <n v="1.5910444225883142E-4"/>
    <x v="7"/>
  </r>
  <r>
    <s v="23GO11I54"/>
    <x v="38"/>
    <n v="265.9260214645002"/>
    <n v="0.62570773000000002"/>
    <n v="0.16639196723848368"/>
    <n v="20"/>
    <x v="7"/>
    <n v="3.3278393447696737E-3"/>
    <x v="7"/>
  </r>
  <r>
    <s v="23GO11I54"/>
    <x v="29"/>
    <n v="15689.63526640551"/>
    <n v="2.3584124999999997E-2"/>
    <n v="0.37002631932731583"/>
    <n v="20"/>
    <x v="7"/>
    <n v="7.4005263865463168E-3"/>
    <x v="7"/>
  </r>
  <r>
    <s v="23GO11I54"/>
    <x v="40"/>
    <n v="265.9260214645002"/>
    <n v="2.3983590400000001E-2"/>
    <n v="6.3778607755061809E-3"/>
    <n v="20"/>
    <x v="7"/>
    <n v="1.2755721551012362E-4"/>
    <x v="7"/>
  </r>
  <r>
    <s v="23GO11I54"/>
    <x v="30"/>
    <n v="6116.2984936835046"/>
    <n v="5.1168180140000005E-2"/>
    <n v="0.31295986311480822"/>
    <n v="20"/>
    <x v="7"/>
    <n v="6.259197262296165E-3"/>
    <x v="7"/>
  </r>
  <r>
    <s v="23GO11I54"/>
    <x v="31"/>
    <n v="3457.0382790385024"/>
    <n v="5.7219102769230784E-2"/>
    <n v="0.1978086285654688"/>
    <n v="20"/>
    <x v="7"/>
    <n v="3.9561725713093757E-3"/>
    <x v="7"/>
  </r>
  <r>
    <s v="23GO11I54"/>
    <x v="32"/>
    <n v="1595.5561287870012"/>
    <n v="3.7786663333333338E-2"/>
    <n v="6.0290742267911063E-2"/>
    <n v="20"/>
    <x v="7"/>
    <n v="1.2058148453582213E-3"/>
    <x v="7"/>
  </r>
  <r>
    <s v="23GO11I54"/>
    <x v="34"/>
    <n v="531.85204292900039"/>
    <n v="6.7779062883999999E-2"/>
    <n v="3.6048433062668583E-2"/>
    <n v="20"/>
    <x v="7"/>
    <n v="7.2096866125337172E-4"/>
    <x v="7"/>
  </r>
  <r>
    <s v="23GO11I54"/>
    <x v="48"/>
    <n v="265.9260214645002"/>
    <n v="7.6412661520000001E-3"/>
    <n v="2.0320115067527108E-3"/>
    <n v="20"/>
    <x v="7"/>
    <n v="4.0640230135054219E-5"/>
    <x v="7"/>
  </r>
  <r>
    <m/>
    <x v="49"/>
    <m/>
    <m/>
    <m/>
    <m/>
    <x v="8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41A50-3DE2-B14A-AF52-06AB57050F3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65" firstHeaderRow="1" firstDataRow="2" firstDataCol="1"/>
  <pivotFields count="9">
    <pivotField showAll="0"/>
    <pivotField axis="axisRow" showAll="0">
      <items count="51">
        <item x="41"/>
        <item x="18"/>
        <item x="45"/>
        <item x="19"/>
        <item x="0"/>
        <item x="1"/>
        <item x="2"/>
        <item x="3"/>
        <item x="39"/>
        <item x="43"/>
        <item x="20"/>
        <item x="21"/>
        <item x="16"/>
        <item x="4"/>
        <item x="5"/>
        <item x="6"/>
        <item x="7"/>
        <item x="8"/>
        <item x="9"/>
        <item x="17"/>
        <item x="10"/>
        <item x="35"/>
        <item x="36"/>
        <item x="22"/>
        <item x="11"/>
        <item x="23"/>
        <item x="24"/>
        <item x="37"/>
        <item x="25"/>
        <item x="26"/>
        <item x="27"/>
        <item x="12"/>
        <item x="46"/>
        <item x="44"/>
        <item x="13"/>
        <item x="47"/>
        <item x="38"/>
        <item x="28"/>
        <item x="29"/>
        <item x="40"/>
        <item x="30"/>
        <item x="31"/>
        <item x="14"/>
        <item x="15"/>
        <item x="32"/>
        <item x="33"/>
        <item x="34"/>
        <item x="42"/>
        <item x="48"/>
        <item x="49"/>
        <item t="default"/>
      </items>
    </pivotField>
    <pivotField showAll="0"/>
    <pivotField showAll="0"/>
    <pivotField dataField="1" showAll="0"/>
    <pivotField showAll="0"/>
    <pivotField axis="axisCol" showAll="0">
      <items count="10">
        <item x="4"/>
        <item x="5"/>
        <item x="6"/>
        <item x="7"/>
        <item x="0"/>
        <item x="1"/>
        <item x="2"/>
        <item x="3"/>
        <item x="8"/>
        <item t="default"/>
      </items>
    </pivotField>
    <pivotField showAll="0"/>
    <pivotField axis="axisRow" showAll="0">
      <items count="11">
        <item x="4"/>
        <item x="2"/>
        <item x="3"/>
        <item x="6"/>
        <item x="8"/>
        <item x="5"/>
        <item x="0"/>
        <item x="1"/>
        <item x="7"/>
        <item x="9"/>
        <item t="default"/>
      </items>
    </pivotField>
  </pivotFields>
  <rowFields count="2">
    <field x="8"/>
    <field x="1"/>
  </rowFields>
  <rowItems count="61">
    <i>
      <x/>
    </i>
    <i r="1">
      <x v="17"/>
    </i>
    <i r="1">
      <x v="20"/>
    </i>
    <i r="1">
      <x v="21"/>
    </i>
    <i r="1">
      <x v="31"/>
    </i>
    <i r="1">
      <x v="32"/>
    </i>
    <i r="1">
      <x v="33"/>
    </i>
    <i r="1">
      <x v="43"/>
    </i>
    <i>
      <x v="1"/>
    </i>
    <i r="1">
      <x v="13"/>
    </i>
    <i r="1">
      <x v="18"/>
    </i>
    <i>
      <x v="2"/>
    </i>
    <i r="1">
      <x v="14"/>
    </i>
    <i r="1">
      <x v="15"/>
    </i>
    <i r="1">
      <x v="16"/>
    </i>
    <i>
      <x v="3"/>
    </i>
    <i r="1">
      <x v="19"/>
    </i>
    <i>
      <x v="4"/>
    </i>
    <i r="1">
      <x v="35"/>
    </i>
    <i>
      <x v="5"/>
    </i>
    <i r="1">
      <x v="12"/>
    </i>
    <i>
      <x v="6"/>
    </i>
    <i r="1">
      <x v="4"/>
    </i>
    <i r="1">
      <x v="7"/>
    </i>
    <i r="1">
      <x v="8"/>
    </i>
    <i r="1">
      <x v="9"/>
    </i>
    <i r="1">
      <x v="22"/>
    </i>
    <i r="1">
      <x v="24"/>
    </i>
    <i>
      <x v="7"/>
    </i>
    <i r="1">
      <x v="5"/>
    </i>
    <i r="1">
      <x v="6"/>
    </i>
    <i r="1">
      <x v="34"/>
    </i>
    <i r="1">
      <x v="42"/>
    </i>
    <i>
      <x v="8"/>
    </i>
    <i r="1">
      <x/>
    </i>
    <i r="1">
      <x v="1"/>
    </i>
    <i r="1">
      <x v="2"/>
    </i>
    <i r="1">
      <x v="3"/>
    </i>
    <i r="1">
      <x v="10"/>
    </i>
    <i r="1">
      <x v="1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5"/>
    </i>
    <i r="1">
      <x v="46"/>
    </i>
    <i r="1">
      <x v="47"/>
    </i>
    <i r="1">
      <x v="48"/>
    </i>
    <i>
      <x v="9"/>
    </i>
    <i r="1">
      <x v="4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Biomass mg m3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11600-6783-5847-981E-1625CFFF2FC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65" firstHeaderRow="1" firstDataRow="2" firstDataCol="1"/>
  <pivotFields count="9">
    <pivotField showAll="0"/>
    <pivotField axis="axisRow" showAll="0">
      <items count="51">
        <item x="41"/>
        <item x="18"/>
        <item x="45"/>
        <item x="19"/>
        <item x="0"/>
        <item x="1"/>
        <item x="2"/>
        <item x="3"/>
        <item x="39"/>
        <item x="43"/>
        <item x="20"/>
        <item x="21"/>
        <item x="16"/>
        <item x="4"/>
        <item x="5"/>
        <item x="6"/>
        <item x="7"/>
        <item x="8"/>
        <item x="9"/>
        <item x="17"/>
        <item x="10"/>
        <item x="35"/>
        <item x="36"/>
        <item x="22"/>
        <item x="11"/>
        <item x="23"/>
        <item x="24"/>
        <item x="37"/>
        <item x="25"/>
        <item x="26"/>
        <item x="27"/>
        <item x="12"/>
        <item x="46"/>
        <item x="44"/>
        <item x="13"/>
        <item x="47"/>
        <item x="38"/>
        <item x="28"/>
        <item x="29"/>
        <item x="40"/>
        <item x="30"/>
        <item x="31"/>
        <item x="14"/>
        <item x="15"/>
        <item x="32"/>
        <item x="33"/>
        <item x="34"/>
        <item x="42"/>
        <item x="48"/>
        <item x="49"/>
        <item t="default"/>
      </items>
    </pivotField>
    <pivotField showAll="0"/>
    <pivotField dataField="1" showAll="0"/>
    <pivotField showAll="0"/>
    <pivotField showAll="0"/>
    <pivotField axis="axisCol" showAll="0">
      <items count="10">
        <item x="4"/>
        <item x="5"/>
        <item x="6"/>
        <item x="7"/>
        <item x="0"/>
        <item x="1"/>
        <item x="2"/>
        <item x="3"/>
        <item x="8"/>
        <item t="default"/>
      </items>
    </pivotField>
    <pivotField showAll="0"/>
    <pivotField axis="axisRow" showAll="0">
      <items count="11">
        <item x="4"/>
        <item x="2"/>
        <item x="3"/>
        <item x="6"/>
        <item x="8"/>
        <item x="5"/>
        <item x="0"/>
        <item x="1"/>
        <item x="7"/>
        <item x="9"/>
        <item t="default"/>
      </items>
    </pivotField>
  </pivotFields>
  <rowFields count="2">
    <field x="8"/>
    <field x="1"/>
  </rowFields>
  <rowItems count="61">
    <i>
      <x/>
    </i>
    <i r="1">
      <x v="17"/>
    </i>
    <i r="1">
      <x v="20"/>
    </i>
    <i r="1">
      <x v="21"/>
    </i>
    <i r="1">
      <x v="31"/>
    </i>
    <i r="1">
      <x v="32"/>
    </i>
    <i r="1">
      <x v="33"/>
    </i>
    <i r="1">
      <x v="43"/>
    </i>
    <i>
      <x v="1"/>
    </i>
    <i r="1">
      <x v="13"/>
    </i>
    <i r="1">
      <x v="18"/>
    </i>
    <i>
      <x v="2"/>
    </i>
    <i r="1">
      <x v="14"/>
    </i>
    <i r="1">
      <x v="15"/>
    </i>
    <i r="1">
      <x v="16"/>
    </i>
    <i>
      <x v="3"/>
    </i>
    <i r="1">
      <x v="19"/>
    </i>
    <i>
      <x v="4"/>
    </i>
    <i r="1">
      <x v="35"/>
    </i>
    <i>
      <x v="5"/>
    </i>
    <i r="1">
      <x v="12"/>
    </i>
    <i>
      <x v="6"/>
    </i>
    <i r="1">
      <x v="4"/>
    </i>
    <i r="1">
      <x v="7"/>
    </i>
    <i r="1">
      <x v="8"/>
    </i>
    <i r="1">
      <x v="9"/>
    </i>
    <i r="1">
      <x v="22"/>
    </i>
    <i r="1">
      <x v="24"/>
    </i>
    <i>
      <x v="7"/>
    </i>
    <i r="1">
      <x v="5"/>
    </i>
    <i r="1">
      <x v="6"/>
    </i>
    <i r="1">
      <x v="34"/>
    </i>
    <i r="1">
      <x v="42"/>
    </i>
    <i>
      <x v="8"/>
    </i>
    <i r="1">
      <x/>
    </i>
    <i r="1">
      <x v="1"/>
    </i>
    <i r="1">
      <x v="2"/>
    </i>
    <i r="1">
      <x v="3"/>
    </i>
    <i r="1">
      <x v="10"/>
    </i>
    <i r="1">
      <x v="1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5"/>
    </i>
    <i r="1">
      <x v="46"/>
    </i>
    <i r="1">
      <x v="47"/>
    </i>
    <i r="1">
      <x v="48"/>
    </i>
    <i>
      <x v="9"/>
    </i>
    <i r="1">
      <x v="4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Avg Ind Wt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1872-EE61-7A4A-8616-42A68574E79A}">
  <dimension ref="A3:K65"/>
  <sheetViews>
    <sheetView workbookViewId="0">
      <selection activeCell="Q17" sqref="Q17"/>
    </sheetView>
  </sheetViews>
  <sheetFormatPr defaultColWidth="11" defaultRowHeight="15.75" x14ac:dyDescent="0.25"/>
  <cols>
    <col min="1" max="1" width="20.625" bestFit="1" customWidth="1"/>
    <col min="2" max="2" width="16" bestFit="1" customWidth="1"/>
    <col min="3" max="3" width="5.875" bestFit="1" customWidth="1"/>
    <col min="4" max="4" width="6.625" bestFit="1" customWidth="1"/>
    <col min="5" max="6" width="5.875" bestFit="1" customWidth="1"/>
    <col min="7" max="7" width="7.375" bestFit="1" customWidth="1"/>
    <col min="8" max="9" width="5.875" bestFit="1" customWidth="1"/>
    <col min="10" max="10" width="7" bestFit="1" customWidth="1"/>
    <col min="11" max="11" width="10.5" bestFit="1" customWidth="1"/>
  </cols>
  <sheetData>
    <row r="3" spans="1:11" x14ac:dyDescent="0.25">
      <c r="A3" s="11" t="s">
        <v>88</v>
      </c>
      <c r="B3" s="11" t="s">
        <v>87</v>
      </c>
    </row>
    <row r="4" spans="1:11" x14ac:dyDescent="0.25">
      <c r="A4" s="11" t="s">
        <v>84</v>
      </c>
      <c r="B4" t="s">
        <v>79</v>
      </c>
      <c r="C4" t="s">
        <v>80</v>
      </c>
      <c r="D4" t="s">
        <v>81</v>
      </c>
      <c r="E4" t="s">
        <v>82</v>
      </c>
      <c r="F4" t="s">
        <v>70</v>
      </c>
      <c r="G4" t="s">
        <v>76</v>
      </c>
      <c r="H4" t="s">
        <v>77</v>
      </c>
      <c r="I4" t="s">
        <v>78</v>
      </c>
      <c r="J4" t="s">
        <v>85</v>
      </c>
      <c r="K4" t="s">
        <v>86</v>
      </c>
    </row>
    <row r="5" spans="1:11" x14ac:dyDescent="0.25">
      <c r="A5" s="12" t="s">
        <v>75</v>
      </c>
      <c r="B5" s="3">
        <v>5.2362066976882309</v>
      </c>
      <c r="C5" s="3">
        <v>1.8088126846931072</v>
      </c>
      <c r="D5" s="3">
        <v>8.7130150097551073</v>
      </c>
      <c r="E5" s="3">
        <v>7.0248848651726297</v>
      </c>
      <c r="F5" s="3">
        <v>2.3960992270004358</v>
      </c>
      <c r="G5" s="3">
        <v>6.0942620495505562</v>
      </c>
      <c r="H5" s="3">
        <v>8.031914973637603</v>
      </c>
      <c r="I5" s="3">
        <v>17.544225685871332</v>
      </c>
      <c r="J5" s="3"/>
      <c r="K5" s="3">
        <v>56.849421193368997</v>
      </c>
    </row>
    <row r="6" spans="1:11" x14ac:dyDescent="0.25">
      <c r="A6" s="2" t="s">
        <v>55</v>
      </c>
      <c r="B6" s="3">
        <v>4.0665575348396521</v>
      </c>
      <c r="C6" s="3">
        <v>1.1045217851521987</v>
      </c>
      <c r="D6" s="3">
        <v>7.9108447392427026</v>
      </c>
      <c r="E6" s="3">
        <v>4.8161721569922209</v>
      </c>
      <c r="F6" s="3">
        <v>0.59380888997699799</v>
      </c>
      <c r="G6" s="3">
        <v>2.5130585532856395</v>
      </c>
      <c r="H6" s="3">
        <v>2.3709168621383627</v>
      </c>
      <c r="I6" s="3">
        <v>4.9280465576660593</v>
      </c>
      <c r="J6" s="3"/>
      <c r="K6" s="3">
        <v>28.303927079293828</v>
      </c>
    </row>
    <row r="7" spans="1:11" x14ac:dyDescent="0.25">
      <c r="A7" s="2" t="s">
        <v>57</v>
      </c>
      <c r="B7" s="3"/>
      <c r="C7" s="3">
        <v>0.10992707595953449</v>
      </c>
      <c r="D7" s="3"/>
      <c r="E7" s="3">
        <v>0.23476272353772337</v>
      </c>
      <c r="F7" s="3">
        <v>0.36554857725471945</v>
      </c>
      <c r="G7" s="3">
        <v>0.24393027614025997</v>
      </c>
      <c r="H7" s="3">
        <v>0.36290512369218886</v>
      </c>
      <c r="I7" s="3">
        <v>0.49435640982986212</v>
      </c>
      <c r="J7" s="3"/>
      <c r="K7" s="3">
        <v>1.8114301864142883</v>
      </c>
    </row>
    <row r="8" spans="1:11" x14ac:dyDescent="0.25">
      <c r="A8" s="2" t="s">
        <v>63</v>
      </c>
      <c r="B8" s="3"/>
      <c r="C8" s="3"/>
      <c r="D8" s="3"/>
      <c r="E8" s="3">
        <v>0.31653590693252809</v>
      </c>
      <c r="F8" s="3"/>
      <c r="G8" s="3">
        <v>0.18960393741357986</v>
      </c>
      <c r="H8" s="3">
        <v>0.36063373043080282</v>
      </c>
      <c r="I8" s="3">
        <v>0.4401291492780936</v>
      </c>
      <c r="J8" s="3"/>
      <c r="K8" s="3">
        <v>1.3069027240550044</v>
      </c>
    </row>
    <row r="9" spans="1:11" x14ac:dyDescent="0.25">
      <c r="A9" s="2" t="s">
        <v>59</v>
      </c>
      <c r="B9" s="3">
        <v>1.1696491628485788</v>
      </c>
      <c r="C9" s="3">
        <v>0.14245602531269877</v>
      </c>
      <c r="D9" s="3"/>
      <c r="E9" s="3">
        <v>0.98427100062883566</v>
      </c>
      <c r="F9" s="3">
        <v>0.97595829369191422</v>
      </c>
      <c r="G9" s="3">
        <v>2.262590416735204</v>
      </c>
      <c r="H9" s="3">
        <v>3.1326992035699441</v>
      </c>
      <c r="I9" s="3">
        <v>8.1163252377643325</v>
      </c>
      <c r="J9" s="3"/>
      <c r="K9" s="3">
        <v>16.783949340551509</v>
      </c>
    </row>
    <row r="10" spans="1:11" x14ac:dyDescent="0.25">
      <c r="A10" s="2" t="s">
        <v>68</v>
      </c>
      <c r="B10" s="3"/>
      <c r="C10" s="3"/>
      <c r="D10" s="3">
        <v>0.80217027051240497</v>
      </c>
      <c r="E10" s="3">
        <v>0.67314307708132193</v>
      </c>
      <c r="F10" s="3"/>
      <c r="G10" s="3"/>
      <c r="H10" s="3"/>
      <c r="I10" s="3"/>
      <c r="J10" s="3"/>
      <c r="K10" s="3">
        <v>1.475313347593727</v>
      </c>
    </row>
    <row r="11" spans="1:11" x14ac:dyDescent="0.25">
      <c r="A11" s="2" t="s">
        <v>67</v>
      </c>
      <c r="B11" s="3"/>
      <c r="C11" s="3">
        <v>0.1710460565642285</v>
      </c>
      <c r="D11" s="3"/>
      <c r="E11" s="3"/>
      <c r="F11" s="3"/>
      <c r="G11" s="3"/>
      <c r="H11" s="3"/>
      <c r="I11" s="3"/>
      <c r="J11" s="3"/>
      <c r="K11" s="3">
        <v>0.1710460565642285</v>
      </c>
    </row>
    <row r="12" spans="1:11" x14ac:dyDescent="0.25">
      <c r="A12" s="2" t="s">
        <v>62</v>
      </c>
      <c r="B12" s="3"/>
      <c r="C12" s="3">
        <v>0.28086174170444667</v>
      </c>
      <c r="D12" s="3"/>
      <c r="E12" s="3"/>
      <c r="F12" s="3">
        <v>0.46078346607680387</v>
      </c>
      <c r="G12" s="3">
        <v>0.88507886597587271</v>
      </c>
      <c r="H12" s="3">
        <v>1.8047600538063047</v>
      </c>
      <c r="I12" s="3">
        <v>3.5653683313329836</v>
      </c>
      <c r="J12" s="3"/>
      <c r="K12" s="3">
        <v>6.9968524588964112</v>
      </c>
    </row>
    <row r="13" spans="1:11" x14ac:dyDescent="0.25">
      <c r="A13" s="12" t="s">
        <v>73</v>
      </c>
      <c r="B13" s="3">
        <v>23.12222737111842</v>
      </c>
      <c r="C13" s="3">
        <v>6.4982582209719819</v>
      </c>
      <c r="D13" s="3">
        <v>41.724932276385488</v>
      </c>
      <c r="E13" s="3">
        <v>12.438654094147367</v>
      </c>
      <c r="F13" s="3">
        <v>1.127074670204085</v>
      </c>
      <c r="G13" s="3">
        <v>0.80873312403881936</v>
      </c>
      <c r="H13" s="3">
        <v>0.18892842103579502</v>
      </c>
      <c r="I13" s="3">
        <v>11.756772082442705</v>
      </c>
      <c r="J13" s="3"/>
      <c r="K13" s="3">
        <v>97.665580260344655</v>
      </c>
    </row>
    <row r="14" spans="1:11" x14ac:dyDescent="0.25">
      <c r="A14" s="2" t="s">
        <v>51</v>
      </c>
      <c r="B14" s="3">
        <v>8.276970657932857</v>
      </c>
      <c r="C14" s="3">
        <v>3.2313639006756665</v>
      </c>
      <c r="D14" s="3">
        <v>14.603123455861827</v>
      </c>
      <c r="E14" s="3">
        <v>4.3581902970809709</v>
      </c>
      <c r="F14" s="3">
        <v>0.30796856334415262</v>
      </c>
      <c r="G14" s="3">
        <v>0.17279080328230229</v>
      </c>
      <c r="H14" s="3">
        <v>4.8119606523396946E-2</v>
      </c>
      <c r="I14" s="3">
        <v>1.7521438765075135</v>
      </c>
      <c r="J14" s="3"/>
      <c r="K14" s="3">
        <v>32.750671161208686</v>
      </c>
    </row>
    <row r="15" spans="1:11" x14ac:dyDescent="0.25">
      <c r="A15" s="2" t="s">
        <v>56</v>
      </c>
      <c r="B15" s="3">
        <v>14.845256713185561</v>
      </c>
      <c r="C15" s="3">
        <v>3.2668943202963154</v>
      </c>
      <c r="D15" s="3">
        <v>27.121808820523665</v>
      </c>
      <c r="E15" s="3">
        <v>8.0804637970663968</v>
      </c>
      <c r="F15" s="3">
        <v>0.81910610685993246</v>
      </c>
      <c r="G15" s="3">
        <v>0.63594232075651713</v>
      </c>
      <c r="H15" s="3">
        <v>0.14080881451239807</v>
      </c>
      <c r="I15" s="3">
        <v>10.004628205935191</v>
      </c>
      <c r="J15" s="3"/>
      <c r="K15" s="3">
        <v>64.914909099135969</v>
      </c>
    </row>
    <row r="16" spans="1:11" x14ac:dyDescent="0.25">
      <c r="A16" s="12" t="s">
        <v>74</v>
      </c>
      <c r="B16" s="3">
        <v>25.38000267800253</v>
      </c>
      <c r="C16" s="3">
        <v>6.1068084519907568</v>
      </c>
      <c r="D16" s="3">
        <v>20.128218914456195</v>
      </c>
      <c r="E16" s="3">
        <v>13.215730978942213</v>
      </c>
      <c r="F16" s="3">
        <v>14.474422900569479</v>
      </c>
      <c r="G16" s="3">
        <v>1.5226972939296999</v>
      </c>
      <c r="H16" s="3">
        <v>4.9384209229862801</v>
      </c>
      <c r="I16" s="3">
        <v>2.9801617949284145</v>
      </c>
      <c r="J16" s="3"/>
      <c r="K16" s="3">
        <v>88.746463935805565</v>
      </c>
    </row>
    <row r="17" spans="1:11" x14ac:dyDescent="0.25">
      <c r="A17" s="2" t="s">
        <v>52</v>
      </c>
      <c r="B17" s="3">
        <v>0.88000668482395694</v>
      </c>
      <c r="C17" s="3"/>
      <c r="D17" s="3"/>
      <c r="E17" s="3"/>
      <c r="F17" s="3">
        <v>9.7977676882727668E-2</v>
      </c>
      <c r="G17" s="3"/>
      <c r="H17" s="3"/>
      <c r="I17" s="3"/>
      <c r="J17" s="3"/>
      <c r="K17" s="3">
        <v>0.97798436170668457</v>
      </c>
    </row>
    <row r="18" spans="1:11" x14ac:dyDescent="0.25">
      <c r="A18" s="2" t="s">
        <v>53</v>
      </c>
      <c r="B18" s="3">
        <v>17.831989515084238</v>
      </c>
      <c r="C18" s="3">
        <v>1.4697920892288256</v>
      </c>
      <c r="D18" s="3">
        <v>5.8537004933421946</v>
      </c>
      <c r="E18" s="3">
        <v>12.116226390916518</v>
      </c>
      <c r="F18" s="3">
        <v>8.3852481463409472</v>
      </c>
      <c r="G18" s="3">
        <v>0.36024781924923993</v>
      </c>
      <c r="H18" s="3">
        <v>0.18136945750441952</v>
      </c>
      <c r="I18" s="3">
        <v>2.7985582625296144</v>
      </c>
      <c r="J18" s="3"/>
      <c r="K18" s="3">
        <v>48.997132174195997</v>
      </c>
    </row>
    <row r="19" spans="1:11" x14ac:dyDescent="0.25">
      <c r="A19" s="2" t="s">
        <v>54</v>
      </c>
      <c r="B19" s="3">
        <v>6.668006478094334</v>
      </c>
      <c r="C19" s="3">
        <v>4.6370163627619316</v>
      </c>
      <c r="D19" s="3">
        <v>14.274518421113999</v>
      </c>
      <c r="E19" s="3">
        <v>1.0995045880256953</v>
      </c>
      <c r="F19" s="3">
        <v>5.9911970773458032</v>
      </c>
      <c r="G19" s="3">
        <v>1.1624494746804599</v>
      </c>
      <c r="H19" s="3">
        <v>4.7570514654818608</v>
      </c>
      <c r="I19" s="3">
        <v>0.18160353239880003</v>
      </c>
      <c r="J19" s="3"/>
      <c r="K19" s="3">
        <v>38.771347399902879</v>
      </c>
    </row>
    <row r="20" spans="1:11" x14ac:dyDescent="0.25">
      <c r="A20" s="12" t="s">
        <v>13</v>
      </c>
      <c r="B20" s="3">
        <v>5.8602437174852202</v>
      </c>
      <c r="C20" s="3">
        <v>8.3745373018210056</v>
      </c>
      <c r="D20" s="3">
        <v>3.1101795513486588</v>
      </c>
      <c r="E20" s="3">
        <v>0.23400842178410808</v>
      </c>
      <c r="F20" s="3">
        <v>1.5272478939135343</v>
      </c>
      <c r="G20" s="3">
        <v>0.63243060751845881</v>
      </c>
      <c r="H20" s="3">
        <v>5.7303901720147312</v>
      </c>
      <c r="I20" s="3">
        <v>0.53373326140759247</v>
      </c>
      <c r="J20" s="3"/>
      <c r="K20" s="3">
        <v>26.002770927293309</v>
      </c>
    </row>
    <row r="21" spans="1:11" x14ac:dyDescent="0.25">
      <c r="A21" s="2" t="s">
        <v>12</v>
      </c>
      <c r="B21" s="3">
        <v>5.8602437174852202</v>
      </c>
      <c r="C21" s="3">
        <v>8.3745373018210056</v>
      </c>
      <c r="D21" s="3">
        <v>3.1101795513486588</v>
      </c>
      <c r="E21" s="3">
        <v>0.23400842178410808</v>
      </c>
      <c r="F21" s="3">
        <v>1.5272478939135343</v>
      </c>
      <c r="G21" s="3">
        <v>0.63243060751845881</v>
      </c>
      <c r="H21" s="3">
        <v>5.7303901720147312</v>
      </c>
      <c r="I21" s="3">
        <v>0.53373326140759247</v>
      </c>
      <c r="J21" s="3"/>
      <c r="K21" s="3">
        <v>26.002770927293309</v>
      </c>
    </row>
    <row r="22" spans="1:11" x14ac:dyDescent="0.25">
      <c r="A22" s="12" t="s">
        <v>83</v>
      </c>
      <c r="B22" s="3"/>
      <c r="C22" s="3"/>
      <c r="D22" s="3"/>
      <c r="E22" s="3">
        <v>3.349728592468066</v>
      </c>
      <c r="F22" s="3"/>
      <c r="G22" s="3"/>
      <c r="H22" s="3"/>
      <c r="I22" s="3"/>
      <c r="J22" s="3"/>
      <c r="K22" s="3">
        <v>3.349728592468066</v>
      </c>
    </row>
    <row r="23" spans="1:11" x14ac:dyDescent="0.25">
      <c r="A23" s="2" t="s">
        <v>69</v>
      </c>
      <c r="B23" s="3"/>
      <c r="C23" s="3"/>
      <c r="D23" s="3"/>
      <c r="E23" s="3">
        <v>3.349728592468066</v>
      </c>
      <c r="F23" s="3"/>
      <c r="G23" s="3"/>
      <c r="H23" s="3"/>
      <c r="I23" s="3"/>
      <c r="J23" s="3"/>
      <c r="K23" s="3">
        <v>3.349728592468066</v>
      </c>
    </row>
    <row r="24" spans="1:11" x14ac:dyDescent="0.25">
      <c r="A24" s="12" t="s">
        <v>11</v>
      </c>
      <c r="B24" s="3">
        <v>8.3201874316660316</v>
      </c>
      <c r="C24" s="3">
        <v>3.6337772828970651</v>
      </c>
      <c r="D24" s="3">
        <v>4.3538314158362201</v>
      </c>
      <c r="E24" s="3">
        <v>2.0699843986750657</v>
      </c>
      <c r="F24" s="3">
        <v>0.23699901691582617</v>
      </c>
      <c r="G24" s="3">
        <v>1.0164451329908333</v>
      </c>
      <c r="H24" s="3">
        <v>0.31980956969738411</v>
      </c>
      <c r="I24" s="3">
        <v>3.4952980165272902</v>
      </c>
      <c r="J24" s="3"/>
      <c r="K24" s="3">
        <v>23.446332265205715</v>
      </c>
    </row>
    <row r="25" spans="1:11" x14ac:dyDescent="0.25">
      <c r="A25" s="2" t="s">
        <v>10</v>
      </c>
      <c r="B25" s="3">
        <v>8.3201874316660316</v>
      </c>
      <c r="C25" s="3">
        <v>3.6337772828970651</v>
      </c>
      <c r="D25" s="3">
        <v>4.3538314158362201</v>
      </c>
      <c r="E25" s="3">
        <v>2.0699843986750657</v>
      </c>
      <c r="F25" s="3">
        <v>0.23699901691582617</v>
      </c>
      <c r="G25" s="3">
        <v>1.0164451329908333</v>
      </c>
      <c r="H25" s="3">
        <v>0.31980956969738411</v>
      </c>
      <c r="I25" s="3">
        <v>3.4952980165272902</v>
      </c>
      <c r="J25" s="3"/>
      <c r="K25" s="3">
        <v>23.446332265205715</v>
      </c>
    </row>
    <row r="26" spans="1:11" x14ac:dyDescent="0.25">
      <c r="A26" s="12" t="s">
        <v>71</v>
      </c>
      <c r="B26" s="3">
        <v>28.412230772365003</v>
      </c>
      <c r="C26" s="3">
        <v>11.56104823790556</v>
      </c>
      <c r="D26" s="3">
        <v>42.319919371130212</v>
      </c>
      <c r="E26" s="3">
        <v>2.1961940164825089</v>
      </c>
      <c r="F26" s="3">
        <v>11.256920322646808</v>
      </c>
      <c r="G26" s="3">
        <v>0.20749310823072828</v>
      </c>
      <c r="H26" s="3">
        <v>5.3007133475091717</v>
      </c>
      <c r="I26" s="3">
        <v>0.57491123164316082</v>
      </c>
      <c r="J26" s="3"/>
      <c r="K26" s="3">
        <v>101.82943040791312</v>
      </c>
    </row>
    <row r="27" spans="1:11" x14ac:dyDescent="0.25">
      <c r="A27" s="2" t="s">
        <v>47</v>
      </c>
      <c r="B27" s="3">
        <v>15.161392461568848</v>
      </c>
      <c r="C27" s="3">
        <v>6.1825212085438066</v>
      </c>
      <c r="D27" s="3">
        <v>27.984424818191236</v>
      </c>
      <c r="E27" s="3">
        <v>2.1759295396331617</v>
      </c>
      <c r="F27" s="3">
        <v>8.6206139032171585</v>
      </c>
      <c r="G27" s="3">
        <v>4.9388267260042883E-2</v>
      </c>
      <c r="H27" s="3">
        <v>1.279608920411335</v>
      </c>
      <c r="I27" s="3">
        <v>0.53047361476063903</v>
      </c>
      <c r="J27" s="3"/>
      <c r="K27" s="3">
        <v>61.984352733586221</v>
      </c>
    </row>
    <row r="28" spans="1:11" x14ac:dyDescent="0.25">
      <c r="A28" s="2" t="s">
        <v>50</v>
      </c>
      <c r="B28" s="3"/>
      <c r="C28" s="3">
        <v>0.11416511320502973</v>
      </c>
      <c r="D28" s="3"/>
      <c r="E28" s="3"/>
      <c r="F28" s="3">
        <v>3.1206190352832178E-2</v>
      </c>
      <c r="G28" s="3"/>
      <c r="H28" s="3">
        <v>1.8707856485688675E-2</v>
      </c>
      <c r="I28" s="3"/>
      <c r="J28" s="3"/>
      <c r="K28" s="3">
        <v>0.16407916004355058</v>
      </c>
    </row>
    <row r="29" spans="1:11" x14ac:dyDescent="0.25">
      <c r="A29" s="2" t="s">
        <v>65</v>
      </c>
      <c r="B29" s="3"/>
      <c r="C29" s="3"/>
      <c r="D29" s="3"/>
      <c r="E29" s="3"/>
      <c r="F29" s="3"/>
      <c r="G29" s="3"/>
      <c r="H29" s="3">
        <v>7.9922579259084792E-3</v>
      </c>
      <c r="I29" s="3"/>
      <c r="J29" s="3"/>
      <c r="K29" s="3">
        <v>7.9922579259084792E-3</v>
      </c>
    </row>
    <row r="30" spans="1:11" x14ac:dyDescent="0.25">
      <c r="A30" s="2" t="s">
        <v>66</v>
      </c>
      <c r="B30" s="3"/>
      <c r="C30" s="3">
        <v>7.6777232750729466E-2</v>
      </c>
      <c r="D30" s="3"/>
      <c r="E30" s="3"/>
      <c r="F30" s="3"/>
      <c r="G30" s="3"/>
      <c r="H30" s="3"/>
      <c r="I30" s="3"/>
      <c r="J30" s="3"/>
      <c r="K30" s="3">
        <v>7.6777232750729466E-2</v>
      </c>
    </row>
    <row r="31" spans="1:11" x14ac:dyDescent="0.25">
      <c r="A31" s="2" t="s">
        <v>64</v>
      </c>
      <c r="B31" s="3"/>
      <c r="C31" s="3">
        <v>0.57418915200847043</v>
      </c>
      <c r="D31" s="3">
        <v>7.5146380405693131E-2</v>
      </c>
      <c r="E31" s="3"/>
      <c r="F31" s="3"/>
      <c r="G31" s="3">
        <v>1.1916160804229704E-2</v>
      </c>
      <c r="H31" s="3">
        <v>9.9154500594914333E-2</v>
      </c>
      <c r="I31" s="3">
        <v>4.4437616882521798E-2</v>
      </c>
      <c r="J31" s="3"/>
      <c r="K31" s="3">
        <v>0.80484381069582944</v>
      </c>
    </row>
    <row r="32" spans="1:11" x14ac:dyDescent="0.25">
      <c r="A32" s="2" t="s">
        <v>58</v>
      </c>
      <c r="B32" s="3">
        <v>13.250838310796155</v>
      </c>
      <c r="C32" s="3">
        <v>4.613395531397523</v>
      </c>
      <c r="D32" s="3">
        <v>14.260348172533279</v>
      </c>
      <c r="E32" s="3">
        <v>2.0264476849347172E-2</v>
      </c>
      <c r="F32" s="3">
        <v>2.6051002290768177</v>
      </c>
      <c r="G32" s="3">
        <v>0.1461886801664557</v>
      </c>
      <c r="H32" s="3">
        <v>3.8952498120913255</v>
      </c>
      <c r="I32" s="3"/>
      <c r="J32" s="3"/>
      <c r="K32" s="3">
        <v>38.791385212910896</v>
      </c>
    </row>
    <row r="33" spans="1:11" x14ac:dyDescent="0.25">
      <c r="A33" s="12" t="s">
        <v>72</v>
      </c>
      <c r="B33" s="3">
        <v>3.1891723003564376</v>
      </c>
      <c r="C33" s="3">
        <v>1.5208194165405482</v>
      </c>
      <c r="D33" s="3">
        <v>2.3939603554129496</v>
      </c>
      <c r="E33" s="3">
        <v>5.7474170432182774</v>
      </c>
      <c r="F33" s="3">
        <v>3.7132246988377711</v>
      </c>
      <c r="G33" s="3">
        <v>4.9602401066863671</v>
      </c>
      <c r="H33" s="3">
        <v>3.4533396299883785</v>
      </c>
      <c r="I33" s="3">
        <v>7.3789123890421688</v>
      </c>
      <c r="J33" s="3"/>
      <c r="K33" s="3">
        <v>32.357085940082897</v>
      </c>
    </row>
    <row r="34" spans="1:11" x14ac:dyDescent="0.25">
      <c r="A34" s="2" t="s">
        <v>48</v>
      </c>
      <c r="B34" s="3"/>
      <c r="C34" s="3"/>
      <c r="D34" s="3"/>
      <c r="E34" s="3">
        <v>2.1258241284369492</v>
      </c>
      <c r="F34" s="3">
        <v>0.67073736418346441</v>
      </c>
      <c r="G34" s="3">
        <v>3.3287410826980848</v>
      </c>
      <c r="H34" s="3">
        <v>1.0010607046587652</v>
      </c>
      <c r="I34" s="3">
        <v>3.8770106787820136</v>
      </c>
      <c r="J34" s="3"/>
      <c r="K34" s="3">
        <v>11.003373958759276</v>
      </c>
    </row>
    <row r="35" spans="1:11" x14ac:dyDescent="0.25">
      <c r="A35" s="2" t="s">
        <v>49</v>
      </c>
      <c r="B35" s="3">
        <v>1.1610416218257509</v>
      </c>
      <c r="C35" s="3">
        <v>0.79615287563440174</v>
      </c>
      <c r="D35" s="3">
        <v>0.89265556153796166</v>
      </c>
      <c r="E35" s="3">
        <v>2.2138339219390901E-2</v>
      </c>
      <c r="F35" s="3">
        <v>1.7175844561244582</v>
      </c>
      <c r="G35" s="3">
        <v>1.8147998627377281E-2</v>
      </c>
      <c r="H35" s="3">
        <v>0.80679485448600963</v>
      </c>
      <c r="I35" s="3"/>
      <c r="J35" s="3"/>
      <c r="K35" s="3">
        <v>5.41451570745535</v>
      </c>
    </row>
    <row r="36" spans="1:11" x14ac:dyDescent="0.25">
      <c r="A36" s="2" t="s">
        <v>60</v>
      </c>
      <c r="B36" s="3">
        <v>1.7051846889437863</v>
      </c>
      <c r="C36" s="3"/>
      <c r="D36" s="3">
        <v>2.879038691137633E-2</v>
      </c>
      <c r="E36" s="3">
        <v>3.5994545755619374</v>
      </c>
      <c r="F36" s="3">
        <v>0.9915900533069083</v>
      </c>
      <c r="G36" s="3">
        <v>1.6133510253609051</v>
      </c>
      <c r="H36" s="3">
        <v>1.6454840708436034</v>
      </c>
      <c r="I36" s="3">
        <v>3.5019017102601553</v>
      </c>
      <c r="J36" s="3"/>
      <c r="K36" s="3">
        <v>13.085756511188672</v>
      </c>
    </row>
    <row r="37" spans="1:11" x14ac:dyDescent="0.25">
      <c r="A37" s="2" t="s">
        <v>61</v>
      </c>
      <c r="B37" s="3">
        <v>0.32294598958690024</v>
      </c>
      <c r="C37" s="3">
        <v>0.72466654090614635</v>
      </c>
      <c r="D37" s="3">
        <v>1.4725144069636118</v>
      </c>
      <c r="E37" s="3"/>
      <c r="F37" s="3">
        <v>0.33331282522294042</v>
      </c>
      <c r="G37" s="3"/>
      <c r="H37" s="3"/>
      <c r="I37" s="3"/>
      <c r="J37" s="3"/>
      <c r="K37" s="3">
        <v>2.8534397626795989</v>
      </c>
    </row>
    <row r="38" spans="1:11" x14ac:dyDescent="0.25">
      <c r="A38" s="12" t="s">
        <v>6</v>
      </c>
      <c r="B38" s="3">
        <v>12.919596866909146</v>
      </c>
      <c r="C38" s="3">
        <v>12.572364522235761</v>
      </c>
      <c r="D38" s="3">
        <v>15.895240300209569</v>
      </c>
      <c r="E38" s="3">
        <v>3.0732172951310668</v>
      </c>
      <c r="F38" s="3">
        <v>1.947467460116729</v>
      </c>
      <c r="G38" s="3">
        <v>4.0884092506934193</v>
      </c>
      <c r="H38" s="3">
        <v>6.6301069503967378</v>
      </c>
      <c r="I38" s="3">
        <v>10.143707336018483</v>
      </c>
      <c r="J38" s="3"/>
      <c r="K38" s="3">
        <v>67.270109981710903</v>
      </c>
    </row>
    <row r="39" spans="1:11" x14ac:dyDescent="0.25">
      <c r="A39" s="2" t="s">
        <v>34</v>
      </c>
      <c r="B39" s="3">
        <v>0.14257012514594591</v>
      </c>
      <c r="C39" s="3">
        <v>5.9529848078487185E-2</v>
      </c>
      <c r="D39" s="3"/>
      <c r="E39" s="3"/>
      <c r="F39" s="3"/>
      <c r="G39" s="3"/>
      <c r="H39" s="3"/>
      <c r="I39" s="3"/>
      <c r="J39" s="3"/>
      <c r="K39" s="3">
        <v>0.2020999732244331</v>
      </c>
    </row>
    <row r="40" spans="1:11" x14ac:dyDescent="0.25">
      <c r="A40" s="2" t="s">
        <v>5</v>
      </c>
      <c r="B40" s="3">
        <v>8.8407361037837834E-2</v>
      </c>
      <c r="C40" s="3">
        <v>7.7942193818595351E-2</v>
      </c>
      <c r="D40" s="3">
        <v>3.1277016168097138E-2</v>
      </c>
      <c r="E40" s="3">
        <v>2.9954109161537613E-2</v>
      </c>
      <c r="F40" s="3">
        <v>2.1979196529744102E-2</v>
      </c>
      <c r="G40" s="3">
        <v>1.6725034615226914E-2</v>
      </c>
      <c r="H40" s="3">
        <v>6.069479185066666E-2</v>
      </c>
      <c r="I40" s="3">
        <v>8.6345882019311353E-3</v>
      </c>
      <c r="J40" s="3"/>
      <c r="K40" s="3">
        <v>0.33561429138363674</v>
      </c>
    </row>
    <row r="41" spans="1:11" x14ac:dyDescent="0.25">
      <c r="A41" s="2" t="s">
        <v>37</v>
      </c>
      <c r="B41" s="3"/>
      <c r="C41" s="3">
        <v>5.3789619956888153</v>
      </c>
      <c r="D41" s="3"/>
      <c r="E41" s="3"/>
      <c r="F41" s="3"/>
      <c r="G41" s="3"/>
      <c r="H41" s="3"/>
      <c r="I41" s="3"/>
      <c r="J41" s="3"/>
      <c r="K41" s="3">
        <v>5.3789619956888153</v>
      </c>
    </row>
    <row r="42" spans="1:11" x14ac:dyDescent="0.25">
      <c r="A42" s="2" t="s">
        <v>7</v>
      </c>
      <c r="B42" s="3">
        <v>6.6690782414374041</v>
      </c>
      <c r="C42" s="3"/>
      <c r="D42" s="3">
        <v>9.7492769986329417</v>
      </c>
      <c r="E42" s="3">
        <v>0.88293068807744768</v>
      </c>
      <c r="F42" s="3">
        <v>1.1129132551534329</v>
      </c>
      <c r="G42" s="3">
        <v>0.67992028512723068</v>
      </c>
      <c r="H42" s="3">
        <v>3.5239815764718938</v>
      </c>
      <c r="I42" s="3">
        <v>2.9897408971270929</v>
      </c>
      <c r="J42" s="3"/>
      <c r="K42" s="3">
        <v>25.607841942027445</v>
      </c>
    </row>
    <row r="43" spans="1:11" x14ac:dyDescent="0.25">
      <c r="A43" s="2" t="s">
        <v>8</v>
      </c>
      <c r="B43" s="3">
        <v>0.33139400302702693</v>
      </c>
      <c r="C43" s="3">
        <v>0.30375307615878638</v>
      </c>
      <c r="D43" s="3">
        <v>0.28336837408636317</v>
      </c>
      <c r="E43" s="3">
        <v>3.0896412700076644E-2</v>
      </c>
      <c r="F43" s="3">
        <v>1.8998286825466825E-3</v>
      </c>
      <c r="G43" s="3">
        <v>4.329426327243887E-2</v>
      </c>
      <c r="H43" s="3">
        <v>2.1637694079999999E-2</v>
      </c>
      <c r="I43" s="3">
        <v>7.8661642331020909E-2</v>
      </c>
      <c r="J43" s="3"/>
      <c r="K43" s="3">
        <v>1.0949052943382596</v>
      </c>
    </row>
    <row r="44" spans="1:11" x14ac:dyDescent="0.25">
      <c r="A44" s="2" t="s">
        <v>9</v>
      </c>
      <c r="B44" s="3">
        <v>1.5804378962854055</v>
      </c>
      <c r="C44" s="3">
        <v>3.8815904568159407</v>
      </c>
      <c r="D44" s="3">
        <v>3.6145691547432204</v>
      </c>
      <c r="E44" s="3">
        <v>0.64989596191167631</v>
      </c>
      <c r="F44" s="3">
        <v>0.52744826166644176</v>
      </c>
      <c r="G44" s="3">
        <v>1.1132087412724845</v>
      </c>
      <c r="H44" s="3">
        <v>1.5386130090239996</v>
      </c>
      <c r="I44" s="3">
        <v>2.629652349167213</v>
      </c>
      <c r="J44" s="3"/>
      <c r="K44" s="3">
        <v>15.535415830886381</v>
      </c>
    </row>
    <row r="45" spans="1:11" x14ac:dyDescent="0.25">
      <c r="A45" s="2" t="s">
        <v>14</v>
      </c>
      <c r="B45" s="3">
        <v>5.260694486486487E-2</v>
      </c>
      <c r="C45" s="3">
        <v>4.4225637619216114E-2</v>
      </c>
      <c r="D45" s="3">
        <v>1.1316012294046763E-2</v>
      </c>
      <c r="E45" s="3">
        <v>0.13012091574080739</v>
      </c>
      <c r="F45" s="3">
        <v>2.6236393290962536E-2</v>
      </c>
      <c r="G45" s="3">
        <v>0.10221625536619873</v>
      </c>
      <c r="H45" s="3">
        <v>2.4959468657777779E-2</v>
      </c>
      <c r="I45" s="3">
        <v>5.5593424358646067E-2</v>
      </c>
      <c r="J45" s="3"/>
      <c r="K45" s="3">
        <v>0.44727505219252023</v>
      </c>
    </row>
    <row r="46" spans="1:11" x14ac:dyDescent="0.25">
      <c r="A46" s="2" t="s">
        <v>15</v>
      </c>
      <c r="B46" s="3">
        <v>0.83669537469794586</v>
      </c>
      <c r="C46" s="3">
        <v>0.61330126543001617</v>
      </c>
      <c r="D46" s="3">
        <v>0.98668433124600308</v>
      </c>
      <c r="E46" s="3">
        <v>0.12745471198380445</v>
      </c>
      <c r="F46" s="3">
        <v>3.9831286777898933E-2</v>
      </c>
      <c r="G46" s="3">
        <v>8.0523576782263989E-2</v>
      </c>
      <c r="H46" s="3">
        <v>8.4493682145600005E-2</v>
      </c>
      <c r="I46" s="3">
        <v>2.4450560556643124E-2</v>
      </c>
      <c r="J46" s="3"/>
      <c r="K46" s="3">
        <v>2.7934347896201759</v>
      </c>
    </row>
    <row r="47" spans="1:11" x14ac:dyDescent="0.25">
      <c r="A47" s="2" t="s">
        <v>16</v>
      </c>
      <c r="B47" s="3">
        <v>0.25374722772756758</v>
      </c>
      <c r="C47" s="3">
        <v>0.21730714949231975</v>
      </c>
      <c r="D47" s="3">
        <v>0.13605063582714186</v>
      </c>
      <c r="E47" s="3">
        <v>6.2396376416989545E-3</v>
      </c>
      <c r="F47" s="3">
        <v>1.1211169255308641E-2</v>
      </c>
      <c r="G47" s="3">
        <v>3.2264442973452739E-2</v>
      </c>
      <c r="H47" s="3">
        <v>2.3084907599999996E-2</v>
      </c>
      <c r="I47" s="3">
        <v>2.8479426596398346E-2</v>
      </c>
      <c r="J47" s="3"/>
      <c r="K47" s="3">
        <v>0.7083845971138879</v>
      </c>
    </row>
    <row r="48" spans="1:11" x14ac:dyDescent="0.25">
      <c r="A48" s="2" t="s">
        <v>28</v>
      </c>
      <c r="B48" s="3"/>
      <c r="C48" s="3">
        <v>1.8619016696853272E-2</v>
      </c>
      <c r="D48" s="3"/>
      <c r="E48" s="3"/>
      <c r="F48" s="3"/>
      <c r="G48" s="3">
        <v>2.2195979183701046E-3</v>
      </c>
      <c r="H48" s="3"/>
      <c r="I48" s="3"/>
      <c r="J48" s="3"/>
      <c r="K48" s="3">
        <v>2.0838614615223378E-2</v>
      </c>
    </row>
    <row r="49" spans="1:11" x14ac:dyDescent="0.25">
      <c r="A49" s="2" t="s">
        <v>17</v>
      </c>
      <c r="B49" s="3">
        <v>3.0553013967567561E-2</v>
      </c>
      <c r="C49" s="3">
        <v>3.0236045037073479E-2</v>
      </c>
      <c r="D49" s="3">
        <v>1.1471924849011014E-2</v>
      </c>
      <c r="E49" s="3">
        <v>5.3843736604970771E-2</v>
      </c>
      <c r="F49" s="3">
        <v>4.8831912694512376E-3</v>
      </c>
      <c r="G49" s="3">
        <v>7.3635325442222829E-2</v>
      </c>
      <c r="H49" s="3">
        <v>2.4994040405333331E-2</v>
      </c>
      <c r="I49" s="3">
        <v>0.10194686577253076</v>
      </c>
      <c r="J49" s="3"/>
      <c r="K49" s="3">
        <v>0.33156414334816098</v>
      </c>
    </row>
    <row r="50" spans="1:11" x14ac:dyDescent="0.25">
      <c r="A50" s="2" t="s">
        <v>18</v>
      </c>
      <c r="B50" s="3">
        <v>2.8857285535135131E-2</v>
      </c>
      <c r="C50" s="3">
        <v>7.1133532304456584E-2</v>
      </c>
      <c r="D50" s="3">
        <v>8.3847184327230442E-2</v>
      </c>
      <c r="E50" s="3">
        <v>1.9900733371908752E-3</v>
      </c>
      <c r="F50" s="3">
        <v>9.4162013478159782E-3</v>
      </c>
      <c r="G50" s="3">
        <v>7.710740826356555E-3</v>
      </c>
      <c r="H50" s="3">
        <v>1.3171361784888891E-2</v>
      </c>
      <c r="I50" s="3">
        <v>1.8737026764872679E-2</v>
      </c>
      <c r="J50" s="3"/>
      <c r="K50" s="3">
        <v>0.23486340622794716</v>
      </c>
    </row>
    <row r="51" spans="1:11" x14ac:dyDescent="0.25">
      <c r="A51" s="2" t="s">
        <v>19</v>
      </c>
      <c r="B51" s="3">
        <v>1.1119574708237836</v>
      </c>
      <c r="C51" s="3">
        <v>1.407213470911826</v>
      </c>
      <c r="D51" s="3">
        <v>8.5713682522549836E-2</v>
      </c>
      <c r="E51" s="3">
        <v>7.9552221129415707E-3</v>
      </c>
      <c r="F51" s="3">
        <v>8.2779494273314443E-3</v>
      </c>
      <c r="G51" s="3"/>
      <c r="H51" s="3"/>
      <c r="I51" s="3"/>
      <c r="J51" s="3"/>
      <c r="K51" s="3">
        <v>2.6211177957984324</v>
      </c>
    </row>
    <row r="52" spans="1:11" x14ac:dyDescent="0.25">
      <c r="A52" s="2" t="s">
        <v>29</v>
      </c>
      <c r="B52" s="3">
        <v>1.2359542175135139</v>
      </c>
      <c r="C52" s="3">
        <v>0.2443229733406817</v>
      </c>
      <c r="D52" s="3">
        <v>0.10729256101022115</v>
      </c>
      <c r="E52" s="3">
        <v>0.16639196723848368</v>
      </c>
      <c r="F52" s="3"/>
      <c r="G52" s="3">
        <v>0.55091563725569825</v>
      </c>
      <c r="H52" s="3">
        <v>6.0882554880000009E-2</v>
      </c>
      <c r="I52" s="3">
        <v>0.4570314507534024</v>
      </c>
      <c r="J52" s="3"/>
      <c r="K52" s="3">
        <v>2.8227913619920013</v>
      </c>
    </row>
    <row r="53" spans="1:11" x14ac:dyDescent="0.25">
      <c r="A53" s="2" t="s">
        <v>20</v>
      </c>
      <c r="B53" s="3"/>
      <c r="C53" s="3"/>
      <c r="D53" s="3"/>
      <c r="E53" s="3"/>
      <c r="F53" s="3">
        <v>2.0738361875222395E-2</v>
      </c>
      <c r="G53" s="3">
        <v>0.24027335808766043</v>
      </c>
      <c r="H53" s="3">
        <v>0.14157622158222222</v>
      </c>
      <c r="I53" s="3"/>
      <c r="J53" s="3"/>
      <c r="K53" s="3">
        <v>0.40258794154510502</v>
      </c>
    </row>
    <row r="54" spans="1:11" x14ac:dyDescent="0.25">
      <c r="A54" s="2" t="s">
        <v>21</v>
      </c>
      <c r="B54" s="3">
        <v>4.3100990270270277E-2</v>
      </c>
      <c r="C54" s="3"/>
      <c r="D54" s="3"/>
      <c r="E54" s="3">
        <v>0.37002631932731583</v>
      </c>
      <c r="F54" s="3">
        <v>4.8935720715934192E-3</v>
      </c>
      <c r="G54" s="3">
        <v>0.12155233423249318</v>
      </c>
      <c r="H54" s="3"/>
      <c r="I54" s="3"/>
      <c r="J54" s="3"/>
      <c r="K54" s="3">
        <v>0.53957321590167262</v>
      </c>
    </row>
    <row r="55" spans="1:11" x14ac:dyDescent="0.25">
      <c r="A55" s="2" t="s">
        <v>31</v>
      </c>
      <c r="B55" s="3">
        <v>4.1147089850810815E-2</v>
      </c>
      <c r="C55" s="3">
        <v>9.2314497989823371E-2</v>
      </c>
      <c r="D55" s="3">
        <v>2.1765476609781995E-2</v>
      </c>
      <c r="E55" s="3">
        <v>6.3778607755061809E-3</v>
      </c>
      <c r="F55" s="3"/>
      <c r="G55" s="3"/>
      <c r="H55" s="3">
        <v>7.9852768824888905E-3</v>
      </c>
      <c r="I55" s="3"/>
      <c r="J55" s="3"/>
      <c r="K55" s="3">
        <v>0.16959020210841125</v>
      </c>
    </row>
    <row r="56" spans="1:11" x14ac:dyDescent="0.25">
      <c r="A56" s="2" t="s">
        <v>22</v>
      </c>
      <c r="B56" s="3">
        <v>0.15687266705297298</v>
      </c>
      <c r="C56" s="3"/>
      <c r="D56" s="3">
        <v>2.7672888953524915E-2</v>
      </c>
      <c r="E56" s="3">
        <v>0.31295986311480822</v>
      </c>
      <c r="F56" s="3">
        <v>2.8204000685002763E-2</v>
      </c>
      <c r="G56" s="3">
        <v>0.12348204189927084</v>
      </c>
      <c r="H56" s="3">
        <v>0.45184465876977786</v>
      </c>
      <c r="I56" s="3">
        <v>2.0259612515000964</v>
      </c>
      <c r="J56" s="3"/>
      <c r="K56" s="3">
        <v>3.1269973719754538</v>
      </c>
    </row>
    <row r="57" spans="1:11" x14ac:dyDescent="0.25">
      <c r="A57" s="2" t="s">
        <v>23</v>
      </c>
      <c r="B57" s="3"/>
      <c r="C57" s="3"/>
      <c r="D57" s="3"/>
      <c r="E57" s="3">
        <v>0.1978086285654688</v>
      </c>
      <c r="F57" s="3">
        <v>1.0097592239958843E-2</v>
      </c>
      <c r="G57" s="3">
        <v>0.24097079834706164</v>
      </c>
      <c r="H57" s="3">
        <v>0.29038231731911113</v>
      </c>
      <c r="I57" s="3">
        <v>1.1556593285415115</v>
      </c>
      <c r="J57" s="3"/>
      <c r="K57" s="3">
        <v>1.894918665013112</v>
      </c>
    </row>
    <row r="58" spans="1:11" x14ac:dyDescent="0.25">
      <c r="A58" s="2" t="s">
        <v>24</v>
      </c>
      <c r="B58" s="3">
        <v>0.10872616129729731</v>
      </c>
      <c r="C58" s="3"/>
      <c r="D58" s="3">
        <v>0.19120009873837762</v>
      </c>
      <c r="E58" s="3">
        <v>6.0290742267911063E-2</v>
      </c>
      <c r="F58" s="3">
        <v>4.614859472254694E-2</v>
      </c>
      <c r="G58" s="3">
        <v>0.17954227471158066</v>
      </c>
      <c r="H58" s="3">
        <v>0.33680935272000007</v>
      </c>
      <c r="I58" s="3">
        <v>0.12333827399832061</v>
      </c>
      <c r="J58" s="3"/>
      <c r="K58" s="3">
        <v>1.0460554984560344</v>
      </c>
    </row>
    <row r="59" spans="1:11" x14ac:dyDescent="0.25">
      <c r="A59" s="2" t="s">
        <v>25</v>
      </c>
      <c r="B59" s="3"/>
      <c r="C59" s="3">
        <v>0.13191336285287014</v>
      </c>
      <c r="D59" s="3">
        <v>0.48789116062385685</v>
      </c>
      <c r="E59" s="3"/>
      <c r="F59" s="3">
        <v>6.3309814476078773E-3</v>
      </c>
      <c r="G59" s="3">
        <v>0.20724022462925515</v>
      </c>
      <c r="H59" s="3"/>
      <c r="I59" s="3">
        <v>6.0892672630197972E-2</v>
      </c>
      <c r="J59" s="3"/>
      <c r="K59" s="3">
        <v>0.894268402183788</v>
      </c>
    </row>
    <row r="60" spans="1:11" x14ac:dyDescent="0.25">
      <c r="A60" s="2" t="s">
        <v>26</v>
      </c>
      <c r="B60" s="3">
        <v>0.19916640873859459</v>
      </c>
      <c r="C60" s="3"/>
      <c r="D60" s="3">
        <v>6.5842799577198921E-2</v>
      </c>
      <c r="E60" s="3">
        <v>3.6048433062668583E-2</v>
      </c>
      <c r="F60" s="3">
        <v>6.6957623673862487E-2</v>
      </c>
      <c r="G60" s="3">
        <v>0.27271431793415285</v>
      </c>
      <c r="H60" s="3">
        <v>2.4996036222976005E-2</v>
      </c>
      <c r="I60" s="3">
        <v>0.38492757771860442</v>
      </c>
      <c r="J60" s="3"/>
      <c r="K60" s="3">
        <v>1.0506531969280579</v>
      </c>
    </row>
    <row r="61" spans="1:11" x14ac:dyDescent="0.25">
      <c r="A61" s="2" t="s">
        <v>35</v>
      </c>
      <c r="B61" s="3">
        <v>8.3243876351999993E-3</v>
      </c>
      <c r="C61" s="3"/>
      <c r="D61" s="3"/>
      <c r="E61" s="3"/>
      <c r="F61" s="3"/>
      <c r="G61" s="3"/>
      <c r="H61" s="3"/>
      <c r="I61" s="3"/>
      <c r="J61" s="3"/>
      <c r="K61" s="3">
        <v>8.3243876351999993E-3</v>
      </c>
    </row>
    <row r="62" spans="1:11" x14ac:dyDescent="0.25">
      <c r="A62" s="2" t="s">
        <v>40</v>
      </c>
      <c r="B62" s="3"/>
      <c r="C62" s="3"/>
      <c r="D62" s="3"/>
      <c r="E62" s="3">
        <v>2.0320115067527108E-3</v>
      </c>
      <c r="F62" s="3"/>
      <c r="G62" s="3"/>
      <c r="H62" s="3"/>
      <c r="I62" s="3"/>
      <c r="J62" s="3"/>
      <c r="K62" s="3">
        <v>2.0320115067527108E-3</v>
      </c>
    </row>
    <row r="63" spans="1:11" x14ac:dyDescent="0.25">
      <c r="A63" s="12" t="s">
        <v>85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25">
      <c r="A64" s="2" t="s">
        <v>85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12" t="s">
        <v>86</v>
      </c>
      <c r="B65" s="3">
        <v>112.43986783559102</v>
      </c>
      <c r="C65" s="3">
        <v>52.076426119055796</v>
      </c>
      <c r="D65" s="3">
        <v>138.63929719453441</v>
      </c>
      <c r="E65" s="3">
        <v>49.349819706021286</v>
      </c>
      <c r="F65" s="3">
        <v>36.679456190204675</v>
      </c>
      <c r="G65" s="3">
        <v>19.33071067363888</v>
      </c>
      <c r="H65" s="3">
        <v>34.593623987266092</v>
      </c>
      <c r="I65" s="3">
        <v>54.407721797881159</v>
      </c>
      <c r="J65" s="3"/>
      <c r="K65" s="3">
        <v>497.5169235041933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9F18-F726-284E-B32E-3DFE690B7E09}">
  <dimension ref="A3:K65"/>
  <sheetViews>
    <sheetView workbookViewId="0">
      <selection activeCell="F26" sqref="F26"/>
    </sheetView>
  </sheetViews>
  <sheetFormatPr defaultColWidth="11" defaultRowHeight="15.75" x14ac:dyDescent="0.25"/>
  <cols>
    <col min="1" max="1" width="18.875" bestFit="1" customWidth="1"/>
    <col min="2" max="2" width="16" bestFit="1" customWidth="1"/>
    <col min="3" max="4" width="5.875" bestFit="1" customWidth="1"/>
    <col min="5" max="6" width="6.625" bestFit="1" customWidth="1"/>
    <col min="7" max="7" width="7.375" bestFit="1" customWidth="1"/>
    <col min="8" max="9" width="6.625" bestFit="1" customWidth="1"/>
    <col min="10" max="10" width="7" bestFit="1" customWidth="1"/>
    <col min="11" max="11" width="10.5" bestFit="1" customWidth="1"/>
  </cols>
  <sheetData>
    <row r="3" spans="1:11" x14ac:dyDescent="0.25">
      <c r="A3" s="11" t="s">
        <v>89</v>
      </c>
      <c r="B3" s="11" t="s">
        <v>87</v>
      </c>
    </row>
    <row r="4" spans="1:11" x14ac:dyDescent="0.25">
      <c r="A4" s="11" t="s">
        <v>84</v>
      </c>
      <c r="B4" t="s">
        <v>79</v>
      </c>
      <c r="C4" t="s">
        <v>80</v>
      </c>
      <c r="D4" t="s">
        <v>81</v>
      </c>
      <c r="E4" t="s">
        <v>82</v>
      </c>
      <c r="F4" t="s">
        <v>70</v>
      </c>
      <c r="G4" t="s">
        <v>76</v>
      </c>
      <c r="H4" t="s">
        <v>77</v>
      </c>
      <c r="I4" t="s">
        <v>78</v>
      </c>
      <c r="J4" t="s">
        <v>85</v>
      </c>
      <c r="K4" t="s">
        <v>86</v>
      </c>
    </row>
    <row r="5" spans="1:11" x14ac:dyDescent="0.25">
      <c r="A5" s="12" t="s">
        <v>75</v>
      </c>
      <c r="B5" s="3">
        <v>3.956556628933475</v>
      </c>
      <c r="C5" s="3">
        <v>3.720754605866825</v>
      </c>
      <c r="D5" s="3">
        <v>6.9327565837952694</v>
      </c>
      <c r="E5" s="3">
        <v>7.9122644210369559</v>
      </c>
      <c r="F5" s="3">
        <v>5.833706413798418</v>
      </c>
      <c r="G5" s="3">
        <v>5.3803085822743437</v>
      </c>
      <c r="H5" s="3">
        <v>5.7657450828254015</v>
      </c>
      <c r="I5" s="3">
        <v>4.7335193547776173</v>
      </c>
      <c r="J5" s="3"/>
      <c r="K5" s="3">
        <v>5.5356488580168746</v>
      </c>
    </row>
    <row r="6" spans="1:11" x14ac:dyDescent="0.25">
      <c r="A6" s="2" t="s">
        <v>55</v>
      </c>
      <c r="B6" s="3">
        <v>3.6796527148112053</v>
      </c>
      <c r="C6" s="3">
        <v>2.1502977759468265</v>
      </c>
      <c r="D6" s="3">
        <v>5.2872939538150376</v>
      </c>
      <c r="E6" s="3">
        <v>3.1694157752296244</v>
      </c>
      <c r="F6" s="3">
        <v>2.767971329571131</v>
      </c>
      <c r="G6" s="3">
        <v>1.623989957602878</v>
      </c>
      <c r="H6" s="3">
        <v>2.377520233215054</v>
      </c>
      <c r="I6" s="3">
        <v>1.4091771523227263</v>
      </c>
      <c r="J6" s="3"/>
      <c r="K6" s="3">
        <v>2.8081648615643107</v>
      </c>
    </row>
    <row r="7" spans="1:11" x14ac:dyDescent="0.25">
      <c r="A7" s="2" t="s">
        <v>57</v>
      </c>
      <c r="B7" s="3"/>
      <c r="C7" s="3">
        <v>2.568090011040062</v>
      </c>
      <c r="D7" s="3"/>
      <c r="E7" s="3">
        <v>4.6347638030510714</v>
      </c>
      <c r="F7" s="3">
        <v>10.223773996840388</v>
      </c>
      <c r="G7" s="3">
        <v>3.4994469452449635</v>
      </c>
      <c r="H7" s="3">
        <v>5.4587380609630918</v>
      </c>
      <c r="I7" s="3">
        <v>1.8268247632285333</v>
      </c>
      <c r="J7" s="3"/>
      <c r="K7" s="3">
        <v>4.7019395967280184</v>
      </c>
    </row>
    <row r="8" spans="1:11" x14ac:dyDescent="0.25">
      <c r="A8" s="2" t="s">
        <v>63</v>
      </c>
      <c r="B8" s="3"/>
      <c r="C8" s="3"/>
      <c r="D8" s="3"/>
      <c r="E8" s="3">
        <v>14.581366797310977</v>
      </c>
      <c r="F8" s="3"/>
      <c r="G8" s="3">
        <v>10.578073808198372</v>
      </c>
      <c r="H8" s="3">
        <v>9.8445941183702246</v>
      </c>
      <c r="I8" s="3">
        <v>9.8670422090673302</v>
      </c>
      <c r="J8" s="3"/>
      <c r="K8" s="3">
        <v>11.217769233236725</v>
      </c>
    </row>
    <row r="9" spans="1:11" x14ac:dyDescent="0.25">
      <c r="A9" s="2" t="s">
        <v>59</v>
      </c>
      <c r="B9" s="3">
        <v>4.2334605430557453</v>
      </c>
      <c r="C9" s="3">
        <v>3.3280235321885758</v>
      </c>
      <c r="D9" s="3"/>
      <c r="E9" s="3">
        <v>3.886361120166808</v>
      </c>
      <c r="F9" s="3">
        <v>3.89941413531841</v>
      </c>
      <c r="G9" s="3">
        <v>3.7309583156533437</v>
      </c>
      <c r="H9" s="3">
        <v>3.5467693219490832</v>
      </c>
      <c r="I9" s="3">
        <v>3.7133870232896768</v>
      </c>
      <c r="J9" s="3"/>
      <c r="K9" s="3">
        <v>3.7626248559459485</v>
      </c>
    </row>
    <row r="10" spans="1:11" x14ac:dyDescent="0.25">
      <c r="A10" s="2" t="s">
        <v>68</v>
      </c>
      <c r="B10" s="3"/>
      <c r="C10" s="3"/>
      <c r="D10" s="3">
        <v>8.5782192137755011</v>
      </c>
      <c r="E10" s="3">
        <v>13.289414609426299</v>
      </c>
      <c r="F10" s="3"/>
      <c r="G10" s="3"/>
      <c r="H10" s="3"/>
      <c r="I10" s="3"/>
      <c r="J10" s="3"/>
      <c r="K10" s="3">
        <v>10.9338169116009</v>
      </c>
    </row>
    <row r="11" spans="1:11" x14ac:dyDescent="0.25">
      <c r="A11" s="2" t="s">
        <v>67</v>
      </c>
      <c r="B11" s="3"/>
      <c r="C11" s="3">
        <v>3.9959369923756203</v>
      </c>
      <c r="D11" s="3"/>
      <c r="E11" s="3"/>
      <c r="F11" s="3"/>
      <c r="G11" s="3"/>
      <c r="H11" s="3"/>
      <c r="I11" s="3"/>
      <c r="J11" s="3"/>
      <c r="K11" s="3">
        <v>3.9959369923756203</v>
      </c>
    </row>
    <row r="12" spans="1:11" x14ac:dyDescent="0.25">
      <c r="A12" s="2" t="s">
        <v>62</v>
      </c>
      <c r="B12" s="3"/>
      <c r="C12" s="3">
        <v>6.5614247177830398</v>
      </c>
      <c r="D12" s="3"/>
      <c r="E12" s="3"/>
      <c r="F12" s="3">
        <v>6.4436661934637449</v>
      </c>
      <c r="G12" s="3">
        <v>7.4690738846721629</v>
      </c>
      <c r="H12" s="3">
        <v>7.6011036796295581</v>
      </c>
      <c r="I12" s="3">
        <v>6.8511656259798173</v>
      </c>
      <c r="J12" s="3"/>
      <c r="K12" s="3">
        <v>6.9852868203056646</v>
      </c>
    </row>
    <row r="13" spans="1:11" x14ac:dyDescent="0.25">
      <c r="A13" s="12" t="s">
        <v>73</v>
      </c>
      <c r="B13" s="3">
        <v>2.0945385520712287</v>
      </c>
      <c r="C13" s="3">
        <v>1.522126668613204</v>
      </c>
      <c r="D13" s="3">
        <v>2.0413062757740805</v>
      </c>
      <c r="E13" s="3">
        <v>2.548798237863247</v>
      </c>
      <c r="F13" s="3">
        <v>1.5418901897619768</v>
      </c>
      <c r="G13" s="3">
        <v>1.5544604984824242</v>
      </c>
      <c r="H13" s="3">
        <v>2.6977014532781012</v>
      </c>
      <c r="I13" s="3">
        <v>2.1275578914967794</v>
      </c>
      <c r="J13" s="3"/>
      <c r="K13" s="3">
        <v>2.0160474709176301</v>
      </c>
    </row>
    <row r="14" spans="1:11" x14ac:dyDescent="0.25">
      <c r="A14" s="2" t="s">
        <v>51</v>
      </c>
      <c r="B14" s="3">
        <v>0.52557713359573954</v>
      </c>
      <c r="C14" s="3">
        <v>0.31852468034689385</v>
      </c>
      <c r="D14" s="3">
        <v>0.96396512089319497</v>
      </c>
      <c r="E14" s="3">
        <v>0.84353767636859178</v>
      </c>
      <c r="F14" s="3">
        <v>0.53833491389303256</v>
      </c>
      <c r="G14" s="3">
        <v>0.34428795840562093</v>
      </c>
      <c r="H14" s="3">
        <v>1.688876948101371</v>
      </c>
      <c r="I14" s="3">
        <v>0.52938631898362931</v>
      </c>
      <c r="J14" s="3"/>
      <c r="K14" s="3">
        <v>0.71906134382350928</v>
      </c>
    </row>
    <row r="15" spans="1:11" x14ac:dyDescent="0.25">
      <c r="A15" s="2" t="s">
        <v>56</v>
      </c>
      <c r="B15" s="3">
        <v>3.6634999705467179</v>
      </c>
      <c r="C15" s="3">
        <v>2.725728656879514</v>
      </c>
      <c r="D15" s="3">
        <v>3.1186474306549665</v>
      </c>
      <c r="E15" s="3">
        <v>4.2540587993579022</v>
      </c>
      <c r="F15" s="3">
        <v>2.5454454656309209</v>
      </c>
      <c r="G15" s="3">
        <v>2.7646330385592273</v>
      </c>
      <c r="H15" s="3">
        <v>3.7065259584548311</v>
      </c>
      <c r="I15" s="3">
        <v>3.7257294640099294</v>
      </c>
      <c r="J15" s="3"/>
      <c r="K15" s="3">
        <v>3.3130335980117511</v>
      </c>
    </row>
    <row r="16" spans="1:11" x14ac:dyDescent="0.25">
      <c r="A16" s="12" t="s">
        <v>74</v>
      </c>
      <c r="B16" s="3">
        <v>6.3223971093926785</v>
      </c>
      <c r="C16" s="3">
        <v>2.6195870759875461</v>
      </c>
      <c r="D16" s="3">
        <v>4.7069326245106327</v>
      </c>
      <c r="E16" s="3">
        <v>4.4075972291321754</v>
      </c>
      <c r="F16" s="3">
        <v>2.5887899828123877</v>
      </c>
      <c r="G16" s="3">
        <v>2.0201027325763281</v>
      </c>
      <c r="H16" s="3">
        <v>2.0367870126731464</v>
      </c>
      <c r="I16" s="3">
        <v>3.6112759967839616</v>
      </c>
      <c r="J16" s="3"/>
      <c r="K16" s="3">
        <v>3.6410070344412659</v>
      </c>
    </row>
    <row r="17" spans="1:11" x14ac:dyDescent="0.25">
      <c r="A17" s="2" t="s">
        <v>52</v>
      </c>
      <c r="B17" s="3">
        <v>9.5553616319130654</v>
      </c>
      <c r="C17" s="3"/>
      <c r="D17" s="3"/>
      <c r="E17" s="3"/>
      <c r="F17" s="3">
        <v>2.740269522336181</v>
      </c>
      <c r="G17" s="3"/>
      <c r="H17" s="3"/>
      <c r="I17" s="3"/>
      <c r="J17" s="3"/>
      <c r="K17" s="3">
        <v>6.1478155771246232</v>
      </c>
    </row>
    <row r="18" spans="1:11" x14ac:dyDescent="0.25">
      <c r="A18" s="2" t="s">
        <v>53</v>
      </c>
      <c r="B18" s="3">
        <v>6.9151710261966572</v>
      </c>
      <c r="C18" s="3">
        <v>3.4336930639760781</v>
      </c>
      <c r="D18" s="3">
        <v>5.6907353700944734</v>
      </c>
      <c r="E18" s="3">
        <v>6.6445159156586628</v>
      </c>
      <c r="F18" s="3">
        <v>2.7919187532000032</v>
      </c>
      <c r="G18" s="3">
        <v>2.2470215144914532</v>
      </c>
      <c r="H18" s="3">
        <v>2.3871041192943583</v>
      </c>
      <c r="I18" s="3">
        <v>2.8604645347737172</v>
      </c>
      <c r="J18" s="3"/>
      <c r="K18" s="3">
        <v>4.1213280372106755</v>
      </c>
    </row>
    <row r="19" spans="1:11" x14ac:dyDescent="0.25">
      <c r="A19" s="2" t="s">
        <v>54</v>
      </c>
      <c r="B19" s="3">
        <v>2.4966586700683133</v>
      </c>
      <c r="C19" s="3">
        <v>1.805481087999014</v>
      </c>
      <c r="D19" s="3">
        <v>3.7231298789267924</v>
      </c>
      <c r="E19" s="3">
        <v>2.1706785426056876</v>
      </c>
      <c r="F19" s="3">
        <v>2.2341816729009794</v>
      </c>
      <c r="G19" s="3">
        <v>1.7931839506612033</v>
      </c>
      <c r="H19" s="3">
        <v>1.6864699060519341</v>
      </c>
      <c r="I19" s="3">
        <v>4.362087458794206</v>
      </c>
      <c r="J19" s="3"/>
      <c r="K19" s="3">
        <v>2.5339838960010161</v>
      </c>
    </row>
    <row r="20" spans="1:11" x14ac:dyDescent="0.25">
      <c r="A20" s="12" t="s">
        <v>13</v>
      </c>
      <c r="B20" s="3">
        <v>0.21043188814727598</v>
      </c>
      <c r="C20" s="3">
        <v>0.36005324864458194</v>
      </c>
      <c r="D20" s="3">
        <v>0.37265573977304622</v>
      </c>
      <c r="E20" s="3">
        <v>0.29332521440284226</v>
      </c>
      <c r="F20" s="3">
        <v>0.44668794219614699</v>
      </c>
      <c r="G20" s="3">
        <v>0.20469057315470787</v>
      </c>
      <c r="H20" s="3">
        <v>1.506235734466489</v>
      </c>
      <c r="I20" s="3">
        <v>0.71972977198106691</v>
      </c>
      <c r="J20" s="3"/>
      <c r="K20" s="3">
        <v>0.51422626409576966</v>
      </c>
    </row>
    <row r="21" spans="1:11" x14ac:dyDescent="0.25">
      <c r="A21" s="2" t="s">
        <v>12</v>
      </c>
      <c r="B21" s="3">
        <v>0.21043188814727598</v>
      </c>
      <c r="C21" s="3">
        <v>0.36005324864458194</v>
      </c>
      <c r="D21" s="3">
        <v>0.37265573977304622</v>
      </c>
      <c r="E21" s="3">
        <v>0.29332521440284226</v>
      </c>
      <c r="F21" s="3">
        <v>0.44668794219614699</v>
      </c>
      <c r="G21" s="3">
        <v>0.20469057315470787</v>
      </c>
      <c r="H21" s="3">
        <v>1.506235734466489</v>
      </c>
      <c r="I21" s="3">
        <v>0.71972977198106691</v>
      </c>
      <c r="J21" s="3"/>
      <c r="K21" s="3">
        <v>0.51422626409576966</v>
      </c>
    </row>
    <row r="22" spans="1:11" x14ac:dyDescent="0.25">
      <c r="A22" s="12" t="s">
        <v>83</v>
      </c>
      <c r="B22" s="3"/>
      <c r="C22" s="3"/>
      <c r="D22" s="3"/>
      <c r="E22" s="3">
        <v>51.435577247827013</v>
      </c>
      <c r="F22" s="3"/>
      <c r="G22" s="3"/>
      <c r="H22" s="3"/>
      <c r="I22" s="3"/>
      <c r="J22" s="3"/>
      <c r="K22" s="3">
        <v>51.435577247827013</v>
      </c>
    </row>
    <row r="23" spans="1:11" x14ac:dyDescent="0.25">
      <c r="A23" s="2" t="s">
        <v>69</v>
      </c>
      <c r="B23" s="3"/>
      <c r="C23" s="3"/>
      <c r="D23" s="3"/>
      <c r="E23" s="3">
        <v>51.435577247827013</v>
      </c>
      <c r="F23" s="3"/>
      <c r="G23" s="3"/>
      <c r="H23" s="3"/>
      <c r="I23" s="3"/>
      <c r="J23" s="3"/>
      <c r="K23" s="3">
        <v>51.435577247827013</v>
      </c>
    </row>
    <row r="24" spans="1:11" x14ac:dyDescent="0.25">
      <c r="A24" s="12" t="s">
        <v>11</v>
      </c>
      <c r="B24" s="3">
        <v>0.10256094581944404</v>
      </c>
      <c r="C24" s="3">
        <v>8.4123804546599776E-2</v>
      </c>
      <c r="D24" s="3">
        <v>9.6096684775880958E-2</v>
      </c>
      <c r="E24" s="3">
        <v>0.1197547861258155</v>
      </c>
      <c r="F24" s="3">
        <v>7.5618803248905561E-2</v>
      </c>
      <c r="G24" s="3">
        <v>9.3994157226235109E-2</v>
      </c>
      <c r="H24" s="3">
        <v>8.4062094838681573E-2</v>
      </c>
      <c r="I24" s="3">
        <v>0.15711156529178327</v>
      </c>
      <c r="J24" s="3"/>
      <c r="K24" s="3">
        <v>0.10166535523416823</v>
      </c>
    </row>
    <row r="25" spans="1:11" x14ac:dyDescent="0.25">
      <c r="A25" s="2" t="s">
        <v>10</v>
      </c>
      <c r="B25" s="3">
        <v>0.10256094581944404</v>
      </c>
      <c r="C25" s="3">
        <v>8.4123804546599776E-2</v>
      </c>
      <c r="D25" s="3">
        <v>9.6096684775880958E-2</v>
      </c>
      <c r="E25" s="3">
        <v>0.1197547861258155</v>
      </c>
      <c r="F25" s="3">
        <v>7.5618803248905561E-2</v>
      </c>
      <c r="G25" s="3">
        <v>9.3994157226235109E-2</v>
      </c>
      <c r="H25" s="3">
        <v>8.4062094838681573E-2</v>
      </c>
      <c r="I25" s="3">
        <v>0.15711156529178327</v>
      </c>
      <c r="J25" s="3"/>
      <c r="K25" s="3">
        <v>0.10166535523416823</v>
      </c>
    </row>
    <row r="26" spans="1:11" x14ac:dyDescent="0.25">
      <c r="A26" s="12" t="s">
        <v>71</v>
      </c>
      <c r="B26" s="3">
        <v>1.7285630382843256</v>
      </c>
      <c r="C26" s="3">
        <v>1.3633031047311692</v>
      </c>
      <c r="D26" s="3">
        <v>1.2095083770892228</v>
      </c>
      <c r="E26" s="3">
        <v>1.5843697558185341</v>
      </c>
      <c r="F26" s="3">
        <v>0.97615734950203148</v>
      </c>
      <c r="G26" s="3">
        <v>0.83251770113632118</v>
      </c>
      <c r="H26" s="3">
        <v>1.3135410812965438</v>
      </c>
      <c r="I26" s="3">
        <v>1.4655684403773073</v>
      </c>
      <c r="J26" s="3"/>
      <c r="K26" s="3">
        <v>1.279830947291265</v>
      </c>
    </row>
    <row r="27" spans="1:11" x14ac:dyDescent="0.25">
      <c r="A27" s="2" t="s">
        <v>47</v>
      </c>
      <c r="B27" s="3">
        <v>1.3718890844053866</v>
      </c>
      <c r="C27" s="3">
        <v>0.76420412274183491</v>
      </c>
      <c r="D27" s="3">
        <v>1.7198782906870875</v>
      </c>
      <c r="E27" s="3">
        <v>1.3017553027401461</v>
      </c>
      <c r="F27" s="3">
        <v>1.0437400713273599</v>
      </c>
      <c r="G27" s="3">
        <v>0.64411707285911879</v>
      </c>
      <c r="H27" s="3">
        <v>1.0953914399542815</v>
      </c>
      <c r="I27" s="3">
        <v>0.79636814865443606</v>
      </c>
      <c r="J27" s="3"/>
      <c r="K27" s="3">
        <v>1.0921679416712065</v>
      </c>
    </row>
    <row r="28" spans="1:11" x14ac:dyDescent="0.25">
      <c r="A28" s="2" t="s">
        <v>50</v>
      </c>
      <c r="B28" s="3"/>
      <c r="C28" s="3">
        <v>2.6670980217741822</v>
      </c>
      <c r="D28" s="3"/>
      <c r="E28" s="3"/>
      <c r="F28" s="3">
        <v>0.87278424078620287</v>
      </c>
      <c r="G28" s="3"/>
      <c r="H28" s="3">
        <v>1.9697958805028424</v>
      </c>
      <c r="I28" s="3"/>
      <c r="J28" s="3"/>
      <c r="K28" s="3">
        <v>1.8365593810210756</v>
      </c>
    </row>
    <row r="29" spans="1:11" x14ac:dyDescent="0.25">
      <c r="A29" s="2" t="s">
        <v>65</v>
      </c>
      <c r="B29" s="3"/>
      <c r="C29" s="3"/>
      <c r="D29" s="3"/>
      <c r="E29" s="3"/>
      <c r="F29" s="3"/>
      <c r="G29" s="3"/>
      <c r="H29" s="3">
        <v>0.28050811612069759</v>
      </c>
      <c r="I29" s="3"/>
      <c r="J29" s="3"/>
      <c r="K29" s="3">
        <v>0.28050811612069759</v>
      </c>
    </row>
    <row r="30" spans="1:11" x14ac:dyDescent="0.25">
      <c r="A30" s="2" t="s">
        <v>66</v>
      </c>
      <c r="B30" s="3"/>
      <c r="C30" s="3">
        <v>0.89682565819829163</v>
      </c>
      <c r="D30" s="3"/>
      <c r="E30" s="3"/>
      <c r="F30" s="3"/>
      <c r="G30" s="3"/>
      <c r="H30" s="3"/>
      <c r="I30" s="3"/>
      <c r="J30" s="3"/>
      <c r="K30" s="3">
        <v>0.89682565819829163</v>
      </c>
    </row>
    <row r="31" spans="1:11" x14ac:dyDescent="0.25">
      <c r="A31" s="2" t="s">
        <v>64</v>
      </c>
      <c r="B31" s="3"/>
      <c r="C31" s="3">
        <v>1.4904521554142993</v>
      </c>
      <c r="D31" s="3">
        <v>0.80359762501548737</v>
      </c>
      <c r="E31" s="3"/>
      <c r="F31" s="3"/>
      <c r="G31" s="3">
        <v>0.85475188207944941</v>
      </c>
      <c r="H31" s="3">
        <v>1.4914599187977695</v>
      </c>
      <c r="I31" s="3">
        <v>2.1347687321001785</v>
      </c>
      <c r="J31" s="3"/>
      <c r="K31" s="3">
        <v>1.3550060626814369</v>
      </c>
    </row>
    <row r="32" spans="1:11" x14ac:dyDescent="0.25">
      <c r="A32" s="2" t="s">
        <v>58</v>
      </c>
      <c r="B32" s="3">
        <v>2.0852369921632645</v>
      </c>
      <c r="C32" s="3">
        <v>0.99793556552723772</v>
      </c>
      <c r="D32" s="3">
        <v>1.1050492155650933</v>
      </c>
      <c r="E32" s="3">
        <v>1.866984208896922</v>
      </c>
      <c r="F32" s="3">
        <v>1.0119477363925313</v>
      </c>
      <c r="G32" s="3">
        <v>0.99868414847039555</v>
      </c>
      <c r="H32" s="3">
        <v>1.7305500511071277</v>
      </c>
      <c r="I32" s="3"/>
      <c r="J32" s="3"/>
      <c r="K32" s="3">
        <v>1.3994839883032244</v>
      </c>
    </row>
    <row r="33" spans="1:11" x14ac:dyDescent="0.25">
      <c r="A33" s="12" t="s">
        <v>72</v>
      </c>
      <c r="B33" s="3">
        <v>4.3924597976047659</v>
      </c>
      <c r="C33" s="3">
        <v>4.1969364128951812</v>
      </c>
      <c r="D33" s="3">
        <v>3.241857097506724</v>
      </c>
      <c r="E33" s="3">
        <v>76.992833965756077</v>
      </c>
      <c r="F33" s="3">
        <v>44.040388198781002</v>
      </c>
      <c r="G33" s="3">
        <v>74.839772190650834</v>
      </c>
      <c r="H33" s="3">
        <v>60.307263380964748</v>
      </c>
      <c r="I33" s="3">
        <v>98.129804654594977</v>
      </c>
      <c r="J33" s="3"/>
      <c r="K33" s="3">
        <v>45.223373662067566</v>
      </c>
    </row>
    <row r="34" spans="1:11" x14ac:dyDescent="0.25">
      <c r="A34" s="2" t="s">
        <v>48</v>
      </c>
      <c r="B34" s="3"/>
      <c r="C34" s="3"/>
      <c r="D34" s="3"/>
      <c r="E34" s="3">
        <v>217.05038760344695</v>
      </c>
      <c r="F34" s="3">
        <v>160.08010227458445</v>
      </c>
      <c r="G34" s="3">
        <v>216.75772467335406</v>
      </c>
      <c r="H34" s="3">
        <v>172.97087255543687</v>
      </c>
      <c r="I34" s="3">
        <v>193.82149011041994</v>
      </c>
      <c r="J34" s="3"/>
      <c r="K34" s="3">
        <v>192.13611544344849</v>
      </c>
    </row>
    <row r="35" spans="1:11" x14ac:dyDescent="0.25">
      <c r="A35" s="2" t="s">
        <v>49</v>
      </c>
      <c r="B35" s="3">
        <v>4.2860174492206209</v>
      </c>
      <c r="C35" s="3">
        <v>2.750710790742422</v>
      </c>
      <c r="D35" s="3">
        <v>2.8834654462772278</v>
      </c>
      <c r="E35" s="3">
        <v>6.215999419479604</v>
      </c>
      <c r="F35" s="3">
        <v>3.4534425479836726</v>
      </c>
      <c r="G35" s="3">
        <v>3.9672825086018779</v>
      </c>
      <c r="H35" s="3">
        <v>4.4857768893124135</v>
      </c>
      <c r="I35" s="3"/>
      <c r="J35" s="3"/>
      <c r="K35" s="3">
        <v>4.0060992930882628</v>
      </c>
    </row>
    <row r="36" spans="1:11" x14ac:dyDescent="0.25">
      <c r="A36" s="2" t="s">
        <v>60</v>
      </c>
      <c r="B36" s="3">
        <v>4.8002831675134559</v>
      </c>
      <c r="C36" s="3"/>
      <c r="D36" s="3">
        <v>0.71838104484645471</v>
      </c>
      <c r="E36" s="3">
        <v>7.712114874341661</v>
      </c>
      <c r="F36" s="3">
        <v>7.1900610868008243</v>
      </c>
      <c r="G36" s="3">
        <v>3.7943093899965943</v>
      </c>
      <c r="H36" s="3">
        <v>3.4651406981449902</v>
      </c>
      <c r="I36" s="3">
        <v>2.438119198770007</v>
      </c>
      <c r="J36" s="3"/>
      <c r="K36" s="3">
        <v>4.3026299229162834</v>
      </c>
    </row>
    <row r="37" spans="1:11" x14ac:dyDescent="0.25">
      <c r="A37" s="2" t="s">
        <v>61</v>
      </c>
      <c r="B37" s="3">
        <v>4.091078776080221</v>
      </c>
      <c r="C37" s="3">
        <v>5.6431620350479408</v>
      </c>
      <c r="D37" s="3">
        <v>6.1237248013964907</v>
      </c>
      <c r="E37" s="3"/>
      <c r="F37" s="3">
        <v>5.437946885755057</v>
      </c>
      <c r="G37" s="3"/>
      <c r="H37" s="3"/>
      <c r="I37" s="3"/>
      <c r="J37" s="3"/>
      <c r="K37" s="3">
        <v>5.3239781245699271</v>
      </c>
    </row>
    <row r="38" spans="1:11" x14ac:dyDescent="0.25">
      <c r="A38" s="12" t="s">
        <v>6</v>
      </c>
      <c r="B38" s="3">
        <v>0.15401706608530563</v>
      </c>
      <c r="C38" s="3">
        <v>0.24604822245181113</v>
      </c>
      <c r="D38" s="3">
        <v>0.19922064288067073</v>
      </c>
      <c r="E38" s="3">
        <v>0.24073076508381031</v>
      </c>
      <c r="F38" s="3">
        <v>0.13854220502057976</v>
      </c>
      <c r="G38" s="3">
        <v>0.11657247875561579</v>
      </c>
      <c r="H38" s="3">
        <v>0.32188198429858689</v>
      </c>
      <c r="I38" s="3">
        <v>0.33884142414474611</v>
      </c>
      <c r="J38" s="3"/>
      <c r="K38" s="3">
        <v>0.21556368269031206</v>
      </c>
    </row>
    <row r="39" spans="1:11" x14ac:dyDescent="0.25">
      <c r="A39" s="2" t="s">
        <v>34</v>
      </c>
      <c r="B39" s="3">
        <v>3.9249215999999996E-2</v>
      </c>
      <c r="C39" s="3">
        <v>3.5831807999999993E-2</v>
      </c>
      <c r="D39" s="3"/>
      <c r="E39" s="3"/>
      <c r="F39" s="3"/>
      <c r="G39" s="3"/>
      <c r="H39" s="3"/>
      <c r="I39" s="3"/>
      <c r="J39" s="3"/>
      <c r="K39" s="3">
        <v>3.7540511999999998E-2</v>
      </c>
    </row>
    <row r="40" spans="1:11" x14ac:dyDescent="0.25">
      <c r="A40" s="2" t="s">
        <v>5</v>
      </c>
      <c r="B40" s="3">
        <v>1.4603001599999998E-2</v>
      </c>
      <c r="C40" s="3">
        <v>1.5638148000000001E-2</v>
      </c>
      <c r="D40" s="3">
        <v>1.3116431999999999E-2</v>
      </c>
      <c r="E40" s="3">
        <v>1.251564E-2</v>
      </c>
      <c r="F40" s="3">
        <v>1.4025716727272725E-2</v>
      </c>
      <c r="G40" s="3">
        <v>1.6239521999999999E-2</v>
      </c>
      <c r="H40" s="3">
        <v>1.3294712E-2</v>
      </c>
      <c r="I40" s="3">
        <v>1.1643588E-2</v>
      </c>
      <c r="J40" s="3"/>
      <c r="K40" s="3">
        <v>1.3884595040909092E-2</v>
      </c>
    </row>
    <row r="41" spans="1:11" x14ac:dyDescent="0.25">
      <c r="A41" s="2" t="s">
        <v>37</v>
      </c>
      <c r="B41" s="3"/>
      <c r="C41" s="3">
        <v>3.2376688281599999</v>
      </c>
      <c r="D41" s="3"/>
      <c r="E41" s="3"/>
      <c r="F41" s="3"/>
      <c r="G41" s="3"/>
      <c r="H41" s="3"/>
      <c r="I41" s="3"/>
      <c r="J41" s="3"/>
      <c r="K41" s="3">
        <v>3.2376688281599999</v>
      </c>
    </row>
    <row r="42" spans="1:11" x14ac:dyDescent="0.25">
      <c r="A42" s="2" t="s">
        <v>7</v>
      </c>
      <c r="B42" s="3">
        <v>1.83598136111</v>
      </c>
      <c r="C42" s="3"/>
      <c r="D42" s="3">
        <v>2.7256591680499995</v>
      </c>
      <c r="E42" s="3">
        <v>3.3202117010399999</v>
      </c>
      <c r="F42" s="3">
        <v>1.9530225594749999</v>
      </c>
      <c r="G42" s="3">
        <v>1.3203656294399999</v>
      </c>
      <c r="H42" s="3">
        <v>4.6314010204800002</v>
      </c>
      <c r="I42" s="3">
        <v>4.0316122111199997</v>
      </c>
      <c r="J42" s="3"/>
      <c r="K42" s="3">
        <v>2.8311790929592857</v>
      </c>
    </row>
    <row r="43" spans="1:11" x14ac:dyDescent="0.25">
      <c r="A43" s="2" t="s">
        <v>8</v>
      </c>
      <c r="B43" s="3">
        <v>1.9549709999999998E-2</v>
      </c>
      <c r="C43" s="3">
        <v>1.8283302000000001E-2</v>
      </c>
      <c r="D43" s="3">
        <v>2.3766858000000002E-2</v>
      </c>
      <c r="E43" s="3">
        <v>1.6597748571428574E-2</v>
      </c>
      <c r="F43" s="3">
        <v>1.3335840000000002E-2</v>
      </c>
      <c r="G43" s="3">
        <v>1.4012490000000002E-2</v>
      </c>
      <c r="H43" s="3">
        <v>2.843739E-2</v>
      </c>
      <c r="I43" s="3">
        <v>1.7678970000000002E-2</v>
      </c>
      <c r="J43" s="3"/>
      <c r="K43" s="3">
        <v>1.8957788571428574E-2</v>
      </c>
    </row>
    <row r="44" spans="1:11" x14ac:dyDescent="0.25">
      <c r="A44" s="2" t="s">
        <v>9</v>
      </c>
      <c r="B44" s="3">
        <v>2.1397907700000003E-2</v>
      </c>
      <c r="C44" s="3">
        <v>1.8252976299999998E-2</v>
      </c>
      <c r="D44" s="3">
        <v>2.0907828500000003E-2</v>
      </c>
      <c r="E44" s="3">
        <v>1.9708851500000003E-2</v>
      </c>
      <c r="F44" s="3">
        <v>1.8699096000000005E-2</v>
      </c>
      <c r="G44" s="3">
        <v>1.6377171199999999E-2</v>
      </c>
      <c r="H44" s="3">
        <v>1.9258340399999997E-2</v>
      </c>
      <c r="I44" s="3">
        <v>2.6073817900000008E-2</v>
      </c>
      <c r="J44" s="3"/>
      <c r="K44" s="3">
        <v>2.0084498687500004E-2</v>
      </c>
    </row>
    <row r="45" spans="1:11" x14ac:dyDescent="0.25">
      <c r="A45" s="2" t="s">
        <v>14</v>
      </c>
      <c r="B45" s="3">
        <v>2.1723850000000003E-2</v>
      </c>
      <c r="C45" s="3">
        <v>2.6619999999999998E-2</v>
      </c>
      <c r="D45" s="3">
        <v>9.4910400000000009E-3</v>
      </c>
      <c r="E45" s="3">
        <v>2.5753287368421054E-2</v>
      </c>
      <c r="F45" s="3">
        <v>2.3020782500000003E-2</v>
      </c>
      <c r="G45" s="3">
        <v>1.9849802E-2</v>
      </c>
      <c r="H45" s="3">
        <v>2.1868693333333338E-2</v>
      </c>
      <c r="I45" s="3">
        <v>2.4988913333333335E-2</v>
      </c>
      <c r="J45" s="3"/>
      <c r="K45" s="3">
        <v>2.1664546066885965E-2</v>
      </c>
    </row>
    <row r="46" spans="1:11" x14ac:dyDescent="0.25">
      <c r="A46" s="2" t="s">
        <v>15</v>
      </c>
      <c r="B46" s="3">
        <v>6.3396397574999996E-3</v>
      </c>
      <c r="C46" s="3">
        <v>6.3647275124999996E-3</v>
      </c>
      <c r="D46" s="3">
        <v>7.0731482849999998E-3</v>
      </c>
      <c r="E46" s="3">
        <v>7.2619143817499992E-3</v>
      </c>
      <c r="F46" s="3">
        <v>5.5919112322500002E-3</v>
      </c>
      <c r="G46" s="3">
        <v>6.014311556842105E-3</v>
      </c>
      <c r="H46" s="3">
        <v>6.1692232875000001E-3</v>
      </c>
      <c r="I46" s="3">
        <v>5.4951907149999998E-3</v>
      </c>
      <c r="J46" s="3"/>
      <c r="K46" s="3">
        <v>6.2887583410427637E-3</v>
      </c>
    </row>
    <row r="47" spans="1:11" x14ac:dyDescent="0.25">
      <c r="A47" s="2" t="s">
        <v>16</v>
      </c>
      <c r="B47" s="3">
        <v>1.5997559000000001E-3</v>
      </c>
      <c r="C47" s="3">
        <v>1.5209310000000001E-3</v>
      </c>
      <c r="D47" s="3">
        <v>1.4629394999999996E-3</v>
      </c>
      <c r="E47" s="3">
        <v>1.2349373684210528E-3</v>
      </c>
      <c r="F47" s="3">
        <v>1.5430737000000001E-3</v>
      </c>
      <c r="G47" s="3">
        <v>1.7404353000000001E-3</v>
      </c>
      <c r="H47" s="3">
        <v>1.3484174999999999E-3</v>
      </c>
      <c r="I47" s="3">
        <v>1.3242758000000002E-3</v>
      </c>
      <c r="J47" s="3"/>
      <c r="K47" s="3">
        <v>1.4718457585526316E-3</v>
      </c>
    </row>
    <row r="48" spans="1:11" x14ac:dyDescent="0.25">
      <c r="A48" s="2" t="s">
        <v>28</v>
      </c>
      <c r="B48" s="3"/>
      <c r="C48" s="3">
        <v>2.2414067999999999E-3</v>
      </c>
      <c r="D48" s="3"/>
      <c r="E48" s="3"/>
      <c r="F48" s="3"/>
      <c r="G48" s="3">
        <v>2.1551650000000001E-3</v>
      </c>
      <c r="H48" s="3"/>
      <c r="I48" s="3"/>
      <c r="J48" s="3"/>
      <c r="K48" s="3">
        <v>2.1982859000000002E-3</v>
      </c>
    </row>
    <row r="49" spans="1:11" x14ac:dyDescent="0.25">
      <c r="A49" s="2" t="s">
        <v>17</v>
      </c>
      <c r="B49" s="3">
        <v>4.2055859999999999E-3</v>
      </c>
      <c r="C49" s="3">
        <v>3.6398955999999995E-3</v>
      </c>
      <c r="D49" s="3">
        <v>3.2072693333333336E-3</v>
      </c>
      <c r="E49" s="3">
        <v>3.2139107000000002E-3</v>
      </c>
      <c r="F49" s="3">
        <v>4.284692750000001E-3</v>
      </c>
      <c r="G49" s="3">
        <v>3.9720976999999989E-3</v>
      </c>
      <c r="H49" s="3">
        <v>3.2848476000000002E-3</v>
      </c>
      <c r="I49" s="3">
        <v>3.4368382000000003E-3</v>
      </c>
      <c r="J49" s="3"/>
      <c r="K49" s="3">
        <v>3.6556422354166672E-3</v>
      </c>
    </row>
    <row r="50" spans="1:11" x14ac:dyDescent="0.25">
      <c r="A50" s="2" t="s">
        <v>18</v>
      </c>
      <c r="B50" s="3">
        <v>2.6481139999999996E-3</v>
      </c>
      <c r="C50" s="3">
        <v>2.6760137500000006E-3</v>
      </c>
      <c r="D50" s="3">
        <v>2.3441619999999995E-3</v>
      </c>
      <c r="E50" s="3">
        <v>1.8708900000000001E-3</v>
      </c>
      <c r="F50" s="3">
        <v>2.2792065000000004E-3</v>
      </c>
      <c r="G50" s="3">
        <v>2.495635E-3</v>
      </c>
      <c r="H50" s="3">
        <v>2.1638116250000004E-3</v>
      </c>
      <c r="I50" s="3">
        <v>2.1055455000000001E-3</v>
      </c>
      <c r="J50" s="3"/>
      <c r="K50" s="3">
        <v>2.3229222968750001E-3</v>
      </c>
    </row>
    <row r="51" spans="1:11" x14ac:dyDescent="0.25">
      <c r="A51" s="2" t="s">
        <v>19</v>
      </c>
      <c r="B51" s="3">
        <v>8.3487066599999993E-2</v>
      </c>
      <c r="C51" s="3">
        <v>7.7001865499999989E-2</v>
      </c>
      <c r="D51" s="3">
        <v>7.1890341600000005E-2</v>
      </c>
      <c r="E51" s="3">
        <v>2.9915169900000003E-2</v>
      </c>
      <c r="F51" s="3">
        <v>5.810703359999999E-2</v>
      </c>
      <c r="G51" s="3"/>
      <c r="H51" s="3"/>
      <c r="I51" s="3"/>
      <c r="J51" s="3"/>
      <c r="K51" s="3">
        <v>6.408029543999999E-2</v>
      </c>
    </row>
    <row r="52" spans="1:11" x14ac:dyDescent="0.25">
      <c r="A52" s="2" t="s">
        <v>29</v>
      </c>
      <c r="B52" s="3">
        <v>0.51038288000000009</v>
      </c>
      <c r="C52" s="3">
        <v>0.14706125</v>
      </c>
      <c r="D52" s="3">
        <v>8.9989120000000006E-2</v>
      </c>
      <c r="E52" s="3">
        <v>0.62570773000000002</v>
      </c>
      <c r="F52" s="3"/>
      <c r="G52" s="3">
        <v>0.35661537000000004</v>
      </c>
      <c r="H52" s="3">
        <v>0.16003008000000002</v>
      </c>
      <c r="I52" s="3">
        <v>0.61629875000000001</v>
      </c>
      <c r="J52" s="3"/>
      <c r="K52" s="3">
        <v>0.35801216857142865</v>
      </c>
    </row>
    <row r="53" spans="1:11" x14ac:dyDescent="0.25">
      <c r="A53" s="2" t="s">
        <v>20</v>
      </c>
      <c r="B53" s="3"/>
      <c r="C53" s="3"/>
      <c r="D53" s="3"/>
      <c r="E53" s="3"/>
      <c r="F53" s="3">
        <v>2.9114569999999999E-2</v>
      </c>
      <c r="G53" s="3">
        <v>3.3328348571428572E-2</v>
      </c>
      <c r="H53" s="3">
        <v>4.134819555555555E-2</v>
      </c>
      <c r="I53" s="3"/>
      <c r="J53" s="3"/>
      <c r="K53" s="3">
        <v>3.459703804232804E-2</v>
      </c>
    </row>
    <row r="54" spans="1:11" x14ac:dyDescent="0.25">
      <c r="A54" s="2" t="s">
        <v>21</v>
      </c>
      <c r="B54" s="3">
        <v>1.7798400000000002E-2</v>
      </c>
      <c r="C54" s="3"/>
      <c r="D54" s="3"/>
      <c r="E54" s="3">
        <v>2.3584124999999997E-2</v>
      </c>
      <c r="F54" s="3">
        <v>8.5876024999999995E-3</v>
      </c>
      <c r="G54" s="3">
        <v>2.1458869090909091E-2</v>
      </c>
      <c r="H54" s="3"/>
      <c r="I54" s="3"/>
      <c r="J54" s="3"/>
      <c r="K54" s="3">
        <v>1.7857249147727274E-2</v>
      </c>
    </row>
    <row r="55" spans="1:11" x14ac:dyDescent="0.25">
      <c r="A55" s="2" t="s">
        <v>31</v>
      </c>
      <c r="B55" s="3">
        <v>1.6991543800000002E-2</v>
      </c>
      <c r="C55" s="3">
        <v>1.8521775066666669E-2</v>
      </c>
      <c r="D55" s="3">
        <v>1.82552832E-2</v>
      </c>
      <c r="E55" s="3">
        <v>2.3983590400000001E-2</v>
      </c>
      <c r="F55" s="3"/>
      <c r="G55" s="3"/>
      <c r="H55" s="3">
        <v>2.0989337600000005E-2</v>
      </c>
      <c r="I55" s="3"/>
      <c r="J55" s="3"/>
      <c r="K55" s="3">
        <v>1.9748306013333335E-2</v>
      </c>
    </row>
    <row r="56" spans="1:11" x14ac:dyDescent="0.25">
      <c r="A56" s="2" t="s">
        <v>22</v>
      </c>
      <c r="B56" s="3">
        <v>6.4780007600000009E-2</v>
      </c>
      <c r="C56" s="3"/>
      <c r="D56" s="3">
        <v>2.3209986800000006E-2</v>
      </c>
      <c r="E56" s="3">
        <v>5.1168180140000005E-2</v>
      </c>
      <c r="F56" s="3">
        <v>3.2996312066666672E-2</v>
      </c>
      <c r="G56" s="3">
        <v>3.9965823333333338E-2</v>
      </c>
      <c r="H56" s="3">
        <v>4.7507031880000009E-2</v>
      </c>
      <c r="I56" s="3">
        <v>5.0592084620000012E-2</v>
      </c>
      <c r="J56" s="3"/>
      <c r="K56" s="3">
        <v>4.4317060920000005E-2</v>
      </c>
    </row>
    <row r="57" spans="1:11" x14ac:dyDescent="0.25">
      <c r="A57" s="2" t="s">
        <v>23</v>
      </c>
      <c r="B57" s="3"/>
      <c r="C57" s="3"/>
      <c r="D57" s="3"/>
      <c r="E57" s="3">
        <v>5.7219102769230784E-2</v>
      </c>
      <c r="F57" s="3">
        <v>3.5440004600000005E-2</v>
      </c>
      <c r="G57" s="3">
        <v>4.2541024400000009E-2</v>
      </c>
      <c r="H57" s="3">
        <v>5.4519377000000001E-2</v>
      </c>
      <c r="I57" s="3">
        <v>5.1946198920000006E-2</v>
      </c>
      <c r="J57" s="3"/>
      <c r="K57" s="3">
        <v>4.833314153784616E-2</v>
      </c>
    </row>
    <row r="58" spans="1:11" x14ac:dyDescent="0.25">
      <c r="A58" s="2" t="s">
        <v>24</v>
      </c>
      <c r="B58" s="3">
        <v>2.2449040000000003E-2</v>
      </c>
      <c r="C58" s="3"/>
      <c r="D58" s="3">
        <v>4.0091150000000006E-2</v>
      </c>
      <c r="E58" s="3">
        <v>3.7786663333333338E-2</v>
      </c>
      <c r="F58" s="3">
        <v>3.2393987999999999E-2</v>
      </c>
      <c r="G58" s="3">
        <v>2.4904332142857141E-2</v>
      </c>
      <c r="H58" s="3">
        <v>3.2789072500000002E-2</v>
      </c>
      <c r="I58" s="3">
        <v>8.3159730000000015E-2</v>
      </c>
      <c r="J58" s="3"/>
      <c r="K58" s="3">
        <v>3.9081996568027209E-2</v>
      </c>
    </row>
    <row r="59" spans="1:11" x14ac:dyDescent="0.25">
      <c r="A59" s="2" t="s">
        <v>25</v>
      </c>
      <c r="B59" s="3"/>
      <c r="C59" s="3">
        <v>7.9400409088000015E-2</v>
      </c>
      <c r="D59" s="3">
        <v>8.1841454406400005E-2</v>
      </c>
      <c r="E59" s="3"/>
      <c r="F59" s="3">
        <v>4.4440299487999997E-2</v>
      </c>
      <c r="G59" s="3">
        <v>0.10061211425200001</v>
      </c>
      <c r="H59" s="3"/>
      <c r="I59" s="3">
        <v>8.2112681664000001E-2</v>
      </c>
      <c r="J59" s="3"/>
      <c r="K59" s="3">
        <v>7.7681391779680004E-2</v>
      </c>
    </row>
    <row r="60" spans="1:11" x14ac:dyDescent="0.25">
      <c r="A60" s="2" t="s">
        <v>26</v>
      </c>
      <c r="B60" s="3">
        <v>8.2245057179999997E-2</v>
      </c>
      <c r="C60" s="3"/>
      <c r="D60" s="3">
        <v>5.5224104415999994E-2</v>
      </c>
      <c r="E60" s="3">
        <v>6.7779062883999999E-2</v>
      </c>
      <c r="F60" s="3">
        <v>7.8334796210666677E-2</v>
      </c>
      <c r="G60" s="3">
        <v>7.5656476613714302E-2</v>
      </c>
      <c r="H60" s="3">
        <v>6.570219801600001E-2</v>
      </c>
      <c r="I60" s="3">
        <v>7.4152566398857145E-2</v>
      </c>
      <c r="J60" s="3"/>
      <c r="K60" s="3">
        <v>7.1299180245605456E-2</v>
      </c>
    </row>
    <row r="61" spans="1:11" x14ac:dyDescent="0.25">
      <c r="A61" s="2" t="s">
        <v>35</v>
      </c>
      <c r="B61" s="3">
        <v>6.8750522879999984E-3</v>
      </c>
      <c r="C61" s="3"/>
      <c r="D61" s="3"/>
      <c r="E61" s="3"/>
      <c r="F61" s="3"/>
      <c r="G61" s="3"/>
      <c r="H61" s="3"/>
      <c r="I61" s="3"/>
      <c r="J61" s="3"/>
      <c r="K61" s="3">
        <v>6.8750522879999984E-3</v>
      </c>
    </row>
    <row r="62" spans="1:11" x14ac:dyDescent="0.25">
      <c r="A62" s="2" t="s">
        <v>40</v>
      </c>
      <c r="B62" s="3"/>
      <c r="C62" s="3"/>
      <c r="D62" s="3"/>
      <c r="E62" s="3">
        <v>7.6412661520000001E-3</v>
      </c>
      <c r="F62" s="3"/>
      <c r="G62" s="3"/>
      <c r="H62" s="3"/>
      <c r="I62" s="3"/>
      <c r="J62" s="3"/>
      <c r="K62" s="3">
        <v>7.6412661520000001E-3</v>
      </c>
    </row>
    <row r="63" spans="1:11" x14ac:dyDescent="0.25">
      <c r="A63" s="12" t="s">
        <v>85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25">
      <c r="A64" s="2" t="s">
        <v>85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12" t="s">
        <v>86</v>
      </c>
      <c r="B65" s="3">
        <v>1.5871620994710198</v>
      </c>
      <c r="C65" s="3">
        <v>1.4009845229681874</v>
      </c>
      <c r="D65" s="3">
        <v>1.4790790034195822</v>
      </c>
      <c r="E65" s="3">
        <v>9.8229475847984329</v>
      </c>
      <c r="F65" s="3">
        <v>6.175786430216565</v>
      </c>
      <c r="G65" s="3">
        <v>7.5275579541952213</v>
      </c>
      <c r="H65" s="3">
        <v>6.6436459278139735</v>
      </c>
      <c r="I65" s="3">
        <v>8.0098491146612734</v>
      </c>
      <c r="J65" s="3"/>
      <c r="K65" s="3">
        <v>5.4250465901105471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7794-7A5B-394A-9E76-876988BD9F29}">
  <dimension ref="A1:CV406"/>
  <sheetViews>
    <sheetView topLeftCell="A91" workbookViewId="0">
      <selection activeCell="J13" sqref="J13"/>
    </sheetView>
  </sheetViews>
  <sheetFormatPr defaultColWidth="11" defaultRowHeight="15.75" x14ac:dyDescent="0.25"/>
  <cols>
    <col min="5" max="5" width="14.875" customWidth="1"/>
    <col min="11" max="11" width="11.875" bestFit="1" customWidth="1"/>
  </cols>
  <sheetData>
    <row r="1" spans="1:9" x14ac:dyDescent="0.25">
      <c r="A1" s="6" t="s">
        <v>41</v>
      </c>
      <c r="B1" s="1" t="s">
        <v>0</v>
      </c>
      <c r="C1" s="7" t="s">
        <v>1</v>
      </c>
      <c r="D1" s="8" t="s">
        <v>43</v>
      </c>
      <c r="E1" s="7" t="s">
        <v>2</v>
      </c>
      <c r="F1" s="7" t="s">
        <v>44</v>
      </c>
      <c r="G1" s="7" t="s">
        <v>45</v>
      </c>
      <c r="H1" s="7" t="s">
        <v>46</v>
      </c>
      <c r="I1" s="7" t="s">
        <v>3</v>
      </c>
    </row>
    <row r="2" spans="1:9" x14ac:dyDescent="0.25">
      <c r="A2" s="1" t="s">
        <v>4</v>
      </c>
      <c r="B2" s="2" t="s">
        <v>47</v>
      </c>
      <c r="C2" s="4">
        <v>8259.3493725444769</v>
      </c>
      <c r="D2" s="3">
        <v>1.0437400713273599</v>
      </c>
      <c r="E2" s="3">
        <v>8.6206139032171603</v>
      </c>
      <c r="F2">
        <v>20</v>
      </c>
      <c r="G2" t="s">
        <v>70</v>
      </c>
      <c r="H2" s="3">
        <v>0.17241227806434317</v>
      </c>
      <c r="I2" t="s">
        <v>71</v>
      </c>
    </row>
    <row r="3" spans="1:9" x14ac:dyDescent="0.25">
      <c r="A3" s="1" t="s">
        <v>4</v>
      </c>
      <c r="B3" s="2" t="s">
        <v>48</v>
      </c>
      <c r="C3" s="4">
        <v>4.1900108424028399</v>
      </c>
      <c r="D3" s="3">
        <v>160.08010227458445</v>
      </c>
      <c r="E3" s="3">
        <v>0.67073736418346397</v>
      </c>
      <c r="F3">
        <v>20</v>
      </c>
      <c r="G3" t="s">
        <v>70</v>
      </c>
      <c r="H3" s="3">
        <v>1.3414747283669289E-2</v>
      </c>
      <c r="I3" t="s">
        <v>72</v>
      </c>
    </row>
    <row r="4" spans="1:9" x14ac:dyDescent="0.25">
      <c r="A4" s="1" t="s">
        <v>4</v>
      </c>
      <c r="B4" s="2" t="s">
        <v>49</v>
      </c>
      <c r="C4" s="4">
        <v>497.35428699321704</v>
      </c>
      <c r="D4" s="3">
        <v>3.4534425479836726</v>
      </c>
      <c r="E4" s="3">
        <v>1.7175844561244582</v>
      </c>
      <c r="F4">
        <v>20</v>
      </c>
      <c r="G4" t="s">
        <v>70</v>
      </c>
      <c r="H4" s="3">
        <v>3.4351689122489162E-2</v>
      </c>
      <c r="I4" t="s">
        <v>72</v>
      </c>
    </row>
    <row r="5" spans="1:9" x14ac:dyDescent="0.25">
      <c r="A5" s="1" t="s">
        <v>4</v>
      </c>
      <c r="B5" s="2" t="s">
        <v>50</v>
      </c>
      <c r="C5" s="4">
        <v>35.754759188504231</v>
      </c>
      <c r="D5" s="3">
        <v>0.87278424078620287</v>
      </c>
      <c r="E5" s="3">
        <v>3.1206190352832178E-2</v>
      </c>
      <c r="F5">
        <v>20</v>
      </c>
      <c r="G5" t="s">
        <v>70</v>
      </c>
      <c r="H5" s="3">
        <v>6.241238070566436E-4</v>
      </c>
      <c r="I5" t="s">
        <v>71</v>
      </c>
    </row>
    <row r="6" spans="1:9" x14ac:dyDescent="0.25">
      <c r="A6" s="1" t="s">
        <v>4</v>
      </c>
      <c r="B6" s="2" t="s">
        <v>51</v>
      </c>
      <c r="C6" s="4">
        <v>572.07614701606769</v>
      </c>
      <c r="D6" s="3">
        <v>0.53833491389303256</v>
      </c>
      <c r="E6" s="3">
        <v>0.30796856334415262</v>
      </c>
      <c r="F6">
        <v>20</v>
      </c>
      <c r="G6" t="s">
        <v>70</v>
      </c>
      <c r="H6" s="3">
        <v>6.1593712668830524E-3</v>
      </c>
      <c r="I6" t="s">
        <v>73</v>
      </c>
    </row>
    <row r="7" spans="1:9" x14ac:dyDescent="0.25">
      <c r="A7" s="1" t="s">
        <v>4</v>
      </c>
      <c r="B7" s="2" t="s">
        <v>52</v>
      </c>
      <c r="C7" s="4">
        <v>35.754759188504231</v>
      </c>
      <c r="D7" s="3">
        <v>2.740269522336181</v>
      </c>
      <c r="E7" s="3">
        <v>9.7977676882727668E-2</v>
      </c>
      <c r="F7">
        <v>20</v>
      </c>
      <c r="G7" t="s">
        <v>70</v>
      </c>
      <c r="H7" s="3">
        <v>1.9595535376545534E-3</v>
      </c>
      <c r="I7" t="s">
        <v>74</v>
      </c>
    </row>
    <row r="8" spans="1:9" x14ac:dyDescent="0.25">
      <c r="A8" s="1" t="s">
        <v>4</v>
      </c>
      <c r="B8" s="2" t="s">
        <v>53</v>
      </c>
      <c r="C8" s="4">
        <v>3003.3997718343553</v>
      </c>
      <c r="D8" s="3">
        <v>2.7919187532000032</v>
      </c>
      <c r="E8" s="3">
        <v>8.3852481463409472</v>
      </c>
      <c r="F8">
        <v>20</v>
      </c>
      <c r="G8" t="s">
        <v>70</v>
      </c>
      <c r="H8" s="3">
        <v>0.16770496292681894</v>
      </c>
      <c r="I8" t="s">
        <v>74</v>
      </c>
    </row>
    <row r="9" spans="1:9" x14ac:dyDescent="0.25">
      <c r="A9" s="1" t="s">
        <v>4</v>
      </c>
      <c r="B9" s="2" t="s">
        <v>54</v>
      </c>
      <c r="C9" s="4">
        <v>2681.6069391378173</v>
      </c>
      <c r="D9" s="3">
        <v>2.2341816729009794</v>
      </c>
      <c r="E9" s="3">
        <v>5.9911970773458032</v>
      </c>
      <c r="F9">
        <v>20</v>
      </c>
      <c r="G9" t="s">
        <v>70</v>
      </c>
      <c r="H9" s="3">
        <v>0.11982394154691606</v>
      </c>
      <c r="I9" t="s">
        <v>74</v>
      </c>
    </row>
    <row r="10" spans="1:9" x14ac:dyDescent="0.25">
      <c r="A10" s="1" t="s">
        <v>4</v>
      </c>
      <c r="B10" s="2" t="s">
        <v>55</v>
      </c>
      <c r="C10" s="4">
        <v>214.52855513102537</v>
      </c>
      <c r="D10" s="3">
        <v>2.767971329571131</v>
      </c>
      <c r="E10" s="3">
        <v>0.59380888997699799</v>
      </c>
      <c r="F10">
        <v>20</v>
      </c>
      <c r="G10" t="s">
        <v>70</v>
      </c>
      <c r="H10" s="3">
        <v>1.187617779953996E-2</v>
      </c>
      <c r="I10" t="s">
        <v>75</v>
      </c>
    </row>
    <row r="11" spans="1:9" x14ac:dyDescent="0.25">
      <c r="A11" s="1" t="s">
        <v>4</v>
      </c>
      <c r="B11" s="2" t="s">
        <v>56</v>
      </c>
      <c r="C11" s="4">
        <v>321.79283269653808</v>
      </c>
      <c r="D11" s="3">
        <v>2.5454454656309209</v>
      </c>
      <c r="E11" s="3">
        <v>0.81910610685993246</v>
      </c>
      <c r="F11">
        <v>20</v>
      </c>
      <c r="G11" t="s">
        <v>70</v>
      </c>
      <c r="H11" s="3">
        <v>1.6382122137198651E-2</v>
      </c>
      <c r="I11" t="s">
        <v>73</v>
      </c>
    </row>
    <row r="12" spans="1:9" x14ac:dyDescent="0.25">
      <c r="A12" s="1" t="s">
        <v>4</v>
      </c>
      <c r="B12" s="2" t="s">
        <v>57</v>
      </c>
      <c r="C12" s="4">
        <v>35.754759188504231</v>
      </c>
      <c r="D12" s="3">
        <v>10.223773996840388</v>
      </c>
      <c r="E12" s="3">
        <v>0.36554857725471945</v>
      </c>
      <c r="F12">
        <v>20</v>
      </c>
      <c r="G12" t="s">
        <v>70</v>
      </c>
      <c r="H12" s="3">
        <v>7.3109715450943892E-3</v>
      </c>
      <c r="I12" t="s">
        <v>75</v>
      </c>
    </row>
    <row r="13" spans="1:9" x14ac:dyDescent="0.25">
      <c r="A13" s="1" t="s">
        <v>4</v>
      </c>
      <c r="B13" s="2" t="s">
        <v>58</v>
      </c>
      <c r="C13" s="4">
        <v>2574.3426615723047</v>
      </c>
      <c r="D13" s="3">
        <v>1.0119477363925313</v>
      </c>
      <c r="E13" s="3">
        <v>2.6051002290768177</v>
      </c>
      <c r="F13">
        <v>20</v>
      </c>
      <c r="G13" t="s">
        <v>70</v>
      </c>
      <c r="H13" s="3">
        <v>5.2102004581536354E-2</v>
      </c>
      <c r="I13" t="s">
        <v>71</v>
      </c>
    </row>
    <row r="14" spans="1:9" x14ac:dyDescent="0.25">
      <c r="A14" s="1" t="s">
        <v>4</v>
      </c>
      <c r="B14" s="2" t="s">
        <v>59</v>
      </c>
      <c r="C14" s="4">
        <v>250.28331431952958</v>
      </c>
      <c r="D14" s="3">
        <v>3.89941413531841</v>
      </c>
      <c r="E14" s="3">
        <v>0.97595829369191422</v>
      </c>
      <c r="F14">
        <v>20</v>
      </c>
      <c r="G14" t="s">
        <v>70</v>
      </c>
      <c r="H14" s="3">
        <v>1.9519165873838281E-2</v>
      </c>
      <c r="I14" t="s">
        <v>75</v>
      </c>
    </row>
    <row r="15" spans="1:9" x14ac:dyDescent="0.25">
      <c r="A15" s="1" t="s">
        <v>4</v>
      </c>
      <c r="B15" s="2" t="s">
        <v>60</v>
      </c>
      <c r="C15" s="4">
        <v>137.91121401280202</v>
      </c>
      <c r="D15" s="3">
        <v>7.1900610868008243</v>
      </c>
      <c r="E15" s="3">
        <v>0.9915900533069083</v>
      </c>
      <c r="F15">
        <v>20</v>
      </c>
      <c r="G15" t="s">
        <v>70</v>
      </c>
      <c r="H15" s="3">
        <v>1.9831801066138164E-2</v>
      </c>
      <c r="I15" t="s">
        <v>72</v>
      </c>
    </row>
    <row r="16" spans="1:9" x14ac:dyDescent="0.25">
      <c r="A16" s="1" t="s">
        <v>4</v>
      </c>
      <c r="B16" s="2" t="s">
        <v>61</v>
      </c>
      <c r="C16" s="4">
        <v>61.293872894578676</v>
      </c>
      <c r="D16" s="3">
        <v>5.437946885755057</v>
      </c>
      <c r="E16" s="3">
        <v>0.33331282522294042</v>
      </c>
      <c r="F16">
        <v>20</v>
      </c>
      <c r="G16" t="s">
        <v>70</v>
      </c>
      <c r="H16" s="3">
        <v>6.6662565044588087E-3</v>
      </c>
      <c r="I16" t="s">
        <v>72</v>
      </c>
    </row>
    <row r="17" spans="1:9" x14ac:dyDescent="0.25">
      <c r="A17" s="1" t="s">
        <v>4</v>
      </c>
      <c r="B17" s="2" t="s">
        <v>62</v>
      </c>
      <c r="C17" s="4">
        <v>71.509518377008462</v>
      </c>
      <c r="D17" s="3">
        <v>6.4436661934637449</v>
      </c>
      <c r="E17" s="3">
        <v>0.46078346607680387</v>
      </c>
      <c r="F17">
        <v>20</v>
      </c>
      <c r="G17" t="s">
        <v>70</v>
      </c>
      <c r="H17" s="3">
        <v>9.2156693215360783E-3</v>
      </c>
      <c r="I17" t="s">
        <v>75</v>
      </c>
    </row>
    <row r="18" spans="1:9" x14ac:dyDescent="0.25">
      <c r="A18" s="1" t="s">
        <v>4</v>
      </c>
      <c r="B18" s="2" t="s">
        <v>10</v>
      </c>
      <c r="C18" s="4">
        <v>3134.128110117324</v>
      </c>
      <c r="D18" s="3">
        <v>7.5618803248905561E-2</v>
      </c>
      <c r="E18" s="3">
        <v>0.23699901691582617</v>
      </c>
      <c r="F18">
        <v>20</v>
      </c>
      <c r="G18" t="s">
        <v>70</v>
      </c>
      <c r="H18" s="9">
        <v>4.7399803383165236E-3</v>
      </c>
      <c r="I18" t="s">
        <v>11</v>
      </c>
    </row>
    <row r="19" spans="1:9" x14ac:dyDescent="0.25">
      <c r="A19" s="1" t="s">
        <v>4</v>
      </c>
      <c r="B19" s="2" t="s">
        <v>12</v>
      </c>
      <c r="C19" s="4">
        <v>3419.048847400717</v>
      </c>
      <c r="D19" s="3">
        <v>0.44668794219614699</v>
      </c>
      <c r="E19" s="3">
        <v>1.5272478939135343</v>
      </c>
      <c r="F19">
        <v>20</v>
      </c>
      <c r="G19" t="s">
        <v>70</v>
      </c>
      <c r="H19" s="9">
        <v>3.0544957878270686E-2</v>
      </c>
      <c r="I19" t="s">
        <v>13</v>
      </c>
    </row>
    <row r="20" spans="1:9" x14ac:dyDescent="0.25">
      <c r="A20" s="1" t="s">
        <v>4</v>
      </c>
      <c r="B20" s="2" t="s">
        <v>5</v>
      </c>
      <c r="C20" s="4">
        <v>1567.064055058662</v>
      </c>
      <c r="D20" s="3">
        <v>1.4025716727272725E-2</v>
      </c>
      <c r="E20" s="3">
        <v>2.1979196529744102E-2</v>
      </c>
      <c r="F20">
        <v>20</v>
      </c>
      <c r="G20" t="s">
        <v>70</v>
      </c>
      <c r="H20" s="9">
        <v>4.3958393059488203E-4</v>
      </c>
      <c r="I20" t="s">
        <v>6</v>
      </c>
    </row>
    <row r="21" spans="1:9" x14ac:dyDescent="0.25">
      <c r="A21" s="1" t="s">
        <v>4</v>
      </c>
      <c r="B21" s="2" t="s">
        <v>7</v>
      </c>
      <c r="C21" s="4">
        <v>569.84147456678613</v>
      </c>
      <c r="D21" s="3">
        <v>1.9530225594749999</v>
      </c>
      <c r="E21" s="3">
        <v>1.1129132551534329</v>
      </c>
      <c r="F21">
        <v>20</v>
      </c>
      <c r="G21" t="s">
        <v>70</v>
      </c>
      <c r="H21" s="9">
        <v>2.2258265103068661E-2</v>
      </c>
      <c r="I21" t="s">
        <v>6</v>
      </c>
    </row>
    <row r="22" spans="1:9" x14ac:dyDescent="0.25">
      <c r="A22" s="1" t="s">
        <v>4</v>
      </c>
      <c r="B22" s="2" t="s">
        <v>8</v>
      </c>
      <c r="C22" s="4">
        <v>142.46036864169653</v>
      </c>
      <c r="D22" s="3">
        <v>1.3335840000000002E-2</v>
      </c>
      <c r="E22" s="3">
        <v>1.8998286825466825E-3</v>
      </c>
      <c r="F22">
        <v>20</v>
      </c>
      <c r="G22" t="s">
        <v>70</v>
      </c>
      <c r="H22" s="9">
        <v>3.7996573650933647E-5</v>
      </c>
      <c r="I22" t="s">
        <v>6</v>
      </c>
    </row>
    <row r="23" spans="1:9" x14ac:dyDescent="0.25">
      <c r="A23" s="1" t="s">
        <v>4</v>
      </c>
      <c r="B23" s="2" t="s">
        <v>9</v>
      </c>
      <c r="C23" s="4">
        <v>28207.152991055915</v>
      </c>
      <c r="D23" s="3">
        <v>1.8699096000000005E-2</v>
      </c>
      <c r="E23" s="3">
        <v>0.52744826166644176</v>
      </c>
      <c r="F23">
        <v>20</v>
      </c>
      <c r="G23" t="s">
        <v>70</v>
      </c>
      <c r="H23" s="9">
        <v>1.0548965233328836E-2</v>
      </c>
      <c r="I23" t="s">
        <v>6</v>
      </c>
    </row>
    <row r="24" spans="1:9" x14ac:dyDescent="0.25">
      <c r="A24" s="1" t="s">
        <v>4</v>
      </c>
      <c r="B24" s="2" t="s">
        <v>14</v>
      </c>
      <c r="C24" s="4">
        <v>1139.6829491335723</v>
      </c>
      <c r="D24" s="3">
        <v>2.3020782500000003E-2</v>
      </c>
      <c r="E24" s="3">
        <v>2.6236393290962536E-2</v>
      </c>
      <c r="F24">
        <v>20</v>
      </c>
      <c r="G24" t="s">
        <v>70</v>
      </c>
      <c r="H24" s="9">
        <v>5.2472786581925072E-4</v>
      </c>
      <c r="I24" t="s">
        <v>6</v>
      </c>
    </row>
    <row r="25" spans="1:9" x14ac:dyDescent="0.25">
      <c r="A25" s="1" t="s">
        <v>4</v>
      </c>
      <c r="B25" s="2" t="s">
        <v>15</v>
      </c>
      <c r="C25" s="4">
        <v>7123.0184320848275</v>
      </c>
      <c r="D25" s="3">
        <v>5.5919112322500002E-3</v>
      </c>
      <c r="E25" s="3">
        <v>3.9831286777898933E-2</v>
      </c>
      <c r="F25">
        <v>20</v>
      </c>
      <c r="G25" t="s">
        <v>70</v>
      </c>
      <c r="H25" s="9">
        <v>7.966257355579787E-4</v>
      </c>
      <c r="I25" t="s">
        <v>6</v>
      </c>
    </row>
    <row r="26" spans="1:9" x14ac:dyDescent="0.25">
      <c r="A26" s="1" t="s">
        <v>4</v>
      </c>
      <c r="B26" s="2" t="s">
        <v>16</v>
      </c>
      <c r="C26" s="4">
        <v>7265.4788007265233</v>
      </c>
      <c r="D26" s="3">
        <v>1.5430737000000001E-3</v>
      </c>
      <c r="E26" s="3">
        <v>1.1211169255308641E-2</v>
      </c>
      <c r="F26">
        <v>20</v>
      </c>
      <c r="G26" t="s">
        <v>70</v>
      </c>
      <c r="H26" s="9">
        <v>2.2422338510617282E-4</v>
      </c>
      <c r="I26" t="s">
        <v>6</v>
      </c>
    </row>
    <row r="27" spans="1:9" x14ac:dyDescent="0.25">
      <c r="A27" s="1" t="s">
        <v>4</v>
      </c>
      <c r="B27" s="2" t="s">
        <v>17</v>
      </c>
      <c r="C27" s="4">
        <v>1139.6829491335723</v>
      </c>
      <c r="D27" s="3">
        <v>4.284692750000001E-3</v>
      </c>
      <c r="E27" s="3">
        <v>4.8831912694512376E-3</v>
      </c>
      <c r="F27">
        <v>20</v>
      </c>
      <c r="G27" t="s">
        <v>70</v>
      </c>
      <c r="H27" s="9">
        <v>9.766382538902475E-5</v>
      </c>
      <c r="I27" t="s">
        <v>6</v>
      </c>
    </row>
    <row r="28" spans="1:9" x14ac:dyDescent="0.25">
      <c r="A28" s="1" t="s">
        <v>4</v>
      </c>
      <c r="B28" s="2" t="s">
        <v>18</v>
      </c>
      <c r="C28" s="4">
        <v>4131.3506906091998</v>
      </c>
      <c r="D28" s="3">
        <v>2.2792065000000004E-3</v>
      </c>
      <c r="E28" s="3">
        <v>9.4162013478159782E-3</v>
      </c>
      <c r="F28">
        <v>20</v>
      </c>
      <c r="G28" t="s">
        <v>70</v>
      </c>
      <c r="H28" s="9">
        <v>1.8832402695631955E-4</v>
      </c>
      <c r="I28" t="s">
        <v>6</v>
      </c>
    </row>
    <row r="29" spans="1:9" x14ac:dyDescent="0.25">
      <c r="A29" s="1" t="s">
        <v>4</v>
      </c>
      <c r="B29" s="2" t="s">
        <v>19</v>
      </c>
      <c r="C29" s="4">
        <v>142.46036864169653</v>
      </c>
      <c r="D29" s="3">
        <v>5.810703359999999E-2</v>
      </c>
      <c r="E29" s="3">
        <v>8.2779494273314443E-3</v>
      </c>
      <c r="F29">
        <v>20</v>
      </c>
      <c r="G29" t="s">
        <v>70</v>
      </c>
      <c r="H29" s="9">
        <v>1.6555898854662886E-4</v>
      </c>
      <c r="I29" t="s">
        <v>6</v>
      </c>
    </row>
    <row r="30" spans="1:9" x14ac:dyDescent="0.25">
      <c r="A30" s="1" t="s">
        <v>4</v>
      </c>
      <c r="B30" s="2" t="s">
        <v>20</v>
      </c>
      <c r="C30" s="4">
        <v>712.30184320848275</v>
      </c>
      <c r="D30" s="3">
        <v>2.9114569999999999E-2</v>
      </c>
      <c r="E30" s="3">
        <v>2.0738361875222395E-2</v>
      </c>
      <c r="F30">
        <v>20</v>
      </c>
      <c r="G30" t="s">
        <v>70</v>
      </c>
      <c r="H30" s="9">
        <v>4.1476723750444788E-4</v>
      </c>
      <c r="I30" t="s">
        <v>6</v>
      </c>
    </row>
    <row r="31" spans="1:9" x14ac:dyDescent="0.25">
      <c r="A31" s="1" t="s">
        <v>4</v>
      </c>
      <c r="B31" s="2" t="s">
        <v>21</v>
      </c>
      <c r="C31" s="4">
        <v>569.84147456678613</v>
      </c>
      <c r="D31" s="3">
        <v>8.5876024999999995E-3</v>
      </c>
      <c r="E31" s="3">
        <v>4.8935720715934192E-3</v>
      </c>
      <c r="F31">
        <v>20</v>
      </c>
      <c r="G31" t="s">
        <v>70</v>
      </c>
      <c r="H31" s="9">
        <v>9.7871441431868379E-5</v>
      </c>
      <c r="I31" t="s">
        <v>6</v>
      </c>
    </row>
    <row r="32" spans="1:9" x14ac:dyDescent="0.25">
      <c r="A32" s="1" t="s">
        <v>4</v>
      </c>
      <c r="B32" s="2" t="s">
        <v>22</v>
      </c>
      <c r="C32" s="4">
        <v>854.76221185017926</v>
      </c>
      <c r="D32" s="3">
        <v>3.2996312066666672E-2</v>
      </c>
      <c r="E32" s="3">
        <v>2.8204000685002763E-2</v>
      </c>
      <c r="F32">
        <v>20</v>
      </c>
      <c r="G32" t="s">
        <v>70</v>
      </c>
      <c r="H32" s="9">
        <v>5.640800137000552E-4</v>
      </c>
      <c r="I32" t="s">
        <v>6</v>
      </c>
    </row>
    <row r="33" spans="1:9" x14ac:dyDescent="0.25">
      <c r="A33" s="1" t="s">
        <v>4</v>
      </c>
      <c r="B33" s="2" t="s">
        <v>23</v>
      </c>
      <c r="C33" s="4">
        <v>284.92073728339307</v>
      </c>
      <c r="D33" s="3">
        <v>3.5440004600000005E-2</v>
      </c>
      <c r="E33" s="3">
        <v>1.0097592239958843E-2</v>
      </c>
      <c r="F33">
        <v>20</v>
      </c>
      <c r="G33" t="s">
        <v>70</v>
      </c>
      <c r="H33" s="9">
        <v>2.0195184479917689E-4</v>
      </c>
      <c r="I33" t="s">
        <v>6</v>
      </c>
    </row>
    <row r="34" spans="1:9" x14ac:dyDescent="0.25">
      <c r="A34" s="1" t="s">
        <v>4</v>
      </c>
      <c r="B34" s="2" t="s">
        <v>24</v>
      </c>
      <c r="C34" s="4">
        <v>1424.6036864169655</v>
      </c>
      <c r="D34" s="3">
        <v>3.2393987999999999E-2</v>
      </c>
      <c r="E34" s="3">
        <v>4.614859472254694E-2</v>
      </c>
      <c r="F34">
        <v>20</v>
      </c>
      <c r="G34" t="s">
        <v>70</v>
      </c>
      <c r="H34" s="9">
        <v>9.2297189445093885E-4</v>
      </c>
      <c r="I34" t="s">
        <v>6</v>
      </c>
    </row>
    <row r="35" spans="1:9" x14ac:dyDescent="0.25">
      <c r="A35" s="1" t="s">
        <v>4</v>
      </c>
      <c r="B35" s="2" t="s">
        <v>25</v>
      </c>
      <c r="C35" s="4">
        <v>142.46036864169653</v>
      </c>
      <c r="D35" s="3">
        <v>4.4440299487999997E-2</v>
      </c>
      <c r="E35" s="3">
        <v>6.3309814476078773E-3</v>
      </c>
      <c r="F35">
        <v>20</v>
      </c>
      <c r="G35" t="s">
        <v>70</v>
      </c>
      <c r="H35" s="9">
        <v>1.2661962895215757E-4</v>
      </c>
      <c r="I35" t="s">
        <v>6</v>
      </c>
    </row>
    <row r="36" spans="1:9" x14ac:dyDescent="0.25">
      <c r="A36" s="1" t="s">
        <v>4</v>
      </c>
      <c r="B36" s="2" t="s">
        <v>26</v>
      </c>
      <c r="C36" s="4">
        <v>854.76221185017926</v>
      </c>
      <c r="D36" s="3">
        <v>7.8334796210666677E-2</v>
      </c>
      <c r="E36" s="3">
        <v>6.6957623673862487E-2</v>
      </c>
      <c r="F36">
        <v>20</v>
      </c>
      <c r="G36" t="s">
        <v>70</v>
      </c>
      <c r="H36" s="9">
        <v>1.3391524734772497E-3</v>
      </c>
      <c r="I36" t="s">
        <v>6</v>
      </c>
    </row>
    <row r="37" spans="1:9" x14ac:dyDescent="0.25">
      <c r="A37" s="1" t="s">
        <v>27</v>
      </c>
      <c r="B37" s="2" t="s">
        <v>47</v>
      </c>
      <c r="C37" s="4">
        <v>76.675917067090495</v>
      </c>
      <c r="D37" s="3">
        <v>0.64411707285911879</v>
      </c>
      <c r="E37" s="3">
        <v>4.9388267260042883E-2</v>
      </c>
      <c r="F37">
        <v>20</v>
      </c>
      <c r="G37" t="s">
        <v>76</v>
      </c>
      <c r="H37" s="3">
        <v>9.8776534520085774E-4</v>
      </c>
      <c r="I37" t="s">
        <v>71</v>
      </c>
    </row>
    <row r="38" spans="1:9" x14ac:dyDescent="0.25">
      <c r="A38" s="1" t="s">
        <v>27</v>
      </c>
      <c r="B38" s="2" t="s">
        <v>48</v>
      </c>
      <c r="C38" s="4">
        <v>15.356966344403068</v>
      </c>
      <c r="D38" s="3">
        <v>216.75772467335406</v>
      </c>
      <c r="E38" s="3">
        <v>3.3287410826980848</v>
      </c>
      <c r="F38">
        <v>20</v>
      </c>
      <c r="G38" t="s">
        <v>76</v>
      </c>
      <c r="H38" s="3">
        <v>6.6574821653961697E-2</v>
      </c>
      <c r="I38" t="s">
        <v>72</v>
      </c>
    </row>
    <row r="39" spans="1:9" x14ac:dyDescent="0.25">
      <c r="A39" s="1" t="s">
        <v>27</v>
      </c>
      <c r="B39" s="2" t="s">
        <v>49</v>
      </c>
      <c r="C39" s="4">
        <v>4.5744155068434669</v>
      </c>
      <c r="D39" s="3">
        <v>3.9672825086018779</v>
      </c>
      <c r="E39" s="3">
        <v>1.8147998627377281E-2</v>
      </c>
      <c r="F39">
        <v>20</v>
      </c>
      <c r="G39" t="s">
        <v>76</v>
      </c>
      <c r="H39" s="3">
        <v>3.6295997254754564E-4</v>
      </c>
      <c r="I39" t="s">
        <v>72</v>
      </c>
    </row>
    <row r="40" spans="1:9" x14ac:dyDescent="0.25">
      <c r="A40" s="1" t="s">
        <v>27</v>
      </c>
      <c r="B40" s="2" t="s">
        <v>51</v>
      </c>
      <c r="C40" s="4">
        <v>501.87872989368327</v>
      </c>
      <c r="D40" s="3">
        <v>0.34428795840562093</v>
      </c>
      <c r="E40" s="3">
        <v>0.17279080328230229</v>
      </c>
      <c r="F40">
        <v>20</v>
      </c>
      <c r="G40" t="s">
        <v>76</v>
      </c>
      <c r="H40" s="3">
        <v>3.4558160656460455E-3</v>
      </c>
      <c r="I40" t="s">
        <v>73</v>
      </c>
    </row>
    <row r="41" spans="1:9" x14ac:dyDescent="0.25">
      <c r="A41" s="1" t="s">
        <v>27</v>
      </c>
      <c r="B41" s="2" t="s">
        <v>53</v>
      </c>
      <c r="C41" s="4">
        <v>160.32237204937104</v>
      </c>
      <c r="D41" s="3">
        <v>2.2470215144914532</v>
      </c>
      <c r="E41" s="3">
        <v>0.36024781924923993</v>
      </c>
      <c r="F41">
        <v>20</v>
      </c>
      <c r="G41" t="s">
        <v>76</v>
      </c>
      <c r="H41" s="3">
        <v>7.2049563849847986E-3</v>
      </c>
      <c r="I41" t="s">
        <v>74</v>
      </c>
    </row>
    <row r="42" spans="1:9" x14ac:dyDescent="0.25">
      <c r="A42" s="1" t="s">
        <v>27</v>
      </c>
      <c r="B42" s="2" t="s">
        <v>54</v>
      </c>
      <c r="C42" s="4">
        <v>648.26002611267415</v>
      </c>
      <c r="D42" s="3">
        <v>1.7931839506612033</v>
      </c>
      <c r="E42" s="3">
        <v>1.1624494746804599</v>
      </c>
      <c r="F42">
        <v>20</v>
      </c>
      <c r="G42" t="s">
        <v>76</v>
      </c>
      <c r="H42" s="3">
        <v>2.3248989493609196E-2</v>
      </c>
      <c r="I42" t="s">
        <v>74</v>
      </c>
    </row>
    <row r="43" spans="1:9" x14ac:dyDescent="0.25">
      <c r="A43" s="1" t="s">
        <v>27</v>
      </c>
      <c r="B43" s="2" t="s">
        <v>55</v>
      </c>
      <c r="C43" s="4">
        <v>1547.4594171721901</v>
      </c>
      <c r="D43" s="3">
        <v>1.623989957602878</v>
      </c>
      <c r="E43" s="3">
        <v>2.5130585532856395</v>
      </c>
      <c r="F43">
        <v>20</v>
      </c>
      <c r="G43" t="s">
        <v>76</v>
      </c>
      <c r="H43" s="3">
        <v>5.026117106571279E-2</v>
      </c>
      <c r="I43" t="s">
        <v>75</v>
      </c>
    </row>
    <row r="44" spans="1:9" x14ac:dyDescent="0.25">
      <c r="A44" s="1" t="s">
        <v>27</v>
      </c>
      <c r="B44" s="2" t="s">
        <v>56</v>
      </c>
      <c r="C44" s="4">
        <v>230.02775120127149</v>
      </c>
      <c r="D44" s="3">
        <v>2.7646330385592273</v>
      </c>
      <c r="E44" s="3">
        <v>0.63594232075651713</v>
      </c>
      <c r="F44">
        <v>20</v>
      </c>
      <c r="G44" t="s">
        <v>76</v>
      </c>
      <c r="H44" s="3">
        <v>1.2718846415130344E-2</v>
      </c>
      <c r="I44" t="s">
        <v>73</v>
      </c>
    </row>
    <row r="45" spans="1:9" x14ac:dyDescent="0.25">
      <c r="A45" s="1" t="s">
        <v>27</v>
      </c>
      <c r="B45" s="2" t="s">
        <v>57</v>
      </c>
      <c r="C45" s="4">
        <v>69.705379151900445</v>
      </c>
      <c r="D45" s="3">
        <v>3.4994469452449635</v>
      </c>
      <c r="E45" s="3">
        <v>0.24393027614025997</v>
      </c>
      <c r="F45">
        <v>20</v>
      </c>
      <c r="G45" t="s">
        <v>76</v>
      </c>
      <c r="H45" s="3">
        <v>4.8786055228051996E-3</v>
      </c>
      <c r="I45" t="s">
        <v>75</v>
      </c>
    </row>
    <row r="46" spans="1:9" x14ac:dyDescent="0.25">
      <c r="A46" s="1" t="s">
        <v>27</v>
      </c>
      <c r="B46" s="2" t="s">
        <v>63</v>
      </c>
      <c r="C46" s="4">
        <v>17.92424035334583</v>
      </c>
      <c r="D46" s="3">
        <v>10.578073808198372</v>
      </c>
      <c r="E46" s="3">
        <v>0.18960393741357986</v>
      </c>
      <c r="F46">
        <v>20</v>
      </c>
      <c r="G46" t="s">
        <v>76</v>
      </c>
      <c r="H46" s="3">
        <v>3.7920787482715974E-3</v>
      </c>
      <c r="I46" t="s">
        <v>75</v>
      </c>
    </row>
    <row r="47" spans="1:9" x14ac:dyDescent="0.25">
      <c r="A47" s="1" t="s">
        <v>27</v>
      </c>
      <c r="B47" s="2" t="s">
        <v>64</v>
      </c>
      <c r="C47" s="4">
        <v>13.94107583038009</v>
      </c>
      <c r="D47" s="3">
        <v>0.85475188207944941</v>
      </c>
      <c r="E47" s="3">
        <v>1.1916160804229704E-2</v>
      </c>
      <c r="F47">
        <v>20</v>
      </c>
      <c r="G47" t="s">
        <v>76</v>
      </c>
      <c r="H47" s="3">
        <v>2.3832321608459409E-4</v>
      </c>
      <c r="I47" t="s">
        <v>71</v>
      </c>
    </row>
    <row r="48" spans="1:9" x14ac:dyDescent="0.25">
      <c r="A48" s="1" t="s">
        <v>27</v>
      </c>
      <c r="B48" s="2" t="s">
        <v>58</v>
      </c>
      <c r="C48" s="4">
        <v>146.38129621899094</v>
      </c>
      <c r="D48" s="3">
        <v>0.99868414847039555</v>
      </c>
      <c r="E48" s="3">
        <v>0.1461886801664557</v>
      </c>
      <c r="F48">
        <v>20</v>
      </c>
      <c r="G48" t="s">
        <v>76</v>
      </c>
      <c r="H48" s="3">
        <v>2.9237736033291138E-3</v>
      </c>
      <c r="I48" t="s">
        <v>71</v>
      </c>
    </row>
    <row r="49" spans="1:9" x14ac:dyDescent="0.25">
      <c r="A49" s="1" t="s">
        <v>27</v>
      </c>
      <c r="B49" s="2" t="s">
        <v>59</v>
      </c>
      <c r="C49" s="4">
        <v>606.43679862153397</v>
      </c>
      <c r="D49" s="3">
        <v>3.7309583156533437</v>
      </c>
      <c r="E49" s="3">
        <v>2.262590416735204</v>
      </c>
      <c r="F49">
        <v>20</v>
      </c>
      <c r="G49" t="s">
        <v>76</v>
      </c>
      <c r="H49" s="3">
        <v>4.5251808334704081E-2</v>
      </c>
      <c r="I49" t="s">
        <v>75</v>
      </c>
    </row>
    <row r="50" spans="1:9" x14ac:dyDescent="0.25">
      <c r="A50" s="1" t="s">
        <v>27</v>
      </c>
      <c r="B50" s="2" t="s">
        <v>60</v>
      </c>
      <c r="C50" s="4">
        <v>425.20281282659272</v>
      </c>
      <c r="D50" s="3">
        <v>3.7943093899965943</v>
      </c>
      <c r="E50" s="3">
        <v>1.6133510253609051</v>
      </c>
      <c r="F50">
        <v>20</v>
      </c>
      <c r="G50" t="s">
        <v>76</v>
      </c>
      <c r="H50" s="3">
        <v>3.2267020507218108E-2</v>
      </c>
      <c r="I50" t="s">
        <v>72</v>
      </c>
    </row>
    <row r="51" spans="1:9" x14ac:dyDescent="0.25">
      <c r="A51" s="1" t="s">
        <v>27</v>
      </c>
      <c r="B51" s="2" t="s">
        <v>62</v>
      </c>
      <c r="C51" s="4">
        <v>118.49914455823075</v>
      </c>
      <c r="D51" s="3">
        <v>7.4690738846721629</v>
      </c>
      <c r="E51" s="3">
        <v>0.88507886597587271</v>
      </c>
      <c r="F51">
        <v>20</v>
      </c>
      <c r="G51" t="s">
        <v>76</v>
      </c>
      <c r="H51" s="3">
        <v>1.7701577319517454E-2</v>
      </c>
      <c r="I51" t="s">
        <v>75</v>
      </c>
    </row>
    <row r="52" spans="1:9" x14ac:dyDescent="0.25">
      <c r="A52" s="1" t="s">
        <v>27</v>
      </c>
      <c r="B52" s="2" t="s">
        <v>10</v>
      </c>
      <c r="C52" s="4">
        <v>10813.918258177957</v>
      </c>
      <c r="D52" s="3">
        <v>9.3994157226235109E-2</v>
      </c>
      <c r="E52" s="3">
        <v>1.0164451329908333</v>
      </c>
      <c r="F52">
        <v>20</v>
      </c>
      <c r="G52" t="s">
        <v>76</v>
      </c>
      <c r="H52" s="9">
        <v>2.0328902659816666E-2</v>
      </c>
      <c r="I52" t="s">
        <v>11</v>
      </c>
    </row>
    <row r="53" spans="1:9" x14ac:dyDescent="0.25">
      <c r="A53" s="1" t="s">
        <v>27</v>
      </c>
      <c r="B53" s="2" t="s">
        <v>12</v>
      </c>
      <c r="C53" s="4">
        <v>3089.6909309079874</v>
      </c>
      <c r="D53" s="3">
        <v>0.20469057315470787</v>
      </c>
      <c r="E53" s="3">
        <v>0.63243060751845881</v>
      </c>
      <c r="F53">
        <v>20</v>
      </c>
      <c r="G53" t="s">
        <v>76</v>
      </c>
      <c r="H53" s="9">
        <v>1.2648612150369177E-2</v>
      </c>
      <c r="I53" t="s">
        <v>13</v>
      </c>
    </row>
    <row r="54" spans="1:9" x14ac:dyDescent="0.25">
      <c r="A54" s="1" t="s">
        <v>27</v>
      </c>
      <c r="B54" s="2" t="s">
        <v>5</v>
      </c>
      <c r="C54" s="4">
        <v>1029.8969769693292</v>
      </c>
      <c r="D54" s="3">
        <v>1.6239521999999999E-2</v>
      </c>
      <c r="E54" s="3">
        <v>1.6725034615226914E-2</v>
      </c>
      <c r="F54">
        <v>20</v>
      </c>
      <c r="G54" t="s">
        <v>76</v>
      </c>
      <c r="H54" s="9">
        <v>3.3450069230453829E-4</v>
      </c>
      <c r="I54" t="s">
        <v>6</v>
      </c>
    </row>
    <row r="55" spans="1:9" x14ac:dyDescent="0.25">
      <c r="A55" s="1" t="s">
        <v>27</v>
      </c>
      <c r="B55" s="2" t="s">
        <v>7</v>
      </c>
      <c r="C55" s="4">
        <v>514.94848848466461</v>
      </c>
      <c r="D55" s="3">
        <v>1.3203656294399999</v>
      </c>
      <c r="E55" s="3">
        <v>0.67992028512723068</v>
      </c>
      <c r="F55">
        <v>20</v>
      </c>
      <c r="G55" t="s">
        <v>76</v>
      </c>
      <c r="H55" s="9">
        <v>1.3598405702544614E-2</v>
      </c>
      <c r="I55" t="s">
        <v>6</v>
      </c>
    </row>
    <row r="56" spans="1:9" x14ac:dyDescent="0.25">
      <c r="A56" s="1" t="s">
        <v>27</v>
      </c>
      <c r="B56" s="2" t="s">
        <v>8</v>
      </c>
      <c r="C56" s="4">
        <v>3089.6909309079874</v>
      </c>
      <c r="D56" s="3">
        <v>1.4012490000000002E-2</v>
      </c>
      <c r="E56" s="3">
        <v>4.329426327243887E-2</v>
      </c>
      <c r="F56">
        <v>20</v>
      </c>
      <c r="G56" t="s">
        <v>76</v>
      </c>
      <c r="H56" s="9">
        <v>8.6588526544877737E-4</v>
      </c>
      <c r="I56" t="s">
        <v>6</v>
      </c>
    </row>
    <row r="57" spans="1:9" x14ac:dyDescent="0.25">
      <c r="A57" s="1" t="s">
        <v>27</v>
      </c>
      <c r="B57" s="2" t="s">
        <v>9</v>
      </c>
      <c r="C57" s="4">
        <v>67973.200479975727</v>
      </c>
      <c r="D57" s="3">
        <v>1.6377171199999999E-2</v>
      </c>
      <c r="E57" s="3">
        <v>1.1132087412724845</v>
      </c>
      <c r="F57">
        <v>20</v>
      </c>
      <c r="G57" t="s">
        <v>76</v>
      </c>
      <c r="H57" s="9">
        <v>2.2264174825449689E-2</v>
      </c>
      <c r="I57" t="s">
        <v>6</v>
      </c>
    </row>
    <row r="58" spans="1:9" x14ac:dyDescent="0.25">
      <c r="A58" s="1" t="s">
        <v>27</v>
      </c>
      <c r="B58" s="2" t="s">
        <v>14</v>
      </c>
      <c r="C58" s="4">
        <v>5149.4848848466463</v>
      </c>
      <c r="D58" s="3">
        <v>1.9849802E-2</v>
      </c>
      <c r="E58" s="3">
        <v>0.10221625536619873</v>
      </c>
      <c r="F58">
        <v>20</v>
      </c>
      <c r="G58" t="s">
        <v>76</v>
      </c>
      <c r="H58" s="9">
        <v>2.0443251073239748E-3</v>
      </c>
      <c r="I58" t="s">
        <v>6</v>
      </c>
    </row>
    <row r="59" spans="1:9" x14ac:dyDescent="0.25">
      <c r="A59" s="1" t="s">
        <v>27</v>
      </c>
      <c r="B59" s="2" t="s">
        <v>15</v>
      </c>
      <c r="C59" s="4">
        <v>13388.66070060128</v>
      </c>
      <c r="D59" s="3">
        <v>6.014311556842105E-3</v>
      </c>
      <c r="E59" s="3">
        <v>8.0523576782263989E-2</v>
      </c>
      <c r="F59">
        <v>20</v>
      </c>
      <c r="G59" t="s">
        <v>76</v>
      </c>
      <c r="H59" s="9">
        <v>1.6104715356452797E-3</v>
      </c>
      <c r="I59" t="s">
        <v>6</v>
      </c>
    </row>
    <row r="60" spans="1:9" x14ac:dyDescent="0.25">
      <c r="A60" s="1" t="s">
        <v>27</v>
      </c>
      <c r="B60" s="2" t="s">
        <v>16</v>
      </c>
      <c r="C60" s="4">
        <v>18538.145585447925</v>
      </c>
      <c r="D60" s="3">
        <v>1.7404353000000001E-3</v>
      </c>
      <c r="E60" s="3">
        <v>3.2264442973452739E-2</v>
      </c>
      <c r="F60">
        <v>20</v>
      </c>
      <c r="G60" t="s">
        <v>76</v>
      </c>
      <c r="H60" s="9">
        <v>6.4528885946905478E-4</v>
      </c>
      <c r="I60" t="s">
        <v>6</v>
      </c>
    </row>
    <row r="61" spans="1:9" x14ac:dyDescent="0.25">
      <c r="A61" s="1" t="s">
        <v>27</v>
      </c>
      <c r="B61" s="2" t="s">
        <v>28</v>
      </c>
      <c r="C61" s="4">
        <v>1029.8969769693292</v>
      </c>
      <c r="D61" s="3">
        <v>2.1551650000000001E-3</v>
      </c>
      <c r="E61" s="3">
        <v>2.2195979183701046E-3</v>
      </c>
      <c r="F61">
        <v>20</v>
      </c>
      <c r="G61" t="s">
        <v>76</v>
      </c>
      <c r="H61" s="9">
        <v>4.4391958367402089E-5</v>
      </c>
      <c r="I61" t="s">
        <v>6</v>
      </c>
    </row>
    <row r="62" spans="1:9" x14ac:dyDescent="0.25">
      <c r="A62" s="1" t="s">
        <v>27</v>
      </c>
      <c r="B62" s="2" t="s">
        <v>17</v>
      </c>
      <c r="C62" s="4">
        <v>18538.145585447925</v>
      </c>
      <c r="D62" s="3">
        <v>3.9720976999999989E-3</v>
      </c>
      <c r="E62" s="3">
        <v>7.3635325442222829E-2</v>
      </c>
      <c r="F62">
        <v>20</v>
      </c>
      <c r="G62" t="s">
        <v>76</v>
      </c>
      <c r="H62" s="9">
        <v>1.4727065088444566E-3</v>
      </c>
      <c r="I62" t="s">
        <v>6</v>
      </c>
    </row>
    <row r="63" spans="1:9" x14ac:dyDescent="0.25">
      <c r="A63" s="1" t="s">
        <v>27</v>
      </c>
      <c r="B63" s="2" t="s">
        <v>18</v>
      </c>
      <c r="C63" s="4">
        <v>3089.6909309079874</v>
      </c>
      <c r="D63" s="3">
        <v>2.495635E-3</v>
      </c>
      <c r="E63" s="3">
        <v>7.710740826356555E-3</v>
      </c>
      <c r="F63">
        <v>20</v>
      </c>
      <c r="G63" t="s">
        <v>76</v>
      </c>
      <c r="H63" s="9">
        <v>1.542148165271311E-4</v>
      </c>
      <c r="I63" t="s">
        <v>6</v>
      </c>
    </row>
    <row r="64" spans="1:9" x14ac:dyDescent="0.25">
      <c r="A64" s="1" t="s">
        <v>27</v>
      </c>
      <c r="B64" s="2" t="s">
        <v>29</v>
      </c>
      <c r="C64" s="4">
        <v>1544.8454654539937</v>
      </c>
      <c r="D64" s="3">
        <v>0.35661537000000004</v>
      </c>
      <c r="E64" s="3">
        <v>0.55091563725569825</v>
      </c>
      <c r="F64">
        <v>20</v>
      </c>
      <c r="G64" t="s">
        <v>76</v>
      </c>
      <c r="H64" s="9">
        <v>1.1018312745113966E-2</v>
      </c>
      <c r="I64" t="s">
        <v>6</v>
      </c>
    </row>
    <row r="65" spans="1:9" x14ac:dyDescent="0.25">
      <c r="A65" s="1" t="s">
        <v>27</v>
      </c>
      <c r="B65" s="2" t="s">
        <v>20</v>
      </c>
      <c r="C65" s="4">
        <v>7209.2788387853043</v>
      </c>
      <c r="D65" s="3">
        <v>3.3328348571428572E-2</v>
      </c>
      <c r="E65" s="3">
        <v>0.24027335808766043</v>
      </c>
      <c r="F65">
        <v>20</v>
      </c>
      <c r="G65" t="s">
        <v>76</v>
      </c>
      <c r="H65" s="9">
        <v>4.8054671617532079E-3</v>
      </c>
      <c r="I65" t="s">
        <v>6</v>
      </c>
    </row>
    <row r="66" spans="1:9" x14ac:dyDescent="0.25">
      <c r="A66" s="1" t="s">
        <v>27</v>
      </c>
      <c r="B66" s="2" t="s">
        <v>21</v>
      </c>
      <c r="C66" s="4">
        <v>5664.4333733313106</v>
      </c>
      <c r="D66" s="3">
        <v>2.1458869090909091E-2</v>
      </c>
      <c r="E66" s="3">
        <v>0.12155233423249318</v>
      </c>
      <c r="F66">
        <v>20</v>
      </c>
      <c r="G66" t="s">
        <v>76</v>
      </c>
      <c r="H66" s="9">
        <v>2.4310466846498634E-3</v>
      </c>
      <c r="I66" t="s">
        <v>6</v>
      </c>
    </row>
    <row r="67" spans="1:9" x14ac:dyDescent="0.25">
      <c r="A67" s="1" t="s">
        <v>27</v>
      </c>
      <c r="B67" s="2" t="s">
        <v>22</v>
      </c>
      <c r="C67" s="4">
        <v>3089.6909309079874</v>
      </c>
      <c r="D67" s="3">
        <v>3.9965823333333338E-2</v>
      </c>
      <c r="E67" s="3">
        <v>0.12348204189927084</v>
      </c>
      <c r="F67">
        <v>20</v>
      </c>
      <c r="G67" t="s">
        <v>76</v>
      </c>
      <c r="H67" s="9">
        <v>2.4696408379854167E-3</v>
      </c>
      <c r="I67" t="s">
        <v>6</v>
      </c>
    </row>
    <row r="68" spans="1:9" x14ac:dyDescent="0.25">
      <c r="A68" s="1" t="s">
        <v>27</v>
      </c>
      <c r="B68" s="2" t="s">
        <v>23</v>
      </c>
      <c r="C68" s="4">
        <v>5664.4333733313106</v>
      </c>
      <c r="D68" s="3">
        <v>4.2541024400000009E-2</v>
      </c>
      <c r="E68" s="3">
        <v>0.24097079834706164</v>
      </c>
      <c r="F68">
        <v>20</v>
      </c>
      <c r="G68" t="s">
        <v>76</v>
      </c>
      <c r="H68" s="9">
        <v>4.8194159669412333E-3</v>
      </c>
      <c r="I68" t="s">
        <v>6</v>
      </c>
    </row>
    <row r="69" spans="1:9" x14ac:dyDescent="0.25">
      <c r="A69" s="1" t="s">
        <v>27</v>
      </c>
      <c r="B69" s="2" t="s">
        <v>24</v>
      </c>
      <c r="C69" s="4">
        <v>7209.2788387853043</v>
      </c>
      <c r="D69" s="3">
        <v>2.4904332142857141E-2</v>
      </c>
      <c r="E69" s="3">
        <v>0.17954227471158066</v>
      </c>
      <c r="F69">
        <v>20</v>
      </c>
      <c r="G69" t="s">
        <v>76</v>
      </c>
      <c r="H69" s="9">
        <v>3.5908454942316132E-3</v>
      </c>
      <c r="I69" t="s">
        <v>6</v>
      </c>
    </row>
    <row r="70" spans="1:9" x14ac:dyDescent="0.25">
      <c r="A70" s="1" t="s">
        <v>27</v>
      </c>
      <c r="B70" s="2" t="s">
        <v>25</v>
      </c>
      <c r="C70" s="4">
        <v>2059.7939539386584</v>
      </c>
      <c r="D70" s="3">
        <v>0.10061211425200001</v>
      </c>
      <c r="E70" s="3">
        <v>0.20724022462925515</v>
      </c>
      <c r="F70">
        <v>20</v>
      </c>
      <c r="G70" t="s">
        <v>76</v>
      </c>
      <c r="H70" s="9">
        <v>4.1448044925851031E-3</v>
      </c>
      <c r="I70" t="s">
        <v>6</v>
      </c>
    </row>
    <row r="71" spans="1:9" x14ac:dyDescent="0.25">
      <c r="A71" s="1" t="s">
        <v>27</v>
      </c>
      <c r="B71" s="2" t="s">
        <v>26</v>
      </c>
      <c r="C71" s="4">
        <v>3604.6394193926521</v>
      </c>
      <c r="D71" s="3">
        <v>7.5656476613714302E-2</v>
      </c>
      <c r="E71" s="3">
        <v>0.27271431793415285</v>
      </c>
      <c r="F71">
        <v>20</v>
      </c>
      <c r="G71" t="s">
        <v>76</v>
      </c>
      <c r="H71" s="9">
        <v>5.4542863586830572E-3</v>
      </c>
      <c r="I71" t="s">
        <v>6</v>
      </c>
    </row>
    <row r="72" spans="1:9" x14ac:dyDescent="0.25">
      <c r="A72" s="1" t="s">
        <v>30</v>
      </c>
      <c r="B72" s="2" t="s">
        <v>47</v>
      </c>
      <c r="C72" s="4">
        <v>1168.1750228619117</v>
      </c>
      <c r="D72" s="3">
        <v>1.0953914399542815</v>
      </c>
      <c r="E72" s="3">
        <v>1.279608920411335</v>
      </c>
      <c r="F72">
        <v>20</v>
      </c>
      <c r="G72" t="s">
        <v>77</v>
      </c>
      <c r="H72" s="3">
        <v>2.5592178408226703E-2</v>
      </c>
      <c r="I72" t="s">
        <v>71</v>
      </c>
    </row>
    <row r="73" spans="1:9" x14ac:dyDescent="0.25">
      <c r="A73" s="1" t="s">
        <v>30</v>
      </c>
      <c r="B73" s="2" t="s">
        <v>48</v>
      </c>
      <c r="C73" s="4">
        <v>5.7874524760689221</v>
      </c>
      <c r="D73" s="3">
        <v>172.97087255543687</v>
      </c>
      <c r="E73" s="3">
        <v>1.0010607046587652</v>
      </c>
      <c r="F73">
        <v>20</v>
      </c>
      <c r="G73" t="s">
        <v>77</v>
      </c>
      <c r="H73" s="3">
        <v>2.0021214093175303E-2</v>
      </c>
      <c r="I73" t="s">
        <v>72</v>
      </c>
    </row>
    <row r="74" spans="1:9" x14ac:dyDescent="0.25">
      <c r="A74" s="1" t="s">
        <v>30</v>
      </c>
      <c r="B74" s="2" t="s">
        <v>49</v>
      </c>
      <c r="C74" s="4">
        <v>179.85621541014189</v>
      </c>
      <c r="D74" s="3">
        <v>4.4857768893124135</v>
      </c>
      <c r="E74" s="3">
        <v>0.80679485448600963</v>
      </c>
      <c r="F74">
        <v>20</v>
      </c>
      <c r="G74" t="s">
        <v>77</v>
      </c>
      <c r="H74" s="3">
        <v>1.6135897089720193E-2</v>
      </c>
      <c r="I74" t="s">
        <v>72</v>
      </c>
    </row>
    <row r="75" spans="1:9" x14ac:dyDescent="0.25">
      <c r="A75" s="1" t="s">
        <v>30</v>
      </c>
      <c r="B75" s="2" t="s">
        <v>50</v>
      </c>
      <c r="C75" s="4">
        <v>9.4973579094464355</v>
      </c>
      <c r="D75" s="3">
        <v>1.9697958805028424</v>
      </c>
      <c r="E75" s="3">
        <v>1.8707856485688675E-2</v>
      </c>
      <c r="F75">
        <v>20</v>
      </c>
      <c r="G75" t="s">
        <v>77</v>
      </c>
      <c r="H75" s="3">
        <v>3.7415712971377354E-4</v>
      </c>
      <c r="I75" t="s">
        <v>71</v>
      </c>
    </row>
    <row r="76" spans="1:9" x14ac:dyDescent="0.25">
      <c r="A76" s="1" t="s">
        <v>30</v>
      </c>
      <c r="B76" s="2" t="s">
        <v>65</v>
      </c>
      <c r="C76" s="4">
        <v>28.49207372833931</v>
      </c>
      <c r="D76" s="3">
        <v>0.28050811612069759</v>
      </c>
      <c r="E76" s="3">
        <v>7.9922579259084792E-3</v>
      </c>
      <c r="F76">
        <v>20</v>
      </c>
      <c r="G76" t="s">
        <v>77</v>
      </c>
      <c r="H76" s="3">
        <v>1.5984515851816958E-4</v>
      </c>
      <c r="I76" t="s">
        <v>71</v>
      </c>
    </row>
    <row r="77" spans="1:9" x14ac:dyDescent="0.25">
      <c r="A77" s="1" t="s">
        <v>30</v>
      </c>
      <c r="B77" s="2" t="s">
        <v>51</v>
      </c>
      <c r="C77" s="4">
        <v>28.49207372833931</v>
      </c>
      <c r="D77" s="3">
        <v>1.688876948101371</v>
      </c>
      <c r="E77" s="3">
        <v>4.8119606523396946E-2</v>
      </c>
      <c r="F77">
        <v>20</v>
      </c>
      <c r="G77" t="s">
        <v>77</v>
      </c>
      <c r="H77" s="3">
        <v>9.6239213046793893E-4</v>
      </c>
      <c r="I77" t="s">
        <v>73</v>
      </c>
    </row>
    <row r="78" spans="1:9" x14ac:dyDescent="0.25">
      <c r="A78" s="1" t="s">
        <v>30</v>
      </c>
      <c r="B78" s="2" t="s">
        <v>53</v>
      </c>
      <c r="C78" s="4">
        <v>75.978863275571484</v>
      </c>
      <c r="D78" s="3">
        <v>2.3871041192943583</v>
      </c>
      <c r="E78" s="3">
        <v>0.18136945750441952</v>
      </c>
      <c r="F78">
        <v>20</v>
      </c>
      <c r="G78" t="s">
        <v>77</v>
      </c>
      <c r="H78" s="3">
        <v>3.6273891500883905E-3</v>
      </c>
      <c r="I78" t="s">
        <v>74</v>
      </c>
    </row>
    <row r="79" spans="1:9" x14ac:dyDescent="0.25">
      <c r="A79" s="1" t="s">
        <v>30</v>
      </c>
      <c r="B79" s="2" t="s">
        <v>54</v>
      </c>
      <c r="C79" s="4">
        <v>2820.7152991055918</v>
      </c>
      <c r="D79" s="3">
        <v>1.6864699060519341</v>
      </c>
      <c r="E79" s="3">
        <v>4.7570514654818608</v>
      </c>
      <c r="F79">
        <v>20</v>
      </c>
      <c r="G79" t="s">
        <v>77</v>
      </c>
      <c r="H79" s="3">
        <v>9.5141029309637221E-2</v>
      </c>
      <c r="I79" t="s">
        <v>74</v>
      </c>
    </row>
    <row r="80" spans="1:9" x14ac:dyDescent="0.25">
      <c r="A80" s="1" t="s">
        <v>30</v>
      </c>
      <c r="B80" s="2" t="s">
        <v>55</v>
      </c>
      <c r="C80" s="4">
        <v>997.22258049187587</v>
      </c>
      <c r="D80" s="3">
        <v>2.377520233215054</v>
      </c>
      <c r="E80" s="3">
        <v>2.3709168621383627</v>
      </c>
      <c r="F80">
        <v>20</v>
      </c>
      <c r="G80" t="s">
        <v>77</v>
      </c>
      <c r="H80" s="3">
        <v>4.7418337242767249E-2</v>
      </c>
      <c r="I80" t="s">
        <v>75</v>
      </c>
    </row>
    <row r="81" spans="1:9" x14ac:dyDescent="0.25">
      <c r="A81" s="1" t="s">
        <v>30</v>
      </c>
      <c r="B81" s="2" t="s">
        <v>56</v>
      </c>
      <c r="C81" s="4">
        <v>37.989431637785742</v>
      </c>
      <c r="D81" s="3">
        <v>3.7065259584548311</v>
      </c>
      <c r="E81" s="3">
        <v>0.14080881451239807</v>
      </c>
      <c r="F81">
        <v>20</v>
      </c>
      <c r="G81" t="s">
        <v>77</v>
      </c>
      <c r="H81" s="3">
        <v>2.8161762902479612E-3</v>
      </c>
      <c r="I81" t="s">
        <v>73</v>
      </c>
    </row>
    <row r="82" spans="1:9" x14ac:dyDescent="0.25">
      <c r="A82" s="1" t="s">
        <v>30</v>
      </c>
      <c r="B82" s="2" t="s">
        <v>57</v>
      </c>
      <c r="C82" s="4">
        <v>66.481505366125049</v>
      </c>
      <c r="D82" s="3">
        <v>5.4587380609630918</v>
      </c>
      <c r="E82" s="3">
        <v>0.36290512369218886</v>
      </c>
      <c r="F82">
        <v>20</v>
      </c>
      <c r="G82" t="s">
        <v>77</v>
      </c>
      <c r="H82" s="3">
        <v>7.2581024738437774E-3</v>
      </c>
      <c r="I82" t="s">
        <v>75</v>
      </c>
    </row>
    <row r="83" spans="1:9" x14ac:dyDescent="0.25">
      <c r="A83" s="1" t="s">
        <v>30</v>
      </c>
      <c r="B83" s="2" t="s">
        <v>63</v>
      </c>
      <c r="C83" s="4">
        <v>36.63266622215054</v>
      </c>
      <c r="D83" s="3">
        <v>9.8445941183702246</v>
      </c>
      <c r="E83" s="3">
        <v>0.36063373043080282</v>
      </c>
      <c r="F83">
        <v>20</v>
      </c>
      <c r="G83" t="s">
        <v>77</v>
      </c>
      <c r="H83" s="3">
        <v>7.2126746086160565E-3</v>
      </c>
      <c r="I83" t="s">
        <v>75</v>
      </c>
    </row>
    <row r="84" spans="1:9" x14ac:dyDescent="0.25">
      <c r="A84" s="1" t="s">
        <v>30</v>
      </c>
      <c r="B84" s="2" t="s">
        <v>64</v>
      </c>
      <c r="C84" s="4">
        <v>66.481505366125049</v>
      </c>
      <c r="D84" s="3">
        <v>1.4914599187977695</v>
      </c>
      <c r="E84" s="3">
        <v>9.9154500594914333E-2</v>
      </c>
      <c r="F84">
        <v>20</v>
      </c>
      <c r="G84" t="s">
        <v>77</v>
      </c>
      <c r="H84" s="3">
        <v>1.9830900118982865E-3</v>
      </c>
      <c r="I84" t="s">
        <v>71</v>
      </c>
    </row>
    <row r="85" spans="1:9" x14ac:dyDescent="0.25">
      <c r="A85" s="1" t="s">
        <v>30</v>
      </c>
      <c r="B85" s="2" t="s">
        <v>58</v>
      </c>
      <c r="C85" s="4">
        <v>2250.8738245388054</v>
      </c>
      <c r="D85" s="3">
        <v>1.7305500511071277</v>
      </c>
      <c r="E85" s="3">
        <v>3.8952498120913255</v>
      </c>
      <c r="F85">
        <v>20</v>
      </c>
      <c r="G85" t="s">
        <v>77</v>
      </c>
      <c r="H85" s="3">
        <v>7.7904996241826507E-2</v>
      </c>
      <c r="I85" t="s">
        <v>71</v>
      </c>
    </row>
    <row r="86" spans="1:9" x14ac:dyDescent="0.25">
      <c r="A86" s="1" t="s">
        <v>30</v>
      </c>
      <c r="B86" s="2" t="s">
        <v>59</v>
      </c>
      <c r="C86" s="4">
        <v>883.25428557851853</v>
      </c>
      <c r="D86" s="3">
        <v>3.5467693219490832</v>
      </c>
      <c r="E86" s="3">
        <v>3.1326992035699441</v>
      </c>
      <c r="F86">
        <v>20</v>
      </c>
      <c r="G86" t="s">
        <v>77</v>
      </c>
      <c r="H86" s="3">
        <v>6.2653984071398883E-2</v>
      </c>
      <c r="I86" t="s">
        <v>75</v>
      </c>
    </row>
    <row r="87" spans="1:9" x14ac:dyDescent="0.25">
      <c r="A87" s="1" t="s">
        <v>30</v>
      </c>
      <c r="B87" s="2" t="s">
        <v>60</v>
      </c>
      <c r="C87" s="4">
        <v>474.86789547232178</v>
      </c>
      <c r="D87" s="3">
        <v>3.4651406981449902</v>
      </c>
      <c r="E87" s="3">
        <v>1.6454840708436034</v>
      </c>
      <c r="F87">
        <v>20</v>
      </c>
      <c r="G87" t="s">
        <v>77</v>
      </c>
      <c r="H87" s="3">
        <v>3.2909681416872068E-2</v>
      </c>
      <c r="I87" t="s">
        <v>72</v>
      </c>
    </row>
    <row r="88" spans="1:9" x14ac:dyDescent="0.25">
      <c r="A88" s="1" t="s">
        <v>30</v>
      </c>
      <c r="B88" s="2" t="s">
        <v>62</v>
      </c>
      <c r="C88" s="4">
        <v>237.43394773616089</v>
      </c>
      <c r="D88" s="3">
        <v>7.6011036796295581</v>
      </c>
      <c r="E88" s="3">
        <v>1.8047600538063047</v>
      </c>
      <c r="F88">
        <v>20</v>
      </c>
      <c r="G88" t="s">
        <v>77</v>
      </c>
      <c r="H88" s="3">
        <v>3.6095201076126092E-2</v>
      </c>
      <c r="I88" t="s">
        <v>75</v>
      </c>
    </row>
    <row r="89" spans="1:9" x14ac:dyDescent="0.25">
      <c r="A89" s="1" t="s">
        <v>30</v>
      </c>
      <c r="B89" s="2" t="s">
        <v>10</v>
      </c>
      <c r="C89" s="4">
        <v>3804.4444444444443</v>
      </c>
      <c r="D89" s="3">
        <v>8.4062094838681573E-2</v>
      </c>
      <c r="E89" s="3">
        <v>0.31980956969738411</v>
      </c>
      <c r="F89">
        <v>20</v>
      </c>
      <c r="G89" t="s">
        <v>77</v>
      </c>
      <c r="H89" s="9">
        <v>6.3961913939476825E-3</v>
      </c>
      <c r="I89" t="s">
        <v>11</v>
      </c>
    </row>
    <row r="90" spans="1:9" x14ac:dyDescent="0.25">
      <c r="A90" s="1" t="s">
        <v>30</v>
      </c>
      <c r="B90" s="2" t="s">
        <v>12</v>
      </c>
      <c r="C90" s="4">
        <v>3804.4444444444443</v>
      </c>
      <c r="D90" s="3">
        <v>1.506235734466489</v>
      </c>
      <c r="E90" s="3">
        <v>5.7303901720147312</v>
      </c>
      <c r="F90">
        <v>20</v>
      </c>
      <c r="G90" t="s">
        <v>77</v>
      </c>
      <c r="H90" s="9">
        <v>0.11460780344029461</v>
      </c>
      <c r="I90" t="s">
        <v>13</v>
      </c>
    </row>
    <row r="91" spans="1:9" x14ac:dyDescent="0.25">
      <c r="A91" s="1" t="s">
        <v>30</v>
      </c>
      <c r="B91" s="2" t="s">
        <v>5</v>
      </c>
      <c r="C91" s="4">
        <v>4565.333333333333</v>
      </c>
      <c r="D91" s="3">
        <v>1.3294712E-2</v>
      </c>
      <c r="E91" s="3">
        <v>6.069479185066666E-2</v>
      </c>
      <c r="F91">
        <v>20</v>
      </c>
      <c r="G91" t="s">
        <v>77</v>
      </c>
      <c r="H91" s="9">
        <v>1.2138958370133332E-3</v>
      </c>
      <c r="I91" t="s">
        <v>6</v>
      </c>
    </row>
    <row r="92" spans="1:9" x14ac:dyDescent="0.25">
      <c r="A92" s="1" t="s">
        <v>30</v>
      </c>
      <c r="B92" s="2" t="s">
        <v>7</v>
      </c>
      <c r="C92" s="4">
        <v>760.88888888888891</v>
      </c>
      <c r="D92" s="3">
        <v>4.6314010204800002</v>
      </c>
      <c r="E92" s="3">
        <v>3.5239815764718938</v>
      </c>
      <c r="F92">
        <v>20</v>
      </c>
      <c r="G92" t="s">
        <v>77</v>
      </c>
      <c r="H92" s="9">
        <v>7.0479631529437883E-2</v>
      </c>
      <c r="I92" t="s">
        <v>6</v>
      </c>
    </row>
    <row r="93" spans="1:9" x14ac:dyDescent="0.25">
      <c r="A93" s="1" t="s">
        <v>30</v>
      </c>
      <c r="B93" s="2" t="s">
        <v>8</v>
      </c>
      <c r="C93" s="4">
        <v>760.88888888888891</v>
      </c>
      <c r="D93" s="3">
        <v>2.843739E-2</v>
      </c>
      <c r="E93" s="3">
        <v>2.1637694079999999E-2</v>
      </c>
      <c r="F93">
        <v>20</v>
      </c>
      <c r="G93" t="s">
        <v>77</v>
      </c>
      <c r="H93" s="9">
        <v>4.3275388159999995E-4</v>
      </c>
      <c r="I93" t="s">
        <v>6</v>
      </c>
    </row>
    <row r="94" spans="1:9" x14ac:dyDescent="0.25">
      <c r="A94" s="1" t="s">
        <v>30</v>
      </c>
      <c r="B94" s="2" t="s">
        <v>9</v>
      </c>
      <c r="C94" s="4">
        <v>79893.333333333328</v>
      </c>
      <c r="D94" s="3">
        <v>1.9258340399999997E-2</v>
      </c>
      <c r="E94" s="3">
        <v>1.5386130090239996</v>
      </c>
      <c r="F94">
        <v>20</v>
      </c>
      <c r="G94" t="s">
        <v>77</v>
      </c>
      <c r="H94" s="9">
        <v>3.0772260180479988E-2</v>
      </c>
      <c r="I94" t="s">
        <v>6</v>
      </c>
    </row>
    <row r="95" spans="1:9" x14ac:dyDescent="0.25">
      <c r="A95" s="1" t="s">
        <v>30</v>
      </c>
      <c r="B95" s="2" t="s">
        <v>14</v>
      </c>
      <c r="C95" s="4">
        <v>1141.3333333333333</v>
      </c>
      <c r="D95" s="3">
        <v>2.1868693333333338E-2</v>
      </c>
      <c r="E95" s="3">
        <v>2.4959468657777779E-2</v>
      </c>
      <c r="F95">
        <v>20</v>
      </c>
      <c r="G95" t="s">
        <v>77</v>
      </c>
      <c r="H95" s="9">
        <v>4.9918937315555554E-4</v>
      </c>
      <c r="I95" t="s">
        <v>6</v>
      </c>
    </row>
    <row r="96" spans="1:9" x14ac:dyDescent="0.25">
      <c r="A96" s="1" t="s">
        <v>30</v>
      </c>
      <c r="B96" s="2" t="s">
        <v>15</v>
      </c>
      <c r="C96" s="4">
        <v>13696</v>
      </c>
      <c r="D96" s="3">
        <v>6.1692232875000001E-3</v>
      </c>
      <c r="E96" s="3">
        <v>8.4493682145600005E-2</v>
      </c>
      <c r="F96">
        <v>20</v>
      </c>
      <c r="G96" t="s">
        <v>77</v>
      </c>
      <c r="H96" s="9">
        <v>1.6898736429120001E-3</v>
      </c>
      <c r="I96" t="s">
        <v>6</v>
      </c>
    </row>
    <row r="97" spans="1:9" x14ac:dyDescent="0.25">
      <c r="A97" s="1" t="s">
        <v>30</v>
      </c>
      <c r="B97" s="2" t="s">
        <v>16</v>
      </c>
      <c r="C97" s="4">
        <v>17120</v>
      </c>
      <c r="D97" s="3">
        <v>1.3484174999999999E-3</v>
      </c>
      <c r="E97" s="3">
        <v>2.3084907599999996E-2</v>
      </c>
      <c r="F97">
        <v>20</v>
      </c>
      <c r="G97" t="s">
        <v>77</v>
      </c>
      <c r="H97" s="9">
        <v>4.616981519999999E-4</v>
      </c>
      <c r="I97" t="s">
        <v>6</v>
      </c>
    </row>
    <row r="98" spans="1:9" x14ac:dyDescent="0.25">
      <c r="A98" s="1" t="s">
        <v>30</v>
      </c>
      <c r="B98" s="2" t="s">
        <v>17</v>
      </c>
      <c r="C98" s="4">
        <v>7608.8888888888887</v>
      </c>
      <c r="D98" s="3">
        <v>3.2848476000000002E-3</v>
      </c>
      <c r="E98" s="3">
        <v>2.4994040405333331E-2</v>
      </c>
      <c r="F98">
        <v>20</v>
      </c>
      <c r="G98" t="s">
        <v>77</v>
      </c>
      <c r="H98" s="9">
        <v>4.9988080810666662E-4</v>
      </c>
      <c r="I98" t="s">
        <v>6</v>
      </c>
    </row>
    <row r="99" spans="1:9" x14ac:dyDescent="0.25">
      <c r="A99" s="1" t="s">
        <v>30</v>
      </c>
      <c r="B99" s="2" t="s">
        <v>18</v>
      </c>
      <c r="C99" s="4">
        <v>6087.1111111111113</v>
      </c>
      <c r="D99" s="3">
        <v>2.1638116250000004E-3</v>
      </c>
      <c r="E99" s="3">
        <v>1.3171361784888891E-2</v>
      </c>
      <c r="F99">
        <v>20</v>
      </c>
      <c r="G99" t="s">
        <v>77</v>
      </c>
      <c r="H99" s="9">
        <v>2.6342723569777781E-4</v>
      </c>
      <c r="I99" t="s">
        <v>6</v>
      </c>
    </row>
    <row r="100" spans="1:9" x14ac:dyDescent="0.25">
      <c r="A100" s="1" t="s">
        <v>30</v>
      </c>
      <c r="B100" s="2" t="s">
        <v>29</v>
      </c>
      <c r="C100" s="4">
        <v>380.44444444444446</v>
      </c>
      <c r="D100" s="3">
        <v>0.16003008000000002</v>
      </c>
      <c r="E100" s="3">
        <v>6.0882554880000009E-2</v>
      </c>
      <c r="F100">
        <v>20</v>
      </c>
      <c r="G100" t="s">
        <v>77</v>
      </c>
      <c r="H100" s="9">
        <v>1.2176510976000001E-3</v>
      </c>
      <c r="I100" t="s">
        <v>6</v>
      </c>
    </row>
    <row r="101" spans="1:9" x14ac:dyDescent="0.25">
      <c r="A101" s="1" t="s">
        <v>30</v>
      </c>
      <c r="B101" s="2" t="s">
        <v>20</v>
      </c>
      <c r="C101" s="4">
        <v>3424</v>
      </c>
      <c r="D101" s="3">
        <v>4.134819555555555E-2</v>
      </c>
      <c r="E101" s="3">
        <v>0.14157622158222222</v>
      </c>
      <c r="F101">
        <v>20</v>
      </c>
      <c r="G101" t="s">
        <v>77</v>
      </c>
      <c r="H101" s="9">
        <v>2.8315244316444448E-3</v>
      </c>
      <c r="I101" t="s">
        <v>6</v>
      </c>
    </row>
    <row r="102" spans="1:9" x14ac:dyDescent="0.25">
      <c r="A102" s="1" t="s">
        <v>30</v>
      </c>
      <c r="B102" s="2" t="s">
        <v>31</v>
      </c>
      <c r="C102" s="4">
        <v>380.44444444444446</v>
      </c>
      <c r="D102" s="3">
        <v>2.0989337600000005E-2</v>
      </c>
      <c r="E102" s="3">
        <v>7.9852768824888905E-3</v>
      </c>
      <c r="F102">
        <v>20</v>
      </c>
      <c r="G102" t="s">
        <v>77</v>
      </c>
      <c r="H102" s="9">
        <v>1.5970553764977778E-4</v>
      </c>
      <c r="I102" t="s">
        <v>6</v>
      </c>
    </row>
    <row r="103" spans="1:9" x14ac:dyDescent="0.25">
      <c r="A103" s="5" t="s">
        <v>30</v>
      </c>
      <c r="B103" s="2" t="s">
        <v>22</v>
      </c>
      <c r="C103" s="4">
        <v>9511.1111111111113</v>
      </c>
      <c r="D103" s="3">
        <v>4.7507031880000009E-2</v>
      </c>
      <c r="E103" s="3">
        <v>0.45184465876977786</v>
      </c>
      <c r="F103">
        <v>20</v>
      </c>
      <c r="G103" t="s">
        <v>77</v>
      </c>
      <c r="H103" s="9">
        <v>9.0368931753955564E-3</v>
      </c>
      <c r="I103" t="s">
        <v>6</v>
      </c>
    </row>
    <row r="104" spans="1:9" x14ac:dyDescent="0.25">
      <c r="A104" s="5" t="s">
        <v>30</v>
      </c>
      <c r="B104" s="2" t="s">
        <v>23</v>
      </c>
      <c r="C104" s="4">
        <v>5326.2222222222226</v>
      </c>
      <c r="D104" s="3">
        <v>5.4519377000000001E-2</v>
      </c>
      <c r="E104" s="3">
        <v>0.29038231731911113</v>
      </c>
      <c r="F104">
        <v>20</v>
      </c>
      <c r="G104" t="s">
        <v>77</v>
      </c>
      <c r="H104" s="9">
        <v>5.8076463463822229E-3</v>
      </c>
      <c r="I104" t="s">
        <v>6</v>
      </c>
    </row>
    <row r="105" spans="1:9" x14ac:dyDescent="0.25">
      <c r="A105" s="5" t="s">
        <v>30</v>
      </c>
      <c r="B105" s="2" t="s">
        <v>24</v>
      </c>
      <c r="C105" s="4">
        <v>10272</v>
      </c>
      <c r="D105" s="3">
        <v>3.2789072500000002E-2</v>
      </c>
      <c r="E105" s="3">
        <v>0.33680935272000007</v>
      </c>
      <c r="F105">
        <v>20</v>
      </c>
      <c r="G105" t="s">
        <v>77</v>
      </c>
      <c r="H105" s="9">
        <v>6.7361870544000012E-3</v>
      </c>
      <c r="I105" t="s">
        <v>6</v>
      </c>
    </row>
    <row r="106" spans="1:9" x14ac:dyDescent="0.25">
      <c r="A106" s="5" t="s">
        <v>30</v>
      </c>
      <c r="B106" s="2" t="s">
        <v>26</v>
      </c>
      <c r="C106" s="4">
        <v>380.44444444444446</v>
      </c>
      <c r="D106" s="3">
        <v>6.570219801600001E-2</v>
      </c>
      <c r="E106" s="3">
        <v>2.4996036222976005E-2</v>
      </c>
      <c r="F106">
        <v>20</v>
      </c>
      <c r="G106" t="s">
        <v>77</v>
      </c>
      <c r="H106" s="9">
        <v>4.999207244595201E-4</v>
      </c>
      <c r="I106" t="s">
        <v>6</v>
      </c>
    </row>
    <row r="107" spans="1:9" x14ac:dyDescent="0.25">
      <c r="A107" s="5" t="s">
        <v>32</v>
      </c>
      <c r="B107" s="2" t="s">
        <v>47</v>
      </c>
      <c r="C107" s="4">
        <v>666.11606159405142</v>
      </c>
      <c r="D107" s="3">
        <v>0.79636814865443606</v>
      </c>
      <c r="E107" s="3">
        <v>0.53047361476063903</v>
      </c>
      <c r="F107">
        <v>20</v>
      </c>
      <c r="G107" t="s">
        <v>78</v>
      </c>
      <c r="H107" s="3">
        <v>1.0609472295212781E-2</v>
      </c>
      <c r="I107" t="s">
        <v>71</v>
      </c>
    </row>
    <row r="108" spans="1:9" x14ac:dyDescent="0.25">
      <c r="A108" s="5" t="s">
        <v>32</v>
      </c>
      <c r="B108" s="2" t="s">
        <v>48</v>
      </c>
      <c r="C108" s="4">
        <v>20.002996966813555</v>
      </c>
      <c r="D108" s="3">
        <v>193.82149011041994</v>
      </c>
      <c r="E108" s="3">
        <v>3.8770106787820136</v>
      </c>
      <c r="F108">
        <v>20</v>
      </c>
      <c r="G108" t="s">
        <v>78</v>
      </c>
      <c r="H108" s="3">
        <v>7.7540213575640268E-2</v>
      </c>
      <c r="I108" t="s">
        <v>72</v>
      </c>
    </row>
    <row r="109" spans="1:9" x14ac:dyDescent="0.25">
      <c r="A109" s="5" t="s">
        <v>32</v>
      </c>
      <c r="B109" s="2" t="s">
        <v>51</v>
      </c>
      <c r="C109" s="4">
        <v>3309.7641810454429</v>
      </c>
      <c r="D109" s="3">
        <v>0.52938631898362931</v>
      </c>
      <c r="E109" s="3">
        <v>1.7521438765075135</v>
      </c>
      <c r="F109">
        <v>20</v>
      </c>
      <c r="G109" t="s">
        <v>78</v>
      </c>
      <c r="H109" s="3">
        <v>3.5042877530150271E-2</v>
      </c>
      <c r="I109" t="s">
        <v>73</v>
      </c>
    </row>
    <row r="110" spans="1:9" x14ac:dyDescent="0.25">
      <c r="A110" s="5" t="s">
        <v>32</v>
      </c>
      <c r="B110" s="2" t="s">
        <v>53</v>
      </c>
      <c r="C110" s="4">
        <v>978.35796546626295</v>
      </c>
      <c r="D110" s="3">
        <v>2.8604645347737172</v>
      </c>
      <c r="E110" s="3">
        <v>2.7985582625296144</v>
      </c>
      <c r="F110">
        <v>20</v>
      </c>
      <c r="G110" t="s">
        <v>78</v>
      </c>
      <c r="H110" s="3">
        <v>5.5971165250592286E-2</v>
      </c>
      <c r="I110" t="s">
        <v>74</v>
      </c>
    </row>
    <row r="111" spans="1:9" x14ac:dyDescent="0.25">
      <c r="A111" s="5" t="s">
        <v>32</v>
      </c>
      <c r="B111" s="2" t="s">
        <v>54</v>
      </c>
      <c r="C111" s="4">
        <v>41.632253849628214</v>
      </c>
      <c r="D111" s="3">
        <v>4.362087458794206</v>
      </c>
      <c r="E111" s="3">
        <v>0.18160353239880003</v>
      </c>
      <c r="F111">
        <v>20</v>
      </c>
      <c r="G111" t="s">
        <v>78</v>
      </c>
      <c r="H111" s="3">
        <v>3.6320706479760004E-3</v>
      </c>
      <c r="I111" t="s">
        <v>74</v>
      </c>
    </row>
    <row r="112" spans="1:9" x14ac:dyDescent="0.25">
      <c r="A112" s="5" t="s">
        <v>32</v>
      </c>
      <c r="B112" s="2" t="s">
        <v>55</v>
      </c>
      <c r="C112" s="4">
        <v>3497.1093233687698</v>
      </c>
      <c r="D112" s="3">
        <v>1.4091771523227263</v>
      </c>
      <c r="E112" s="3">
        <v>4.9280465576660593</v>
      </c>
      <c r="F112">
        <v>20</v>
      </c>
      <c r="G112" t="s">
        <v>78</v>
      </c>
      <c r="H112" s="3">
        <v>9.856093115332118E-2</v>
      </c>
      <c r="I112" t="s">
        <v>75</v>
      </c>
    </row>
    <row r="113" spans="1:9" x14ac:dyDescent="0.25">
      <c r="A113" s="5" t="s">
        <v>32</v>
      </c>
      <c r="B113" s="2" t="s">
        <v>56</v>
      </c>
      <c r="C113" s="4">
        <v>2685.2803733010196</v>
      </c>
      <c r="D113" s="3">
        <v>3.7257294640099294</v>
      </c>
      <c r="E113" s="3">
        <v>10.004628205935191</v>
      </c>
      <c r="F113">
        <v>20</v>
      </c>
      <c r="G113" t="s">
        <v>78</v>
      </c>
      <c r="H113" s="3">
        <v>0.20009256411870383</v>
      </c>
      <c r="I113" t="s">
        <v>73</v>
      </c>
    </row>
    <row r="114" spans="1:9" x14ac:dyDescent="0.25">
      <c r="A114" s="5" t="s">
        <v>32</v>
      </c>
      <c r="B114" s="2" t="s">
        <v>57</v>
      </c>
      <c r="C114" s="4">
        <v>270.60965002258337</v>
      </c>
      <c r="D114" s="3">
        <v>1.8268247632285333</v>
      </c>
      <c r="E114" s="3">
        <v>0.49435640982986212</v>
      </c>
      <c r="F114">
        <v>20</v>
      </c>
      <c r="G114" t="s">
        <v>78</v>
      </c>
      <c r="H114" s="3">
        <v>9.8871281965972422E-3</v>
      </c>
      <c r="I114" t="s">
        <v>75</v>
      </c>
    </row>
    <row r="115" spans="1:9" x14ac:dyDescent="0.25">
      <c r="A115" s="5" t="s">
        <v>32</v>
      </c>
      <c r="B115" s="2" t="s">
        <v>63</v>
      </c>
      <c r="C115" s="4">
        <v>44.605986267458796</v>
      </c>
      <c r="D115" s="3">
        <v>9.8670422090673302</v>
      </c>
      <c r="E115" s="3">
        <v>0.4401291492780936</v>
      </c>
      <c r="F115">
        <v>20</v>
      </c>
      <c r="G115" t="s">
        <v>78</v>
      </c>
      <c r="H115" s="3">
        <v>8.8025829855618715E-3</v>
      </c>
      <c r="I115" t="s">
        <v>75</v>
      </c>
    </row>
    <row r="116" spans="1:9" x14ac:dyDescent="0.25">
      <c r="A116" s="5" t="s">
        <v>32</v>
      </c>
      <c r="B116" s="2" t="s">
        <v>64</v>
      </c>
      <c r="C116" s="4">
        <v>20.816126924814107</v>
      </c>
      <c r="D116" s="3">
        <v>2.1347687321001785</v>
      </c>
      <c r="E116" s="3">
        <v>4.4437616882521798E-2</v>
      </c>
      <c r="F116">
        <v>20</v>
      </c>
      <c r="G116" t="s">
        <v>78</v>
      </c>
      <c r="H116" s="3">
        <v>8.8875233765043596E-4</v>
      </c>
      <c r="I116" t="s">
        <v>71</v>
      </c>
    </row>
    <row r="117" spans="1:9" x14ac:dyDescent="0.25">
      <c r="A117" s="5" t="s">
        <v>32</v>
      </c>
      <c r="B117" s="2" t="s">
        <v>59</v>
      </c>
      <c r="C117" s="4">
        <v>2185.6933271054813</v>
      </c>
      <c r="D117" s="3">
        <v>3.7133870232896768</v>
      </c>
      <c r="E117" s="3">
        <v>8.1163252377643325</v>
      </c>
      <c r="F117">
        <v>20</v>
      </c>
      <c r="G117" t="s">
        <v>78</v>
      </c>
      <c r="H117" s="3">
        <v>0.16232650475528662</v>
      </c>
      <c r="I117" t="s">
        <v>75</v>
      </c>
    </row>
    <row r="118" spans="1:9" x14ac:dyDescent="0.25">
      <c r="A118" s="1" t="s">
        <v>32</v>
      </c>
      <c r="B118" s="2" t="s">
        <v>60</v>
      </c>
      <c r="C118" s="4">
        <v>1436.3127578121732</v>
      </c>
      <c r="D118" s="3">
        <v>2.438119198770007</v>
      </c>
      <c r="E118" s="3">
        <v>3.5019017102601553</v>
      </c>
      <c r="F118">
        <v>20</v>
      </c>
      <c r="G118" t="s">
        <v>78</v>
      </c>
      <c r="H118" s="3">
        <v>7.0038034205203104E-2</v>
      </c>
      <c r="I118" t="s">
        <v>72</v>
      </c>
    </row>
    <row r="119" spans="1:9" x14ac:dyDescent="0.25">
      <c r="A119" s="1" t="s">
        <v>32</v>
      </c>
      <c r="B119" s="2" t="s">
        <v>62</v>
      </c>
      <c r="C119" s="4">
        <v>520.40317312035256</v>
      </c>
      <c r="D119" s="3">
        <v>6.8511656259798173</v>
      </c>
      <c r="E119" s="3">
        <v>3.5653683313329836</v>
      </c>
      <c r="F119">
        <v>20</v>
      </c>
      <c r="G119" t="s">
        <v>78</v>
      </c>
      <c r="H119" s="3">
        <v>7.1307366626659666E-2</v>
      </c>
      <c r="I119" t="s">
        <v>75</v>
      </c>
    </row>
    <row r="120" spans="1:9" x14ac:dyDescent="0.25">
      <c r="A120" s="1" t="s">
        <v>32</v>
      </c>
      <c r="B120" s="2" t="s">
        <v>10</v>
      </c>
      <c r="C120" s="4">
        <v>22247.235650895076</v>
      </c>
      <c r="D120" s="3">
        <v>0.15711156529178327</v>
      </c>
      <c r="E120" s="3">
        <v>3.4952980165272902</v>
      </c>
      <c r="F120">
        <v>20</v>
      </c>
      <c r="G120" t="s">
        <v>78</v>
      </c>
      <c r="H120" s="9">
        <v>6.9905960330545816E-2</v>
      </c>
      <c r="I120" t="s">
        <v>11</v>
      </c>
    </row>
    <row r="121" spans="1:9" x14ac:dyDescent="0.25">
      <c r="A121" s="1" t="s">
        <v>32</v>
      </c>
      <c r="B121" s="2" t="s">
        <v>12</v>
      </c>
      <c r="C121" s="4">
        <v>741.57452169650253</v>
      </c>
      <c r="D121" s="3">
        <v>0.71972977198106691</v>
      </c>
      <c r="E121" s="3">
        <v>0.53373326140759247</v>
      </c>
      <c r="F121">
        <v>20</v>
      </c>
      <c r="G121" t="s">
        <v>78</v>
      </c>
      <c r="H121" s="9">
        <v>1.0674665228151848E-2</v>
      </c>
      <c r="I121" t="s">
        <v>13</v>
      </c>
    </row>
    <row r="122" spans="1:9" x14ac:dyDescent="0.25">
      <c r="A122" s="1" t="s">
        <v>32</v>
      </c>
      <c r="B122" s="2" t="s">
        <v>5</v>
      </c>
      <c r="C122" s="4">
        <v>741.57452169650253</v>
      </c>
      <c r="D122" s="3">
        <v>1.1643588E-2</v>
      </c>
      <c r="E122" s="3">
        <v>8.6345882019311353E-3</v>
      </c>
      <c r="F122">
        <v>20</v>
      </c>
      <c r="G122" t="s">
        <v>78</v>
      </c>
      <c r="H122" s="9">
        <v>1.7269176403862272E-4</v>
      </c>
      <c r="I122" t="s">
        <v>6</v>
      </c>
    </row>
    <row r="123" spans="1:9" x14ac:dyDescent="0.25">
      <c r="A123" s="1" t="s">
        <v>32</v>
      </c>
      <c r="B123" s="2" t="s">
        <v>7</v>
      </c>
      <c r="C123" s="4">
        <v>741.57452169650253</v>
      </c>
      <c r="D123" s="3">
        <v>4.0316122111199997</v>
      </c>
      <c r="E123" s="3">
        <v>2.9897408971270929</v>
      </c>
      <c r="F123">
        <v>20</v>
      </c>
      <c r="G123" t="s">
        <v>78</v>
      </c>
      <c r="H123" s="9">
        <v>5.9794817942541857E-2</v>
      </c>
      <c r="I123" t="s">
        <v>6</v>
      </c>
    </row>
    <row r="124" spans="1:9" x14ac:dyDescent="0.25">
      <c r="A124" s="1" t="s">
        <v>32</v>
      </c>
      <c r="B124" s="2" t="s">
        <v>8</v>
      </c>
      <c r="C124" s="4">
        <v>4449.4471301790154</v>
      </c>
      <c r="D124" s="3">
        <v>1.7678970000000002E-2</v>
      </c>
      <c r="E124" s="3">
        <v>7.8661642331020909E-2</v>
      </c>
      <c r="F124">
        <v>20</v>
      </c>
      <c r="G124" t="s">
        <v>78</v>
      </c>
      <c r="H124" s="9">
        <v>1.5732328466204182E-3</v>
      </c>
      <c r="I124" t="s">
        <v>6</v>
      </c>
    </row>
    <row r="125" spans="1:9" x14ac:dyDescent="0.25">
      <c r="A125" s="1" t="s">
        <v>32</v>
      </c>
      <c r="B125" s="2" t="s">
        <v>9</v>
      </c>
      <c r="C125" s="4">
        <v>100854.13495072434</v>
      </c>
      <c r="D125" s="3">
        <v>2.6073817900000008E-2</v>
      </c>
      <c r="E125" s="3">
        <v>2.629652349167213</v>
      </c>
      <c r="F125">
        <v>20</v>
      </c>
      <c r="G125" t="s">
        <v>78</v>
      </c>
      <c r="H125" s="9">
        <v>5.2593046983344258E-2</v>
      </c>
      <c r="I125" t="s">
        <v>6</v>
      </c>
    </row>
    <row r="126" spans="1:9" x14ac:dyDescent="0.25">
      <c r="A126" s="1" t="s">
        <v>32</v>
      </c>
      <c r="B126" s="2" t="s">
        <v>14</v>
      </c>
      <c r="C126" s="4">
        <v>2224.7235650895077</v>
      </c>
      <c r="D126" s="3">
        <v>2.4988913333333335E-2</v>
      </c>
      <c r="E126" s="3">
        <v>5.5593424358646067E-2</v>
      </c>
      <c r="F126">
        <v>20</v>
      </c>
      <c r="G126" t="s">
        <v>78</v>
      </c>
      <c r="H126" s="9">
        <v>1.1118684871729214E-3</v>
      </c>
      <c r="I126" t="s">
        <v>6</v>
      </c>
    </row>
    <row r="127" spans="1:9" x14ac:dyDescent="0.25">
      <c r="A127" s="1" t="s">
        <v>32</v>
      </c>
      <c r="B127" s="2" t="s">
        <v>15</v>
      </c>
      <c r="C127" s="4">
        <v>4449.4471301790154</v>
      </c>
      <c r="D127" s="3">
        <v>5.4951907149999998E-3</v>
      </c>
      <c r="E127" s="3">
        <v>2.4450560556643124E-2</v>
      </c>
      <c r="F127">
        <v>20</v>
      </c>
      <c r="G127" t="s">
        <v>78</v>
      </c>
      <c r="H127" s="9">
        <v>4.8901121113286252E-4</v>
      </c>
      <c r="I127" t="s">
        <v>6</v>
      </c>
    </row>
    <row r="128" spans="1:9" x14ac:dyDescent="0.25">
      <c r="A128" s="1" t="s">
        <v>32</v>
      </c>
      <c r="B128" s="2" t="s">
        <v>16</v>
      </c>
      <c r="C128" s="4">
        <v>21505.661129198572</v>
      </c>
      <c r="D128" s="3">
        <v>1.3242758000000002E-3</v>
      </c>
      <c r="E128" s="3">
        <v>2.8479426596398346E-2</v>
      </c>
      <c r="F128">
        <v>20</v>
      </c>
      <c r="G128" t="s">
        <v>78</v>
      </c>
      <c r="H128" s="9">
        <v>5.6958853192796684E-4</v>
      </c>
      <c r="I128" t="s">
        <v>6</v>
      </c>
    </row>
    <row r="129" spans="1:9" x14ac:dyDescent="0.25">
      <c r="A129" s="1" t="s">
        <v>32</v>
      </c>
      <c r="B129" s="2" t="s">
        <v>17</v>
      </c>
      <c r="C129" s="4">
        <v>29662.9808678601</v>
      </c>
      <c r="D129" s="3">
        <v>3.4368382000000003E-3</v>
      </c>
      <c r="E129" s="3">
        <v>0.10194686577253076</v>
      </c>
      <c r="F129">
        <v>20</v>
      </c>
      <c r="G129" t="s">
        <v>78</v>
      </c>
      <c r="H129" s="9">
        <v>2.0389373154506151E-3</v>
      </c>
      <c r="I129" t="s">
        <v>6</v>
      </c>
    </row>
    <row r="130" spans="1:9" x14ac:dyDescent="0.25">
      <c r="A130" s="1" t="s">
        <v>32</v>
      </c>
      <c r="B130" s="2" t="s">
        <v>18</v>
      </c>
      <c r="C130" s="4">
        <v>8898.8942603580308</v>
      </c>
      <c r="D130" s="3">
        <v>2.1055455000000001E-3</v>
      </c>
      <c r="E130" s="3">
        <v>1.8737026764872679E-2</v>
      </c>
      <c r="F130">
        <v>20</v>
      </c>
      <c r="G130" t="s">
        <v>78</v>
      </c>
      <c r="H130" s="9">
        <v>3.7474053529745359E-4</v>
      </c>
      <c r="I130" t="s">
        <v>6</v>
      </c>
    </row>
    <row r="131" spans="1:9" x14ac:dyDescent="0.25">
      <c r="A131" s="1" t="s">
        <v>32</v>
      </c>
      <c r="B131" s="2" t="s">
        <v>29</v>
      </c>
      <c r="C131" s="4">
        <v>741.57452169650253</v>
      </c>
      <c r="D131" s="3">
        <v>0.61629875000000001</v>
      </c>
      <c r="E131" s="3">
        <v>0.4570314507534024</v>
      </c>
      <c r="F131">
        <v>20</v>
      </c>
      <c r="G131" t="s">
        <v>78</v>
      </c>
      <c r="H131" s="9">
        <v>9.1406290150680483E-3</v>
      </c>
      <c r="I131" t="s">
        <v>6</v>
      </c>
    </row>
    <row r="132" spans="1:9" x14ac:dyDescent="0.25">
      <c r="A132" s="1" t="s">
        <v>32</v>
      </c>
      <c r="B132" s="2" t="s">
        <v>22</v>
      </c>
      <c r="C132" s="4">
        <v>40045.024171611134</v>
      </c>
      <c r="D132" s="3">
        <v>5.0592084620000012E-2</v>
      </c>
      <c r="E132" s="3">
        <v>2.0259612515000964</v>
      </c>
      <c r="F132">
        <v>20</v>
      </c>
      <c r="G132" t="s">
        <v>78</v>
      </c>
      <c r="H132" s="9">
        <v>4.0519225030001924E-2</v>
      </c>
      <c r="I132" t="s">
        <v>6</v>
      </c>
    </row>
    <row r="133" spans="1:9" x14ac:dyDescent="0.25">
      <c r="A133" s="1" t="s">
        <v>32</v>
      </c>
      <c r="B133" s="2" t="s">
        <v>23</v>
      </c>
      <c r="C133" s="4">
        <v>22247.235650895076</v>
      </c>
      <c r="D133" s="3">
        <v>5.1946198920000006E-2</v>
      </c>
      <c r="E133" s="3">
        <v>1.1556593285415115</v>
      </c>
      <c r="F133">
        <v>20</v>
      </c>
      <c r="G133" t="s">
        <v>78</v>
      </c>
      <c r="H133" s="9">
        <v>2.3113186570830231E-2</v>
      </c>
      <c r="I133" t="s">
        <v>6</v>
      </c>
    </row>
    <row r="134" spans="1:9" x14ac:dyDescent="0.25">
      <c r="A134" s="1" t="s">
        <v>32</v>
      </c>
      <c r="B134" s="2" t="s">
        <v>24</v>
      </c>
      <c r="C134" s="4">
        <v>1483.1490433930051</v>
      </c>
      <c r="D134" s="3">
        <v>8.3159730000000015E-2</v>
      </c>
      <c r="E134" s="3">
        <v>0.12333827399832061</v>
      </c>
      <c r="F134">
        <v>20</v>
      </c>
      <c r="G134" t="s">
        <v>78</v>
      </c>
      <c r="H134" s="9">
        <v>2.4667654799664122E-3</v>
      </c>
      <c r="I134" t="s">
        <v>6</v>
      </c>
    </row>
    <row r="135" spans="1:9" x14ac:dyDescent="0.25">
      <c r="A135" s="1" t="s">
        <v>32</v>
      </c>
      <c r="B135" s="2" t="s">
        <v>25</v>
      </c>
      <c r="C135" s="4">
        <v>741.57452169650253</v>
      </c>
      <c r="D135" s="3">
        <v>8.2112681664000001E-2</v>
      </c>
      <c r="E135" s="3">
        <v>6.0892672630197972E-2</v>
      </c>
      <c r="F135">
        <v>20</v>
      </c>
      <c r="G135" t="s">
        <v>78</v>
      </c>
      <c r="H135" s="9">
        <v>1.2178534526039596E-3</v>
      </c>
      <c r="I135" t="s">
        <v>6</v>
      </c>
    </row>
    <row r="136" spans="1:9" x14ac:dyDescent="0.25">
      <c r="A136" s="1" t="s">
        <v>32</v>
      </c>
      <c r="B136" s="2" t="s">
        <v>26</v>
      </c>
      <c r="C136" s="4">
        <v>5191.0216518755178</v>
      </c>
      <c r="D136" s="3">
        <v>7.4152566398857145E-2</v>
      </c>
      <c r="E136" s="3">
        <v>0.38492757771860442</v>
      </c>
      <c r="F136">
        <v>20</v>
      </c>
      <c r="G136" t="s">
        <v>78</v>
      </c>
      <c r="H136" s="9">
        <v>7.6985515543720878E-3</v>
      </c>
      <c r="I136" t="s">
        <v>6</v>
      </c>
    </row>
    <row r="137" spans="1:9" x14ac:dyDescent="0.25">
      <c r="A137" s="1" t="s">
        <v>33</v>
      </c>
      <c r="B137" s="2" t="s">
        <v>47</v>
      </c>
      <c r="C137" s="4">
        <v>11051.471021901309</v>
      </c>
      <c r="D137" s="3">
        <v>1.3718890844053866</v>
      </c>
      <c r="E137" s="3">
        <v>15.161392461568848</v>
      </c>
      <c r="F137">
        <v>20</v>
      </c>
      <c r="G137" t="s">
        <v>79</v>
      </c>
      <c r="H137" s="3">
        <v>0.30322784923137697</v>
      </c>
      <c r="I137" t="s">
        <v>71</v>
      </c>
    </row>
    <row r="138" spans="1:9" x14ac:dyDescent="0.25">
      <c r="A138" s="1" t="s">
        <v>33</v>
      </c>
      <c r="B138" s="2" t="s">
        <v>49</v>
      </c>
      <c r="C138" s="4">
        <v>270.89054946261996</v>
      </c>
      <c r="D138" s="3">
        <v>4.2860174492206209</v>
      </c>
      <c r="E138" s="3">
        <v>1.1610416218257509</v>
      </c>
      <c r="F138">
        <v>20</v>
      </c>
      <c r="G138" t="s">
        <v>79</v>
      </c>
      <c r="H138" s="3">
        <v>2.3220832436515019E-2</v>
      </c>
      <c r="I138" t="s">
        <v>72</v>
      </c>
    </row>
    <row r="139" spans="1:9" x14ac:dyDescent="0.25">
      <c r="A139" s="1" t="s">
        <v>33</v>
      </c>
      <c r="B139" s="2" t="s">
        <v>51</v>
      </c>
      <c r="C139" s="4">
        <v>15748.346206209364</v>
      </c>
      <c r="D139" s="3">
        <v>0.52557713359573954</v>
      </c>
      <c r="E139" s="3">
        <v>8.276970657932857</v>
      </c>
      <c r="F139">
        <v>20</v>
      </c>
      <c r="G139" t="s">
        <v>79</v>
      </c>
      <c r="H139" s="3">
        <v>0.16553941315865714</v>
      </c>
      <c r="I139" t="s">
        <v>73</v>
      </c>
    </row>
    <row r="140" spans="1:9" x14ac:dyDescent="0.25">
      <c r="A140" s="1" t="s">
        <v>33</v>
      </c>
      <c r="B140" s="2" t="s">
        <v>52</v>
      </c>
      <c r="C140" s="4">
        <v>92.095591849177566</v>
      </c>
      <c r="D140" s="3">
        <v>9.5553616319130654</v>
      </c>
      <c r="E140" s="3">
        <v>0.88000668482395694</v>
      </c>
      <c r="F140">
        <v>20</v>
      </c>
      <c r="G140" t="s">
        <v>79</v>
      </c>
      <c r="H140" s="3">
        <v>1.7600133696479142E-2</v>
      </c>
      <c r="I140" t="s">
        <v>74</v>
      </c>
    </row>
    <row r="141" spans="1:9" x14ac:dyDescent="0.25">
      <c r="A141" s="1" t="s">
        <v>33</v>
      </c>
      <c r="B141" s="2" t="s">
        <v>53</v>
      </c>
      <c r="C141" s="4">
        <v>2578.6765717769717</v>
      </c>
      <c r="D141" s="3">
        <v>6.9151710261966572</v>
      </c>
      <c r="E141" s="3">
        <v>17.831989515084238</v>
      </c>
      <c r="F141">
        <v>20</v>
      </c>
      <c r="G141" t="s">
        <v>79</v>
      </c>
      <c r="H141" s="3">
        <v>0.3566397903016848</v>
      </c>
      <c r="I141" t="s">
        <v>74</v>
      </c>
    </row>
    <row r="142" spans="1:9" x14ac:dyDescent="0.25">
      <c r="A142" s="1" t="s">
        <v>33</v>
      </c>
      <c r="B142" s="2" t="s">
        <v>54</v>
      </c>
      <c r="C142" s="4">
        <v>2670.7721636261494</v>
      </c>
      <c r="D142" s="3">
        <v>2.4966586700683133</v>
      </c>
      <c r="E142" s="3">
        <v>6.668006478094334</v>
      </c>
      <c r="F142">
        <v>20</v>
      </c>
      <c r="G142" t="s">
        <v>79</v>
      </c>
      <c r="H142" s="3">
        <v>0.13336012956188667</v>
      </c>
      <c r="I142" t="s">
        <v>74</v>
      </c>
    </row>
    <row r="143" spans="1:9" x14ac:dyDescent="0.25">
      <c r="A143" s="1" t="s">
        <v>33</v>
      </c>
      <c r="B143" s="2" t="s">
        <v>55</v>
      </c>
      <c r="C143" s="4">
        <v>1105.1471021901309</v>
      </c>
      <c r="D143" s="3">
        <v>3.6796527148112053</v>
      </c>
      <c r="E143" s="3">
        <v>4.0665575348396521</v>
      </c>
      <c r="F143">
        <v>20</v>
      </c>
      <c r="G143" t="s">
        <v>79</v>
      </c>
      <c r="H143" s="3">
        <v>8.1331150696793045E-2</v>
      </c>
      <c r="I143" t="s">
        <v>75</v>
      </c>
    </row>
    <row r="144" spans="1:9" x14ac:dyDescent="0.25">
      <c r="A144" s="1" t="s">
        <v>33</v>
      </c>
      <c r="B144" s="2" t="s">
        <v>56</v>
      </c>
      <c r="C144" s="4">
        <v>4052.2060413638128</v>
      </c>
      <c r="D144" s="3">
        <v>3.6634999705467179</v>
      </c>
      <c r="E144" s="3">
        <v>14.845256713185561</v>
      </c>
      <c r="F144">
        <v>20</v>
      </c>
      <c r="G144" t="s">
        <v>79</v>
      </c>
      <c r="H144" s="3">
        <v>0.29690513426371118</v>
      </c>
      <c r="I144" t="s">
        <v>73</v>
      </c>
    </row>
    <row r="145" spans="1:9" x14ac:dyDescent="0.25">
      <c r="A145" s="1" t="s">
        <v>33</v>
      </c>
      <c r="B145" s="2" t="s">
        <v>58</v>
      </c>
      <c r="C145" s="4">
        <v>6354.5958375932523</v>
      </c>
      <c r="D145" s="3">
        <v>2.0852369921632645</v>
      </c>
      <c r="E145" s="3">
        <v>13.250838310796155</v>
      </c>
      <c r="F145">
        <v>20</v>
      </c>
      <c r="G145" t="s">
        <v>79</v>
      </c>
      <c r="H145" s="3">
        <v>0.26501676621592307</v>
      </c>
      <c r="I145" t="s">
        <v>71</v>
      </c>
    </row>
    <row r="146" spans="1:9" x14ac:dyDescent="0.25">
      <c r="A146" s="1" t="s">
        <v>33</v>
      </c>
      <c r="B146" s="2" t="s">
        <v>59</v>
      </c>
      <c r="C146" s="4">
        <v>276.28677554753273</v>
      </c>
      <c r="D146" s="3">
        <v>4.2334605430557453</v>
      </c>
      <c r="E146" s="3">
        <v>1.1696491628485788</v>
      </c>
      <c r="F146">
        <v>20</v>
      </c>
      <c r="G146" t="s">
        <v>79</v>
      </c>
      <c r="H146" s="3">
        <v>2.3392983256971575E-2</v>
      </c>
      <c r="I146" t="s">
        <v>75</v>
      </c>
    </row>
    <row r="147" spans="1:9" x14ac:dyDescent="0.25">
      <c r="A147" s="1" t="s">
        <v>33</v>
      </c>
      <c r="B147" s="2" t="s">
        <v>60</v>
      </c>
      <c r="C147" s="4">
        <v>355.22585427539917</v>
      </c>
      <c r="D147" s="3">
        <v>4.8002831675134559</v>
      </c>
      <c r="E147" s="3">
        <v>1.7051846889437863</v>
      </c>
      <c r="F147">
        <v>20</v>
      </c>
      <c r="G147" t="s">
        <v>79</v>
      </c>
      <c r="H147" s="3">
        <v>3.4103693778875725E-2</v>
      </c>
      <c r="I147" t="s">
        <v>72</v>
      </c>
    </row>
    <row r="148" spans="1:9" x14ac:dyDescent="0.25">
      <c r="A148" s="1" t="s">
        <v>33</v>
      </c>
      <c r="B148" s="2" t="s">
        <v>61</v>
      </c>
      <c r="C148" s="4">
        <v>78.939078727866487</v>
      </c>
      <c r="D148" s="3">
        <v>4.091078776080221</v>
      </c>
      <c r="E148" s="3">
        <v>0.32294598958690024</v>
      </c>
      <c r="F148">
        <v>20</v>
      </c>
      <c r="G148" t="s">
        <v>79</v>
      </c>
      <c r="H148" s="3">
        <v>6.4589197917380046E-3</v>
      </c>
      <c r="I148" t="s">
        <v>72</v>
      </c>
    </row>
    <row r="149" spans="1:9" x14ac:dyDescent="0.25">
      <c r="A149" s="1" t="s">
        <v>33</v>
      </c>
      <c r="B149" s="2" t="s">
        <v>10</v>
      </c>
      <c r="C149" s="4">
        <v>81124.32432432432</v>
      </c>
      <c r="D149" s="3">
        <v>0.10256094581944404</v>
      </c>
      <c r="E149" s="3">
        <v>8.3201874316660316</v>
      </c>
      <c r="F149">
        <v>20</v>
      </c>
      <c r="G149" t="s">
        <v>79</v>
      </c>
      <c r="H149" s="9">
        <v>0.16640374863332061</v>
      </c>
      <c r="I149" t="s">
        <v>11</v>
      </c>
    </row>
    <row r="150" spans="1:9" x14ac:dyDescent="0.25">
      <c r="A150" s="1" t="s">
        <v>33</v>
      </c>
      <c r="B150" s="2" t="s">
        <v>12</v>
      </c>
      <c r="C150" s="4">
        <v>27848.648648648646</v>
      </c>
      <c r="D150" s="3">
        <v>0.21043188814727598</v>
      </c>
      <c r="E150" s="3">
        <v>5.8602437174852202</v>
      </c>
      <c r="F150">
        <v>20</v>
      </c>
      <c r="G150" t="s">
        <v>79</v>
      </c>
      <c r="H150" s="9">
        <v>0.11720487434970439</v>
      </c>
      <c r="I150" t="s">
        <v>13</v>
      </c>
    </row>
    <row r="151" spans="1:9" x14ac:dyDescent="0.25">
      <c r="A151" s="1" t="s">
        <v>33</v>
      </c>
      <c r="B151" s="2" t="s">
        <v>34</v>
      </c>
      <c r="C151" s="4">
        <v>3632.4324324324321</v>
      </c>
      <c r="D151" s="3">
        <v>3.9249215999999996E-2</v>
      </c>
      <c r="E151" s="3">
        <v>0.14257012514594591</v>
      </c>
      <c r="F151">
        <v>20</v>
      </c>
      <c r="G151" t="s">
        <v>79</v>
      </c>
      <c r="H151" s="9">
        <v>2.8514025029189182E-3</v>
      </c>
      <c r="I151" t="s">
        <v>6</v>
      </c>
    </row>
    <row r="152" spans="1:9" x14ac:dyDescent="0.25">
      <c r="A152" s="1" t="s">
        <v>33</v>
      </c>
      <c r="B152" s="2" t="s">
        <v>5</v>
      </c>
      <c r="C152" s="4">
        <v>6054.0540540540542</v>
      </c>
      <c r="D152" s="3">
        <v>1.4603001599999998E-2</v>
      </c>
      <c r="E152" s="3">
        <v>8.8407361037837834E-2</v>
      </c>
      <c r="F152">
        <v>20</v>
      </c>
      <c r="G152" t="s">
        <v>79</v>
      </c>
      <c r="H152" s="9">
        <v>1.7681472207567567E-3</v>
      </c>
      <c r="I152" t="s">
        <v>6</v>
      </c>
    </row>
    <row r="153" spans="1:9" x14ac:dyDescent="0.25">
      <c r="A153" s="1" t="s">
        <v>33</v>
      </c>
      <c r="B153" s="2" t="s">
        <v>7</v>
      </c>
      <c r="C153" s="4">
        <v>3632.4324324324321</v>
      </c>
      <c r="D153" s="3">
        <v>1.83598136111</v>
      </c>
      <c r="E153" s="3">
        <v>6.6690782414374041</v>
      </c>
      <c r="F153">
        <v>20</v>
      </c>
      <c r="G153" t="s">
        <v>79</v>
      </c>
      <c r="H153" s="9">
        <v>0.13338156482874808</v>
      </c>
      <c r="I153" t="s">
        <v>6</v>
      </c>
    </row>
    <row r="154" spans="1:9" x14ac:dyDescent="0.25">
      <c r="A154" s="1" t="s">
        <v>33</v>
      </c>
      <c r="B154" s="2" t="s">
        <v>8</v>
      </c>
      <c r="C154" s="4">
        <v>16951.35135135135</v>
      </c>
      <c r="D154" s="3">
        <v>1.9549709999999998E-2</v>
      </c>
      <c r="E154" s="3">
        <v>0.33139400302702693</v>
      </c>
      <c r="F154">
        <v>20</v>
      </c>
      <c r="G154" t="s">
        <v>79</v>
      </c>
      <c r="H154" s="9">
        <v>6.6278800605405388E-3</v>
      </c>
      <c r="I154" t="s">
        <v>6</v>
      </c>
    </row>
    <row r="155" spans="1:9" x14ac:dyDescent="0.25">
      <c r="A155" s="1" t="s">
        <v>33</v>
      </c>
      <c r="B155" s="2" t="s">
        <v>9</v>
      </c>
      <c r="C155" s="4">
        <v>73859.459459459453</v>
      </c>
      <c r="D155" s="3">
        <v>2.1397907700000003E-2</v>
      </c>
      <c r="E155" s="3">
        <v>1.5804378962854055</v>
      </c>
      <c r="F155">
        <v>20</v>
      </c>
      <c r="G155" t="s">
        <v>79</v>
      </c>
      <c r="H155" s="9">
        <v>3.1608757925708109E-2</v>
      </c>
      <c r="I155" t="s">
        <v>6</v>
      </c>
    </row>
    <row r="156" spans="1:9" x14ac:dyDescent="0.25">
      <c r="A156" s="1" t="s">
        <v>33</v>
      </c>
      <c r="B156" s="2" t="s">
        <v>14</v>
      </c>
      <c r="C156" s="4">
        <v>2421.6216216216217</v>
      </c>
      <c r="D156" s="3">
        <v>2.1723850000000003E-2</v>
      </c>
      <c r="E156" s="3">
        <v>5.260694486486487E-2</v>
      </c>
      <c r="F156">
        <v>20</v>
      </c>
      <c r="G156" t="s">
        <v>79</v>
      </c>
      <c r="H156" s="9">
        <v>1.0521388972972974E-3</v>
      </c>
      <c r="I156" t="s">
        <v>6</v>
      </c>
    </row>
    <row r="157" spans="1:9" x14ac:dyDescent="0.25">
      <c r="A157" s="1" t="s">
        <v>33</v>
      </c>
      <c r="B157" s="2" t="s">
        <v>15</v>
      </c>
      <c r="C157" s="4">
        <v>131978.37837837837</v>
      </c>
      <c r="D157" s="3">
        <v>6.3396397574999996E-3</v>
      </c>
      <c r="E157" s="3">
        <v>0.83669537469794586</v>
      </c>
      <c r="F157">
        <v>20</v>
      </c>
      <c r="G157" t="s">
        <v>79</v>
      </c>
      <c r="H157" s="9">
        <v>1.6733907493958918E-2</v>
      </c>
      <c r="I157" t="s">
        <v>6</v>
      </c>
    </row>
    <row r="158" spans="1:9" x14ac:dyDescent="0.25">
      <c r="A158" s="1" t="s">
        <v>33</v>
      </c>
      <c r="B158" s="2" t="s">
        <v>16</v>
      </c>
      <c r="C158" s="4">
        <v>158616.21621621621</v>
      </c>
      <c r="D158" s="3">
        <v>1.5997559000000001E-3</v>
      </c>
      <c r="E158" s="3">
        <v>0.25374722772756758</v>
      </c>
      <c r="F158">
        <v>20</v>
      </c>
      <c r="G158" t="s">
        <v>79</v>
      </c>
      <c r="H158" s="9">
        <v>5.0749445545513515E-3</v>
      </c>
      <c r="I158" t="s">
        <v>6</v>
      </c>
    </row>
    <row r="159" spans="1:9" x14ac:dyDescent="0.25">
      <c r="A159" s="1" t="s">
        <v>33</v>
      </c>
      <c r="B159" s="2" t="s">
        <v>17</v>
      </c>
      <c r="C159" s="4">
        <v>7264.8648648648641</v>
      </c>
      <c r="D159" s="3">
        <v>4.2055859999999999E-3</v>
      </c>
      <c r="E159" s="3">
        <v>3.0553013967567561E-2</v>
      </c>
      <c r="F159">
        <v>20</v>
      </c>
      <c r="G159" t="s">
        <v>79</v>
      </c>
      <c r="H159" s="9">
        <v>6.1106027935135126E-4</v>
      </c>
      <c r="I159" t="s">
        <v>6</v>
      </c>
    </row>
    <row r="160" spans="1:9" x14ac:dyDescent="0.25">
      <c r="A160" s="1" t="s">
        <v>33</v>
      </c>
      <c r="B160" s="2" t="s">
        <v>18</v>
      </c>
      <c r="C160" s="4">
        <v>10897.297297297297</v>
      </c>
      <c r="D160" s="3">
        <v>2.6481139999999996E-3</v>
      </c>
      <c r="E160" s="3">
        <v>2.8857285535135131E-2</v>
      </c>
      <c r="F160">
        <v>20</v>
      </c>
      <c r="G160" t="s">
        <v>79</v>
      </c>
      <c r="H160" s="9">
        <v>5.7714571070270257E-4</v>
      </c>
      <c r="I160" t="s">
        <v>6</v>
      </c>
    </row>
    <row r="161" spans="1:9" x14ac:dyDescent="0.25">
      <c r="A161" s="1" t="s">
        <v>33</v>
      </c>
      <c r="B161" s="2" t="s">
        <v>19</v>
      </c>
      <c r="C161" s="4">
        <v>13318.918918918918</v>
      </c>
      <c r="D161" s="3">
        <v>8.3487066599999993E-2</v>
      </c>
      <c r="E161" s="3">
        <v>1.1119574708237836</v>
      </c>
      <c r="F161">
        <v>20</v>
      </c>
      <c r="G161" t="s">
        <v>79</v>
      </c>
      <c r="H161" s="9">
        <v>2.2239149416475673E-2</v>
      </c>
      <c r="I161" t="s">
        <v>6</v>
      </c>
    </row>
    <row r="162" spans="1:9" x14ac:dyDescent="0.25">
      <c r="A162" s="1" t="s">
        <v>33</v>
      </c>
      <c r="B162" s="2" t="s">
        <v>29</v>
      </c>
      <c r="C162" s="4">
        <v>2421.6216216216217</v>
      </c>
      <c r="D162" s="3">
        <v>0.51038288000000009</v>
      </c>
      <c r="E162" s="3">
        <v>1.2359542175135139</v>
      </c>
      <c r="F162">
        <v>20</v>
      </c>
      <c r="G162" t="s">
        <v>79</v>
      </c>
      <c r="H162" s="9">
        <v>2.471908435027028E-2</v>
      </c>
      <c r="I162" t="s">
        <v>6</v>
      </c>
    </row>
    <row r="163" spans="1:9" x14ac:dyDescent="0.25">
      <c r="A163" s="1" t="s">
        <v>33</v>
      </c>
      <c r="B163" s="2" t="s">
        <v>21</v>
      </c>
      <c r="C163" s="4">
        <v>2421.6216216216217</v>
      </c>
      <c r="D163" s="3">
        <v>1.7798400000000002E-2</v>
      </c>
      <c r="E163" s="3">
        <v>4.3100990270270277E-2</v>
      </c>
      <c r="F163">
        <v>20</v>
      </c>
      <c r="G163" t="s">
        <v>79</v>
      </c>
      <c r="H163" s="9">
        <v>8.6201980540540556E-4</v>
      </c>
      <c r="I163" t="s">
        <v>6</v>
      </c>
    </row>
    <row r="164" spans="1:9" x14ac:dyDescent="0.25">
      <c r="A164" s="1" t="s">
        <v>33</v>
      </c>
      <c r="B164" s="2" t="s">
        <v>31</v>
      </c>
      <c r="C164" s="4">
        <v>2421.6216216216217</v>
      </c>
      <c r="D164" s="3">
        <v>1.6991543800000002E-2</v>
      </c>
      <c r="E164" s="3">
        <v>4.1147089850810815E-2</v>
      </c>
      <c r="F164">
        <v>20</v>
      </c>
      <c r="G164" t="s">
        <v>79</v>
      </c>
      <c r="H164" s="9">
        <v>8.2294179701621626E-4</v>
      </c>
      <c r="I164" t="s">
        <v>6</v>
      </c>
    </row>
    <row r="165" spans="1:9" x14ac:dyDescent="0.25">
      <c r="A165" s="1" t="s">
        <v>33</v>
      </c>
      <c r="B165" s="2" t="s">
        <v>22</v>
      </c>
      <c r="C165" s="4">
        <v>2421.6216216216217</v>
      </c>
      <c r="D165" s="3">
        <v>6.4780007600000009E-2</v>
      </c>
      <c r="E165" s="3">
        <v>0.15687266705297298</v>
      </c>
      <c r="F165">
        <v>20</v>
      </c>
      <c r="G165" t="s">
        <v>79</v>
      </c>
      <c r="H165" s="9">
        <v>3.1374533410594594E-3</v>
      </c>
      <c r="I165" t="s">
        <v>6</v>
      </c>
    </row>
    <row r="166" spans="1:9" x14ac:dyDescent="0.25">
      <c r="A166" s="1" t="s">
        <v>33</v>
      </c>
      <c r="B166" s="2" t="s">
        <v>24</v>
      </c>
      <c r="C166" s="4">
        <v>4843.2432432432433</v>
      </c>
      <c r="D166" s="3">
        <v>2.2449040000000003E-2</v>
      </c>
      <c r="E166" s="3">
        <v>0.10872616129729731</v>
      </c>
      <c r="F166">
        <v>20</v>
      </c>
      <c r="G166" t="s">
        <v>79</v>
      </c>
      <c r="H166" s="9">
        <v>2.1745232259459462E-3</v>
      </c>
      <c r="I166" t="s">
        <v>6</v>
      </c>
    </row>
    <row r="167" spans="1:9" x14ac:dyDescent="0.25">
      <c r="A167" s="1" t="s">
        <v>33</v>
      </c>
      <c r="B167" s="2" t="s">
        <v>26</v>
      </c>
      <c r="C167" s="4">
        <v>2421.6216216216217</v>
      </c>
      <c r="D167" s="3">
        <v>8.2245057179999997E-2</v>
      </c>
      <c r="E167" s="3">
        <v>0.19916640873859459</v>
      </c>
      <c r="F167">
        <v>20</v>
      </c>
      <c r="G167" t="s">
        <v>79</v>
      </c>
      <c r="H167" s="9">
        <v>3.9833281747718918E-3</v>
      </c>
      <c r="I167" t="s">
        <v>6</v>
      </c>
    </row>
    <row r="168" spans="1:9" x14ac:dyDescent="0.25">
      <c r="A168" s="1" t="s">
        <v>33</v>
      </c>
      <c r="B168" s="2" t="s">
        <v>35</v>
      </c>
      <c r="C168" s="4">
        <v>1210.8108108108108</v>
      </c>
      <c r="D168" s="3">
        <v>6.8750522879999984E-3</v>
      </c>
      <c r="E168" s="3">
        <v>8.3243876351999993E-3</v>
      </c>
      <c r="F168">
        <v>20</v>
      </c>
      <c r="G168" t="s">
        <v>79</v>
      </c>
      <c r="H168" s="9">
        <v>1.6648775270399998E-4</v>
      </c>
      <c r="I168" t="s">
        <v>6</v>
      </c>
    </row>
    <row r="169" spans="1:9" x14ac:dyDescent="0.25">
      <c r="A169" s="1" t="s">
        <v>36</v>
      </c>
      <c r="B169" s="2" t="s">
        <v>47</v>
      </c>
      <c r="C169" s="4">
        <v>8090.1437515960633</v>
      </c>
      <c r="D169" s="3">
        <v>0.76420412274183491</v>
      </c>
      <c r="E169" s="3">
        <v>6.1825212085438066</v>
      </c>
      <c r="F169">
        <v>20</v>
      </c>
      <c r="G169" t="s">
        <v>80</v>
      </c>
      <c r="H169" s="3">
        <v>0.12365042417087614</v>
      </c>
      <c r="I169" t="s">
        <v>71</v>
      </c>
    </row>
    <row r="170" spans="1:9" x14ac:dyDescent="0.25">
      <c r="A170" s="1" t="s">
        <v>36</v>
      </c>
      <c r="B170" s="2" t="s">
        <v>49</v>
      </c>
      <c r="C170" s="4">
        <v>289.43532643048911</v>
      </c>
      <c r="D170" s="3">
        <v>2.750710790742422</v>
      </c>
      <c r="E170" s="3">
        <v>0.79615287563440174</v>
      </c>
      <c r="F170">
        <v>20</v>
      </c>
      <c r="G170" t="s">
        <v>80</v>
      </c>
      <c r="H170" s="3">
        <v>1.5923057512688035E-2</v>
      </c>
      <c r="I170" t="s">
        <v>72</v>
      </c>
    </row>
    <row r="171" spans="1:9" x14ac:dyDescent="0.25">
      <c r="A171" s="1" t="s">
        <v>36</v>
      </c>
      <c r="B171" s="2" t="s">
        <v>50</v>
      </c>
      <c r="C171" s="4">
        <v>42.804993394688161</v>
      </c>
      <c r="D171" s="3">
        <v>2.6670980217741822</v>
      </c>
      <c r="E171" s="3">
        <v>0.11416511320502973</v>
      </c>
      <c r="F171">
        <v>20</v>
      </c>
      <c r="G171" t="s">
        <v>80</v>
      </c>
      <c r="H171" s="3">
        <v>2.2833022641005948E-3</v>
      </c>
      <c r="I171" t="s">
        <v>71</v>
      </c>
    </row>
    <row r="172" spans="1:9" x14ac:dyDescent="0.25">
      <c r="A172" s="1" t="s">
        <v>36</v>
      </c>
      <c r="B172" s="2" t="s">
        <v>66</v>
      </c>
      <c r="C172" s="4">
        <v>85.609986789376322</v>
      </c>
      <c r="D172" s="3">
        <v>0.89682565819829163</v>
      </c>
      <c r="E172" s="3">
        <v>7.6777232750729466E-2</v>
      </c>
      <c r="F172">
        <v>20</v>
      </c>
      <c r="G172" t="s">
        <v>80</v>
      </c>
      <c r="H172" s="3">
        <v>1.5355446550145892E-3</v>
      </c>
      <c r="I172" t="s">
        <v>71</v>
      </c>
    </row>
    <row r="173" spans="1:9" x14ac:dyDescent="0.25">
      <c r="A173" s="1" t="s">
        <v>36</v>
      </c>
      <c r="B173" s="2" t="s">
        <v>51</v>
      </c>
      <c r="C173" s="4">
        <v>10144.783434541096</v>
      </c>
      <c r="D173" s="3">
        <v>0.31852468034689385</v>
      </c>
      <c r="E173" s="3">
        <v>3.2313639006756665</v>
      </c>
      <c r="F173">
        <v>20</v>
      </c>
      <c r="G173" t="s">
        <v>80</v>
      </c>
      <c r="H173" s="3">
        <v>6.462727801351334E-2</v>
      </c>
      <c r="I173" t="s">
        <v>73</v>
      </c>
    </row>
    <row r="174" spans="1:9" x14ac:dyDescent="0.25">
      <c r="A174" s="1" t="s">
        <v>36</v>
      </c>
      <c r="B174" s="2" t="s">
        <v>53</v>
      </c>
      <c r="C174" s="4">
        <v>428.04993394688159</v>
      </c>
      <c r="D174" s="3">
        <v>3.4336930639760781</v>
      </c>
      <c r="E174" s="3">
        <v>1.4697920892288256</v>
      </c>
      <c r="F174">
        <v>20</v>
      </c>
      <c r="G174" t="s">
        <v>80</v>
      </c>
      <c r="H174" s="3">
        <v>2.939584178457651E-2</v>
      </c>
      <c r="I174" t="s">
        <v>74</v>
      </c>
    </row>
    <row r="175" spans="1:9" x14ac:dyDescent="0.25">
      <c r="A175" s="1" t="s">
        <v>36</v>
      </c>
      <c r="B175" s="2" t="s">
        <v>54</v>
      </c>
      <c r="C175" s="4">
        <v>2568.2996036812897</v>
      </c>
      <c r="D175" s="3">
        <v>1.805481087999014</v>
      </c>
      <c r="E175" s="3">
        <v>4.6370163627619316</v>
      </c>
      <c r="F175">
        <v>20</v>
      </c>
      <c r="G175" t="s">
        <v>80</v>
      </c>
      <c r="H175" s="3">
        <v>9.2740327255238633E-2</v>
      </c>
      <c r="I175" t="s">
        <v>74</v>
      </c>
    </row>
    <row r="176" spans="1:9" x14ac:dyDescent="0.25">
      <c r="A176" s="1" t="s">
        <v>36</v>
      </c>
      <c r="B176" s="2" t="s">
        <v>55</v>
      </c>
      <c r="C176" s="4">
        <v>513.65992073625796</v>
      </c>
      <c r="D176" s="3">
        <v>2.1502977759468265</v>
      </c>
      <c r="E176" s="3">
        <v>1.1045217851521987</v>
      </c>
      <c r="F176">
        <v>20</v>
      </c>
      <c r="G176" t="s">
        <v>80</v>
      </c>
      <c r="H176" s="3">
        <v>2.2090435703043972E-2</v>
      </c>
      <c r="I176" t="s">
        <v>75</v>
      </c>
    </row>
    <row r="177" spans="1:9" x14ac:dyDescent="0.25">
      <c r="A177" s="1" t="s">
        <v>36</v>
      </c>
      <c r="B177" s="2" t="s">
        <v>56</v>
      </c>
      <c r="C177" s="4">
        <v>1198.5398150512685</v>
      </c>
      <c r="D177" s="3">
        <v>2.725728656879514</v>
      </c>
      <c r="E177" s="3">
        <v>3.2668943202963154</v>
      </c>
      <c r="F177">
        <v>20</v>
      </c>
      <c r="G177" t="s">
        <v>80</v>
      </c>
      <c r="H177" s="3">
        <v>6.5337886405926318E-2</v>
      </c>
      <c r="I177" t="s">
        <v>73</v>
      </c>
    </row>
    <row r="178" spans="1:9" x14ac:dyDescent="0.25">
      <c r="A178" s="1" t="s">
        <v>36</v>
      </c>
      <c r="B178" s="2" t="s">
        <v>57</v>
      </c>
      <c r="C178" s="4">
        <v>42.804993394688161</v>
      </c>
      <c r="D178" s="3">
        <v>2.568090011040062</v>
      </c>
      <c r="E178" s="3">
        <v>0.10992707595953449</v>
      </c>
      <c r="F178">
        <v>20</v>
      </c>
      <c r="G178" t="s">
        <v>80</v>
      </c>
      <c r="H178" s="3">
        <v>2.19854151919069E-3</v>
      </c>
      <c r="I178" t="s">
        <v>75</v>
      </c>
    </row>
    <row r="179" spans="1:9" x14ac:dyDescent="0.25">
      <c r="A179" s="1" t="s">
        <v>36</v>
      </c>
      <c r="B179" s="2" t="s">
        <v>64</v>
      </c>
      <c r="C179" s="4">
        <v>385.2449405521935</v>
      </c>
      <c r="D179" s="3">
        <v>1.4904521554142993</v>
      </c>
      <c r="E179" s="3">
        <v>0.57418915200847043</v>
      </c>
      <c r="F179">
        <v>20</v>
      </c>
      <c r="G179" t="s">
        <v>80</v>
      </c>
      <c r="H179" s="3">
        <v>1.1483783040169409E-2</v>
      </c>
      <c r="I179" t="s">
        <v>71</v>
      </c>
    </row>
    <row r="180" spans="1:9" x14ac:dyDescent="0.25">
      <c r="A180" s="1" t="s">
        <v>36</v>
      </c>
      <c r="B180" s="2" t="s">
        <v>58</v>
      </c>
      <c r="C180" s="4">
        <v>4622.9392866263215</v>
      </c>
      <c r="D180" s="3">
        <v>0.99793556552723772</v>
      </c>
      <c r="E180" s="3">
        <v>4.613395531397523</v>
      </c>
      <c r="F180">
        <v>20</v>
      </c>
      <c r="G180" t="s">
        <v>80</v>
      </c>
      <c r="H180" s="3">
        <v>9.226791062795045E-2</v>
      </c>
      <c r="I180" t="s">
        <v>71</v>
      </c>
    </row>
    <row r="181" spans="1:9" x14ac:dyDescent="0.25">
      <c r="A181" s="1" t="s">
        <v>36</v>
      </c>
      <c r="B181" s="2" t="s">
        <v>59</v>
      </c>
      <c r="C181" s="4">
        <v>42.804993394688161</v>
      </c>
      <c r="D181" s="3">
        <v>3.3280235321885758</v>
      </c>
      <c r="E181" s="3">
        <v>0.14245602531269877</v>
      </c>
      <c r="F181">
        <v>20</v>
      </c>
      <c r="G181" t="s">
        <v>80</v>
      </c>
      <c r="H181" s="3">
        <v>2.8491205062539755E-3</v>
      </c>
      <c r="I181" t="s">
        <v>75</v>
      </c>
    </row>
    <row r="182" spans="1:9" x14ac:dyDescent="0.25">
      <c r="A182" s="1" t="s">
        <v>36</v>
      </c>
      <c r="B182" s="2" t="s">
        <v>67</v>
      </c>
      <c r="C182" s="4">
        <v>42.804993394688161</v>
      </c>
      <c r="D182" s="3">
        <v>3.9959369923756203</v>
      </c>
      <c r="E182" s="3">
        <v>0.1710460565642285</v>
      </c>
      <c r="F182">
        <v>20</v>
      </c>
      <c r="G182" t="s">
        <v>80</v>
      </c>
      <c r="H182" s="3">
        <v>3.42092113128457E-3</v>
      </c>
      <c r="I182" t="s">
        <v>75</v>
      </c>
    </row>
    <row r="183" spans="1:9" x14ac:dyDescent="0.25">
      <c r="A183" s="1" t="s">
        <v>36</v>
      </c>
      <c r="B183" s="2" t="s">
        <v>61</v>
      </c>
      <c r="C183" s="4">
        <v>128.41498018406449</v>
      </c>
      <c r="D183" s="3">
        <v>5.6431620350479408</v>
      </c>
      <c r="E183" s="3">
        <v>0.72466654090614635</v>
      </c>
      <c r="F183">
        <v>20</v>
      </c>
      <c r="G183" t="s">
        <v>80</v>
      </c>
      <c r="H183" s="3">
        <v>1.4493330818122927E-2</v>
      </c>
      <c r="I183" t="s">
        <v>72</v>
      </c>
    </row>
    <row r="184" spans="1:9" x14ac:dyDescent="0.25">
      <c r="A184" s="1" t="s">
        <v>36</v>
      </c>
      <c r="B184" s="2" t="s">
        <v>62</v>
      </c>
      <c r="C184" s="4">
        <v>42.804993394688161</v>
      </c>
      <c r="D184" s="3">
        <v>6.5614247177830398</v>
      </c>
      <c r="E184" s="3">
        <v>0.28086174170444667</v>
      </c>
      <c r="F184">
        <v>20</v>
      </c>
      <c r="G184" t="s">
        <v>80</v>
      </c>
      <c r="H184" s="3">
        <v>5.6172348340889329E-3</v>
      </c>
      <c r="I184" t="s">
        <v>75</v>
      </c>
    </row>
    <row r="185" spans="1:9" x14ac:dyDescent="0.25">
      <c r="A185" s="1" t="s">
        <v>36</v>
      </c>
      <c r="B185" s="2" t="s">
        <v>10</v>
      </c>
      <c r="C185" s="4">
        <v>43195.588959414694</v>
      </c>
      <c r="D185" s="3">
        <v>8.4123804546599776E-2</v>
      </c>
      <c r="E185" s="3">
        <v>3.6337772828970651</v>
      </c>
      <c r="F185">
        <v>20</v>
      </c>
      <c r="G185" t="s">
        <v>80</v>
      </c>
      <c r="H185" s="9">
        <v>7.2675545657941293E-2</v>
      </c>
      <c r="I185" t="s">
        <v>11</v>
      </c>
    </row>
    <row r="186" spans="1:9" x14ac:dyDescent="0.25">
      <c r="A186" s="1" t="s">
        <v>36</v>
      </c>
      <c r="B186" s="2" t="s">
        <v>12</v>
      </c>
      <c r="C186" s="4">
        <v>23259.16328583868</v>
      </c>
      <c r="D186" s="3">
        <v>0.36005324864458194</v>
      </c>
      <c r="E186" s="3">
        <v>8.3745373018210056</v>
      </c>
      <c r="F186">
        <v>20</v>
      </c>
      <c r="G186" t="s">
        <v>80</v>
      </c>
      <c r="H186" s="9">
        <v>0.16749074603642011</v>
      </c>
      <c r="I186" t="s">
        <v>13</v>
      </c>
    </row>
    <row r="187" spans="1:9" x14ac:dyDescent="0.25">
      <c r="A187" s="1" t="s">
        <v>36</v>
      </c>
      <c r="B187" s="2" t="s">
        <v>34</v>
      </c>
      <c r="C187" s="4">
        <v>1661.3688061313344</v>
      </c>
      <c r="D187" s="3">
        <v>3.5831807999999993E-2</v>
      </c>
      <c r="E187" s="3">
        <v>5.9529848078487185E-2</v>
      </c>
      <c r="F187">
        <v>20</v>
      </c>
      <c r="G187" t="s">
        <v>80</v>
      </c>
      <c r="H187" s="9">
        <v>1.1905969615697437E-3</v>
      </c>
      <c r="I187" t="s">
        <v>6</v>
      </c>
    </row>
    <row r="188" spans="1:9" x14ac:dyDescent="0.25">
      <c r="A188" s="1" t="s">
        <v>36</v>
      </c>
      <c r="B188" s="2" t="s">
        <v>5</v>
      </c>
      <c r="C188" s="4">
        <v>4984.1064183940034</v>
      </c>
      <c r="D188" s="3">
        <v>1.5638148000000001E-2</v>
      </c>
      <c r="E188" s="3">
        <v>7.7942193818595351E-2</v>
      </c>
      <c r="F188">
        <v>20</v>
      </c>
      <c r="G188" t="s">
        <v>80</v>
      </c>
      <c r="H188" s="9">
        <v>1.558843876371907E-3</v>
      </c>
      <c r="I188" t="s">
        <v>6</v>
      </c>
    </row>
    <row r="189" spans="1:9" x14ac:dyDescent="0.25">
      <c r="A189" s="1" t="s">
        <v>36</v>
      </c>
      <c r="B189" s="2" t="s">
        <v>37</v>
      </c>
      <c r="C189" s="4">
        <v>1661.3688061313344</v>
      </c>
      <c r="D189" s="3">
        <v>3.2376688281599999</v>
      </c>
      <c r="E189" s="3">
        <v>5.3789619956888153</v>
      </c>
      <c r="F189">
        <v>20</v>
      </c>
      <c r="G189" t="s">
        <v>80</v>
      </c>
      <c r="H189" s="9">
        <v>0.10757923991377631</v>
      </c>
      <c r="I189" t="s">
        <v>6</v>
      </c>
    </row>
    <row r="190" spans="1:9" x14ac:dyDescent="0.25">
      <c r="A190" s="1" t="s">
        <v>36</v>
      </c>
      <c r="B190" s="2" t="s">
        <v>8</v>
      </c>
      <c r="C190" s="4">
        <v>16613.688061313343</v>
      </c>
      <c r="D190" s="3">
        <v>1.8283302000000001E-2</v>
      </c>
      <c r="E190" s="3">
        <v>0.30375307615878638</v>
      </c>
      <c r="F190">
        <v>20</v>
      </c>
      <c r="G190" t="s">
        <v>80</v>
      </c>
      <c r="H190" s="9">
        <v>6.0750615231757272E-3</v>
      </c>
      <c r="I190" t="s">
        <v>6</v>
      </c>
    </row>
    <row r="191" spans="1:9" x14ac:dyDescent="0.25">
      <c r="A191" s="1" t="s">
        <v>36</v>
      </c>
      <c r="B191" s="2" t="s">
        <v>9</v>
      </c>
      <c r="C191" s="4">
        <v>212655.2071848108</v>
      </c>
      <c r="D191" s="3">
        <v>1.8252976299999998E-2</v>
      </c>
      <c r="E191" s="3">
        <v>3.8815904568159407</v>
      </c>
      <c r="F191">
        <v>20</v>
      </c>
      <c r="G191" t="s">
        <v>80</v>
      </c>
      <c r="H191" s="9">
        <v>7.7631809136318827E-2</v>
      </c>
      <c r="I191" t="s">
        <v>6</v>
      </c>
    </row>
    <row r="192" spans="1:9" x14ac:dyDescent="0.25">
      <c r="A192" s="1" t="s">
        <v>36</v>
      </c>
      <c r="B192" s="2" t="s">
        <v>14</v>
      </c>
      <c r="C192" s="4">
        <v>1661.3688061313344</v>
      </c>
      <c r="D192" s="3">
        <v>2.6619999999999998E-2</v>
      </c>
      <c r="E192" s="3">
        <v>4.4225637619216114E-2</v>
      </c>
      <c r="F192">
        <v>20</v>
      </c>
      <c r="G192" t="s">
        <v>80</v>
      </c>
      <c r="H192" s="9">
        <v>8.8451275238432222E-4</v>
      </c>
      <c r="I192" t="s">
        <v>6</v>
      </c>
    </row>
    <row r="193" spans="1:9" x14ac:dyDescent="0.25">
      <c r="A193" s="1" t="s">
        <v>36</v>
      </c>
      <c r="B193" s="2" t="s">
        <v>15</v>
      </c>
      <c r="C193" s="4">
        <v>96359.390755617394</v>
      </c>
      <c r="D193" s="3">
        <v>6.3647275124999996E-3</v>
      </c>
      <c r="E193" s="3">
        <v>0.61330126543001617</v>
      </c>
      <c r="F193">
        <v>20</v>
      </c>
      <c r="G193" t="s">
        <v>80</v>
      </c>
      <c r="H193" s="9">
        <v>1.2266025308600322E-2</v>
      </c>
      <c r="I193" t="s">
        <v>6</v>
      </c>
    </row>
    <row r="194" spans="1:9" x14ac:dyDescent="0.25">
      <c r="A194" s="1" t="s">
        <v>36</v>
      </c>
      <c r="B194" s="2" t="s">
        <v>16</v>
      </c>
      <c r="C194" s="4">
        <v>142877.71732729475</v>
      </c>
      <c r="D194" s="3">
        <v>1.5209310000000001E-3</v>
      </c>
      <c r="E194" s="3">
        <v>0.21730714949231975</v>
      </c>
      <c r="F194">
        <v>20</v>
      </c>
      <c r="G194" t="s">
        <v>80</v>
      </c>
      <c r="H194" s="9">
        <v>4.3461429898463948E-3</v>
      </c>
      <c r="I194" t="s">
        <v>6</v>
      </c>
    </row>
    <row r="195" spans="1:9" x14ac:dyDescent="0.25">
      <c r="A195" s="1" t="s">
        <v>36</v>
      </c>
      <c r="B195" s="2" t="s">
        <v>28</v>
      </c>
      <c r="C195" s="4">
        <v>8306.8440306566717</v>
      </c>
      <c r="D195" s="3">
        <v>2.2414067999999999E-3</v>
      </c>
      <c r="E195" s="3">
        <v>1.8619016696853272E-2</v>
      </c>
      <c r="F195">
        <v>20</v>
      </c>
      <c r="G195" t="s">
        <v>80</v>
      </c>
      <c r="H195" s="9">
        <v>3.7238033393706545E-4</v>
      </c>
      <c r="I195" t="s">
        <v>6</v>
      </c>
    </row>
    <row r="196" spans="1:9" x14ac:dyDescent="0.25">
      <c r="A196" s="1" t="s">
        <v>36</v>
      </c>
      <c r="B196" s="2" t="s">
        <v>17</v>
      </c>
      <c r="C196" s="4">
        <v>8306.8440306566717</v>
      </c>
      <c r="D196" s="3">
        <v>3.6398955999999995E-3</v>
      </c>
      <c r="E196" s="3">
        <v>3.0236045037073479E-2</v>
      </c>
      <c r="F196">
        <v>20</v>
      </c>
      <c r="G196" t="s">
        <v>80</v>
      </c>
      <c r="H196" s="9">
        <v>6.0472090074146958E-4</v>
      </c>
      <c r="I196" t="s">
        <v>6</v>
      </c>
    </row>
    <row r="197" spans="1:9" x14ac:dyDescent="0.25">
      <c r="A197" s="1" t="s">
        <v>36</v>
      </c>
      <c r="B197" s="2" t="s">
        <v>18</v>
      </c>
      <c r="C197" s="4">
        <v>26581.90089810135</v>
      </c>
      <c r="D197" s="3">
        <v>2.6760137500000006E-3</v>
      </c>
      <c r="E197" s="3">
        <v>7.1133532304456584E-2</v>
      </c>
      <c r="F197">
        <v>20</v>
      </c>
      <c r="G197" t="s">
        <v>80</v>
      </c>
      <c r="H197" s="9">
        <v>1.4226706460891316E-3</v>
      </c>
      <c r="I197" t="s">
        <v>6</v>
      </c>
    </row>
    <row r="198" spans="1:9" x14ac:dyDescent="0.25">
      <c r="A198" s="1" t="s">
        <v>36</v>
      </c>
      <c r="B198" s="2" t="s">
        <v>19</v>
      </c>
      <c r="C198" s="4">
        <v>18275.056867444677</v>
      </c>
      <c r="D198" s="3">
        <v>7.7001865499999989E-2</v>
      </c>
      <c r="E198" s="3">
        <v>1.407213470911826</v>
      </c>
      <c r="F198">
        <v>20</v>
      </c>
      <c r="G198" t="s">
        <v>80</v>
      </c>
      <c r="H198" s="9">
        <v>2.8144269418236518E-2</v>
      </c>
      <c r="I198" t="s">
        <v>6</v>
      </c>
    </row>
    <row r="199" spans="1:9" x14ac:dyDescent="0.25">
      <c r="A199" s="1" t="s">
        <v>36</v>
      </c>
      <c r="B199" s="2" t="s">
        <v>29</v>
      </c>
      <c r="C199" s="4">
        <v>1661.3688061313344</v>
      </c>
      <c r="D199" s="3">
        <v>0.14706125</v>
      </c>
      <c r="E199" s="3">
        <v>0.2443229733406817</v>
      </c>
      <c r="F199">
        <v>20</v>
      </c>
      <c r="G199" t="s">
        <v>80</v>
      </c>
      <c r="H199" s="9">
        <v>4.8864594668136339E-3</v>
      </c>
      <c r="I199" t="s">
        <v>6</v>
      </c>
    </row>
    <row r="200" spans="1:9" x14ac:dyDescent="0.25">
      <c r="A200" s="1" t="s">
        <v>36</v>
      </c>
      <c r="B200" s="2" t="s">
        <v>31</v>
      </c>
      <c r="C200" s="4">
        <v>4984.1064183940034</v>
      </c>
      <c r="D200" s="3">
        <v>1.8521775066666669E-2</v>
      </c>
      <c r="E200" s="3">
        <v>9.2314497989823371E-2</v>
      </c>
      <c r="F200">
        <v>20</v>
      </c>
      <c r="G200" t="s">
        <v>80</v>
      </c>
      <c r="H200" s="9">
        <v>1.8462899597964674E-3</v>
      </c>
      <c r="I200" t="s">
        <v>6</v>
      </c>
    </row>
    <row r="201" spans="1:9" x14ac:dyDescent="0.25">
      <c r="A201" s="1" t="s">
        <v>36</v>
      </c>
      <c r="B201" s="2" t="s">
        <v>25</v>
      </c>
      <c r="C201" s="4">
        <v>1661.3688061313344</v>
      </c>
      <c r="D201" s="3">
        <v>7.9400409088000015E-2</v>
      </c>
      <c r="E201" s="3">
        <v>0.13191336285287014</v>
      </c>
      <c r="F201">
        <v>20</v>
      </c>
      <c r="G201" t="s">
        <v>80</v>
      </c>
      <c r="H201" s="9">
        <v>2.6382672570574028E-3</v>
      </c>
      <c r="I201" t="s">
        <v>6</v>
      </c>
    </row>
    <row r="202" spans="1:9" x14ac:dyDescent="0.25">
      <c r="A202" s="1" t="s">
        <v>38</v>
      </c>
      <c r="B202" s="2" t="s">
        <v>47</v>
      </c>
      <c r="C202" s="4">
        <v>16271.165796860847</v>
      </c>
      <c r="D202" s="3">
        <v>1.7198782906870875</v>
      </c>
      <c r="E202" s="3">
        <v>27.984424818191236</v>
      </c>
      <c r="F202">
        <v>20</v>
      </c>
      <c r="G202" t="s">
        <v>81</v>
      </c>
      <c r="H202" s="3">
        <v>0.55968849636382467</v>
      </c>
      <c r="I202" t="s">
        <v>71</v>
      </c>
    </row>
    <row r="203" spans="1:9" x14ac:dyDescent="0.25">
      <c r="A203" s="1" t="s">
        <v>38</v>
      </c>
      <c r="B203" s="2" t="s">
        <v>49</v>
      </c>
      <c r="C203" s="4">
        <v>309.57733954830206</v>
      </c>
      <c r="D203" s="3">
        <v>2.8834654462772278</v>
      </c>
      <c r="E203" s="3">
        <v>0.89265556153796166</v>
      </c>
      <c r="F203">
        <v>20</v>
      </c>
      <c r="G203" t="s">
        <v>81</v>
      </c>
      <c r="H203" s="3">
        <v>1.7853111230759233E-2</v>
      </c>
      <c r="I203" t="s">
        <v>72</v>
      </c>
    </row>
    <row r="204" spans="1:9" x14ac:dyDescent="0.25">
      <c r="A204" s="1" t="s">
        <v>38</v>
      </c>
      <c r="B204" s="2" t="s">
        <v>51</v>
      </c>
      <c r="C204" s="4">
        <v>15149.016431560098</v>
      </c>
      <c r="D204" s="3">
        <v>0.96396512089319497</v>
      </c>
      <c r="E204" s="3">
        <v>14.603123455861827</v>
      </c>
      <c r="F204">
        <v>20</v>
      </c>
      <c r="G204" t="s">
        <v>81</v>
      </c>
      <c r="H204" s="3">
        <v>0.29206246911723655</v>
      </c>
      <c r="I204" t="s">
        <v>73</v>
      </c>
    </row>
    <row r="205" spans="1:9" x14ac:dyDescent="0.25">
      <c r="A205" s="1" t="s">
        <v>38</v>
      </c>
      <c r="B205" s="2" t="s">
        <v>53</v>
      </c>
      <c r="C205" s="4">
        <v>1028.6369181923524</v>
      </c>
      <c r="D205" s="3">
        <v>5.6907353700944734</v>
      </c>
      <c r="E205" s="3">
        <v>5.8537004933421946</v>
      </c>
      <c r="F205">
        <v>20</v>
      </c>
      <c r="G205" t="s">
        <v>81</v>
      </c>
      <c r="H205" s="3">
        <v>0.11707400986684389</v>
      </c>
      <c r="I205" t="s">
        <v>74</v>
      </c>
    </row>
    <row r="206" spans="1:9" x14ac:dyDescent="0.25">
      <c r="A206" s="1" t="s">
        <v>38</v>
      </c>
      <c r="B206" s="2" t="s">
        <v>54</v>
      </c>
      <c r="C206" s="4">
        <v>3834.0103314442222</v>
      </c>
      <c r="D206" s="3">
        <v>3.7231298789267924</v>
      </c>
      <c r="E206" s="3">
        <v>14.274518421113999</v>
      </c>
      <c r="F206">
        <v>20</v>
      </c>
      <c r="G206" t="s">
        <v>81</v>
      </c>
      <c r="H206" s="3">
        <v>0.28549036842227998</v>
      </c>
      <c r="I206" t="s">
        <v>74</v>
      </c>
    </row>
    <row r="207" spans="1:9" x14ac:dyDescent="0.25">
      <c r="A207" s="1" t="s">
        <v>38</v>
      </c>
      <c r="B207" s="2" t="s">
        <v>55</v>
      </c>
      <c r="C207" s="4">
        <v>1496.1991537343306</v>
      </c>
      <c r="D207" s="3">
        <v>5.2872939538150376</v>
      </c>
      <c r="E207" s="3">
        <v>7.9108447392427026</v>
      </c>
      <c r="F207">
        <v>20</v>
      </c>
      <c r="G207" t="s">
        <v>81</v>
      </c>
      <c r="H207" s="3">
        <v>0.15821689478485404</v>
      </c>
      <c r="I207" t="s">
        <v>75</v>
      </c>
    </row>
    <row r="208" spans="1:9" x14ac:dyDescent="0.25">
      <c r="A208" s="1" t="s">
        <v>38</v>
      </c>
      <c r="B208" s="2" t="s">
        <v>56</v>
      </c>
      <c r="C208" s="4">
        <v>8696.6575810807972</v>
      </c>
      <c r="D208" s="3">
        <v>3.1186474306549665</v>
      </c>
      <c r="E208" s="3">
        <v>27.121808820523665</v>
      </c>
      <c r="F208">
        <v>20</v>
      </c>
      <c r="G208" t="s">
        <v>81</v>
      </c>
      <c r="H208" s="3">
        <v>0.54243617641047326</v>
      </c>
      <c r="I208" t="s">
        <v>73</v>
      </c>
    </row>
    <row r="209" spans="1:9" x14ac:dyDescent="0.25">
      <c r="A209" s="1" t="s">
        <v>38</v>
      </c>
      <c r="B209" s="2" t="s">
        <v>64</v>
      </c>
      <c r="C209" s="4">
        <v>93.512447108395662</v>
      </c>
      <c r="D209" s="3">
        <v>0.80359762501548737</v>
      </c>
      <c r="E209" s="3">
        <v>7.5146380405693131E-2</v>
      </c>
      <c r="F209">
        <v>20</v>
      </c>
      <c r="G209" t="s">
        <v>81</v>
      </c>
      <c r="H209" s="3">
        <v>1.5029276081138625E-3</v>
      </c>
      <c r="I209" t="s">
        <v>71</v>
      </c>
    </row>
    <row r="210" spans="1:9" x14ac:dyDescent="0.25">
      <c r="A210" s="1" t="s">
        <v>38</v>
      </c>
      <c r="B210" s="2" t="s">
        <v>58</v>
      </c>
      <c r="C210" s="4">
        <v>12904.717700958603</v>
      </c>
      <c r="D210" s="3">
        <v>1.1050492155650933</v>
      </c>
      <c r="E210" s="3">
        <v>14.260348172533279</v>
      </c>
      <c r="F210">
        <v>20</v>
      </c>
      <c r="G210" t="s">
        <v>81</v>
      </c>
      <c r="H210" s="3">
        <v>0.2852069634506656</v>
      </c>
      <c r="I210" t="s">
        <v>71</v>
      </c>
    </row>
    <row r="211" spans="1:9" x14ac:dyDescent="0.25">
      <c r="A211" s="1" t="s">
        <v>38</v>
      </c>
      <c r="B211" s="2" t="s">
        <v>68</v>
      </c>
      <c r="C211" s="4">
        <v>93.512447108395662</v>
      </c>
      <c r="D211" s="3">
        <v>8.5782192137755011</v>
      </c>
      <c r="E211" s="3">
        <v>0.80217027051240497</v>
      </c>
      <c r="F211">
        <v>20</v>
      </c>
      <c r="G211" t="s">
        <v>81</v>
      </c>
      <c r="H211" s="3">
        <v>1.60434054102481E-2</v>
      </c>
      <c r="I211" t="s">
        <v>75</v>
      </c>
    </row>
    <row r="212" spans="1:9" x14ac:dyDescent="0.25">
      <c r="A212" s="1" t="s">
        <v>38</v>
      </c>
      <c r="B212" s="2" t="s">
        <v>60</v>
      </c>
      <c r="C212" s="4">
        <v>40.076763046455284</v>
      </c>
      <c r="D212" s="3">
        <v>0.71838104484645471</v>
      </c>
      <c r="E212" s="3">
        <v>2.879038691137633E-2</v>
      </c>
      <c r="F212">
        <v>20</v>
      </c>
      <c r="G212" t="s">
        <v>81</v>
      </c>
      <c r="H212" s="3">
        <v>5.7580773822752665E-4</v>
      </c>
      <c r="I212" t="s">
        <v>72</v>
      </c>
    </row>
    <row r="213" spans="1:9" x14ac:dyDescent="0.25">
      <c r="A213" s="1" t="s">
        <v>38</v>
      </c>
      <c r="B213" s="2" t="s">
        <v>61</v>
      </c>
      <c r="C213" s="4">
        <v>240.4605782787317</v>
      </c>
      <c r="D213" s="3">
        <v>6.1237248013964907</v>
      </c>
      <c r="E213" s="3">
        <v>1.4725144069636118</v>
      </c>
      <c r="F213">
        <v>20</v>
      </c>
      <c r="G213" t="s">
        <v>81</v>
      </c>
      <c r="H213" s="3">
        <v>2.9450288139272234E-2</v>
      </c>
      <c r="I213" t="s">
        <v>72</v>
      </c>
    </row>
    <row r="214" spans="1:9" x14ac:dyDescent="0.25">
      <c r="A214" s="1" t="s">
        <v>38</v>
      </c>
      <c r="B214" s="2" t="s">
        <v>10</v>
      </c>
      <c r="C214" s="4">
        <v>45306.780624017701</v>
      </c>
      <c r="D214" s="3">
        <v>9.6096684775880958E-2</v>
      </c>
      <c r="E214" s="3">
        <v>4.3538314158362201</v>
      </c>
      <c r="F214">
        <v>20</v>
      </c>
      <c r="G214" t="s">
        <v>81</v>
      </c>
      <c r="H214" s="9">
        <v>8.70766283167244E-2</v>
      </c>
      <c r="I214" t="s">
        <v>11</v>
      </c>
    </row>
    <row r="215" spans="1:9" x14ac:dyDescent="0.25">
      <c r="A215" s="1" t="s">
        <v>38</v>
      </c>
      <c r="B215" s="2" t="s">
        <v>12</v>
      </c>
      <c r="C215" s="4">
        <v>8345.985904424313</v>
      </c>
      <c r="D215" s="3">
        <v>0.37265573977304622</v>
      </c>
      <c r="E215" s="3">
        <v>3.1101795513486588</v>
      </c>
      <c r="F215">
        <v>20</v>
      </c>
      <c r="G215" t="s">
        <v>81</v>
      </c>
      <c r="H215" s="9">
        <v>6.2203591026973169E-2</v>
      </c>
      <c r="I215" t="s">
        <v>13</v>
      </c>
    </row>
    <row r="216" spans="1:9" x14ac:dyDescent="0.25">
      <c r="A216" s="1" t="s">
        <v>38</v>
      </c>
      <c r="B216" s="2" t="s">
        <v>5</v>
      </c>
      <c r="C216" s="4">
        <v>2384.5674012640893</v>
      </c>
      <c r="D216" s="3">
        <v>1.3116431999999999E-2</v>
      </c>
      <c r="E216" s="3">
        <v>3.1277016168097138E-2</v>
      </c>
      <c r="F216">
        <v>20</v>
      </c>
      <c r="G216" t="s">
        <v>81</v>
      </c>
      <c r="H216" s="9">
        <v>6.2554032336194275E-4</v>
      </c>
      <c r="I216" t="s">
        <v>6</v>
      </c>
    </row>
    <row r="217" spans="1:9" x14ac:dyDescent="0.25">
      <c r="A217" s="1" t="s">
        <v>38</v>
      </c>
      <c r="B217" s="2" t="s">
        <v>7</v>
      </c>
      <c r="C217" s="4">
        <v>3576.8511018961344</v>
      </c>
      <c r="D217" s="3">
        <v>2.7256591680499995</v>
      </c>
      <c r="E217" s="3">
        <v>9.7492769986329417</v>
      </c>
      <c r="F217">
        <v>20</v>
      </c>
      <c r="G217" t="s">
        <v>81</v>
      </c>
      <c r="H217" s="9">
        <v>0.19498553997265883</v>
      </c>
      <c r="I217" t="s">
        <v>6</v>
      </c>
    </row>
    <row r="218" spans="1:9" x14ac:dyDescent="0.25">
      <c r="A218" s="1" t="s">
        <v>38</v>
      </c>
      <c r="B218" s="2" t="s">
        <v>8</v>
      </c>
      <c r="C218" s="4">
        <v>11922.837006320447</v>
      </c>
      <c r="D218" s="3">
        <v>2.3766858000000002E-2</v>
      </c>
      <c r="E218" s="3">
        <v>0.28336837408636317</v>
      </c>
      <c r="F218">
        <v>20</v>
      </c>
      <c r="G218" t="s">
        <v>81</v>
      </c>
      <c r="H218" s="9">
        <v>5.6673674817272627E-3</v>
      </c>
      <c r="I218" t="s">
        <v>6</v>
      </c>
    </row>
    <row r="219" spans="1:9" x14ac:dyDescent="0.25">
      <c r="A219" s="1" t="s">
        <v>38</v>
      </c>
      <c r="B219" s="2" t="s">
        <v>9</v>
      </c>
      <c r="C219" s="4">
        <v>172881.1365916465</v>
      </c>
      <c r="D219" s="3">
        <v>2.0907828500000003E-2</v>
      </c>
      <c r="E219" s="3">
        <v>3.6145691547432204</v>
      </c>
      <c r="F219">
        <v>20</v>
      </c>
      <c r="G219" t="s">
        <v>81</v>
      </c>
      <c r="H219" s="9">
        <v>7.2291383094864409E-2</v>
      </c>
      <c r="I219" t="s">
        <v>6</v>
      </c>
    </row>
    <row r="220" spans="1:9" x14ac:dyDescent="0.25">
      <c r="A220" s="1" t="s">
        <v>38</v>
      </c>
      <c r="B220" s="2" t="s">
        <v>14</v>
      </c>
      <c r="C220" s="4">
        <v>1192.2837006320447</v>
      </c>
      <c r="D220" s="3">
        <v>9.4910400000000009E-3</v>
      </c>
      <c r="E220" s="3">
        <v>1.1316012294046763E-2</v>
      </c>
      <c r="F220">
        <v>20</v>
      </c>
      <c r="G220" t="s">
        <v>81</v>
      </c>
      <c r="H220" s="9">
        <v>2.2632024588093526E-4</v>
      </c>
      <c r="I220" t="s">
        <v>6</v>
      </c>
    </row>
    <row r="221" spans="1:9" x14ac:dyDescent="0.25">
      <c r="A221" s="1" t="s">
        <v>38</v>
      </c>
      <c r="B221" s="2" t="s">
        <v>15</v>
      </c>
      <c r="C221" s="4">
        <v>139497.19297394925</v>
      </c>
      <c r="D221" s="3">
        <v>7.0731482849999998E-3</v>
      </c>
      <c r="E221" s="3">
        <v>0.98668433124600308</v>
      </c>
      <c r="F221">
        <v>20</v>
      </c>
      <c r="G221" t="s">
        <v>81</v>
      </c>
      <c r="H221" s="9">
        <v>1.973368662492006E-2</v>
      </c>
      <c r="I221" t="s">
        <v>6</v>
      </c>
    </row>
    <row r="222" spans="1:9" x14ac:dyDescent="0.25">
      <c r="A222" s="1" t="s">
        <v>38</v>
      </c>
      <c r="B222" s="2" t="s">
        <v>16</v>
      </c>
      <c r="C222" s="4">
        <v>92998.128649299499</v>
      </c>
      <c r="D222" s="3">
        <v>1.4629394999999996E-3</v>
      </c>
      <c r="E222" s="3">
        <v>0.13605063582714186</v>
      </c>
      <c r="F222">
        <v>20</v>
      </c>
      <c r="G222" t="s">
        <v>81</v>
      </c>
      <c r="H222" s="9">
        <v>2.7210127165428369E-3</v>
      </c>
      <c r="I222" t="s">
        <v>6</v>
      </c>
    </row>
    <row r="223" spans="1:9" x14ac:dyDescent="0.25">
      <c r="A223" s="1" t="s">
        <v>38</v>
      </c>
      <c r="B223" s="2" t="s">
        <v>17</v>
      </c>
      <c r="C223" s="4">
        <v>3576.8511018961344</v>
      </c>
      <c r="D223" s="3">
        <v>3.2072693333333336E-3</v>
      </c>
      <c r="E223" s="3">
        <v>1.1471924849011014E-2</v>
      </c>
      <c r="F223">
        <v>20</v>
      </c>
      <c r="G223" t="s">
        <v>81</v>
      </c>
      <c r="H223" s="9">
        <v>2.2943849698022029E-4</v>
      </c>
      <c r="I223" t="s">
        <v>6</v>
      </c>
    </row>
    <row r="224" spans="1:9" x14ac:dyDescent="0.25">
      <c r="A224" s="1" t="s">
        <v>38</v>
      </c>
      <c r="B224" s="2" t="s">
        <v>18</v>
      </c>
      <c r="C224" s="4">
        <v>35768.511018961341</v>
      </c>
      <c r="D224" s="3">
        <v>2.3441619999999995E-3</v>
      </c>
      <c r="E224" s="3">
        <v>8.3847184327230442E-2</v>
      </c>
      <c r="F224">
        <v>20</v>
      </c>
      <c r="G224" t="s">
        <v>81</v>
      </c>
      <c r="H224" s="9">
        <v>1.6769436865446089E-3</v>
      </c>
      <c r="I224" t="s">
        <v>6</v>
      </c>
    </row>
    <row r="225" spans="1:9" x14ac:dyDescent="0.25">
      <c r="A225" s="1" t="s">
        <v>38</v>
      </c>
      <c r="B225" s="2" t="s">
        <v>19</v>
      </c>
      <c r="C225" s="4">
        <v>1192.2837006320447</v>
      </c>
      <c r="D225" s="3">
        <v>7.1890341600000005E-2</v>
      </c>
      <c r="E225" s="3">
        <v>8.5713682522549836E-2</v>
      </c>
      <c r="F225">
        <v>20</v>
      </c>
      <c r="G225" t="s">
        <v>81</v>
      </c>
      <c r="H225" s="9">
        <v>1.7142736504509968E-3</v>
      </c>
      <c r="I225" t="s">
        <v>6</v>
      </c>
    </row>
    <row r="226" spans="1:9" x14ac:dyDescent="0.25">
      <c r="A226" s="1" t="s">
        <v>38</v>
      </c>
      <c r="B226" s="2" t="s">
        <v>29</v>
      </c>
      <c r="C226" s="4">
        <v>1192.2837006320447</v>
      </c>
      <c r="D226" s="3">
        <v>8.9989120000000006E-2</v>
      </c>
      <c r="E226" s="3">
        <v>0.10729256101022115</v>
      </c>
      <c r="F226">
        <v>20</v>
      </c>
      <c r="G226" t="s">
        <v>81</v>
      </c>
      <c r="H226" s="9">
        <v>2.1458512202044231E-3</v>
      </c>
      <c r="I226" t="s">
        <v>6</v>
      </c>
    </row>
    <row r="227" spans="1:9" x14ac:dyDescent="0.25">
      <c r="A227" s="1" t="s">
        <v>38</v>
      </c>
      <c r="B227" s="2" t="s">
        <v>31</v>
      </c>
      <c r="C227" s="4">
        <v>1192.2837006320447</v>
      </c>
      <c r="D227" s="3">
        <v>1.82552832E-2</v>
      </c>
      <c r="E227" s="3">
        <v>2.1765476609781995E-2</v>
      </c>
      <c r="F227">
        <v>20</v>
      </c>
      <c r="G227" t="s">
        <v>81</v>
      </c>
      <c r="H227" s="9">
        <v>4.3530953219563987E-4</v>
      </c>
      <c r="I227" t="s">
        <v>6</v>
      </c>
    </row>
    <row r="228" spans="1:9" x14ac:dyDescent="0.25">
      <c r="A228" s="1" t="s">
        <v>38</v>
      </c>
      <c r="B228" s="2" t="s">
        <v>22</v>
      </c>
      <c r="C228" s="4">
        <v>1192.2837006320447</v>
      </c>
      <c r="D228" s="3">
        <v>2.3209986800000006E-2</v>
      </c>
      <c r="E228" s="3">
        <v>2.7672888953524915E-2</v>
      </c>
      <c r="F228">
        <v>20</v>
      </c>
      <c r="G228" t="s">
        <v>81</v>
      </c>
      <c r="H228" s="9">
        <v>5.5345777907049836E-4</v>
      </c>
      <c r="I228" t="s">
        <v>6</v>
      </c>
    </row>
    <row r="229" spans="1:9" x14ac:dyDescent="0.25">
      <c r="A229" s="1" t="s">
        <v>38</v>
      </c>
      <c r="B229" s="2" t="s">
        <v>24</v>
      </c>
      <c r="C229" s="4">
        <v>4769.1348025281786</v>
      </c>
      <c r="D229" s="3">
        <v>4.0091150000000006E-2</v>
      </c>
      <c r="E229" s="3">
        <v>0.19120009873837762</v>
      </c>
      <c r="F229">
        <v>20</v>
      </c>
      <c r="G229" t="s">
        <v>81</v>
      </c>
      <c r="H229" s="9">
        <v>3.8240019747675523E-3</v>
      </c>
      <c r="I229" t="s">
        <v>6</v>
      </c>
    </row>
    <row r="230" spans="1:9" x14ac:dyDescent="0.25">
      <c r="A230" s="1" t="s">
        <v>38</v>
      </c>
      <c r="B230" s="2" t="s">
        <v>25</v>
      </c>
      <c r="C230" s="4">
        <v>5961.4185031602237</v>
      </c>
      <c r="D230" s="3">
        <v>8.1841454406400005E-2</v>
      </c>
      <c r="E230" s="3">
        <v>0.48789116062385685</v>
      </c>
      <c r="F230">
        <v>20</v>
      </c>
      <c r="G230" t="s">
        <v>81</v>
      </c>
      <c r="H230" s="9">
        <v>9.7578232124771371E-3</v>
      </c>
      <c r="I230" t="s">
        <v>6</v>
      </c>
    </row>
    <row r="231" spans="1:9" x14ac:dyDescent="0.25">
      <c r="A231" s="1" t="s">
        <v>38</v>
      </c>
      <c r="B231" s="2" t="s">
        <v>26</v>
      </c>
      <c r="C231" s="4">
        <v>1192.2837006320447</v>
      </c>
      <c r="D231" s="3">
        <v>5.5224104415999994E-2</v>
      </c>
      <c r="E231" s="3">
        <v>6.5842799577198921E-2</v>
      </c>
      <c r="F231">
        <v>20</v>
      </c>
      <c r="G231" t="s">
        <v>81</v>
      </c>
      <c r="H231" s="9">
        <v>1.3168559915439785E-3</v>
      </c>
      <c r="I231" t="s">
        <v>6</v>
      </c>
    </row>
    <row r="232" spans="1:9" x14ac:dyDescent="0.25">
      <c r="A232" s="10" t="s">
        <v>39</v>
      </c>
      <c r="B232" s="2" t="s">
        <v>47</v>
      </c>
      <c r="C232" s="4">
        <v>1671.5349920625727</v>
      </c>
      <c r="D232" s="3">
        <v>1.3017553027401461</v>
      </c>
      <c r="E232" s="3">
        <v>2.1759295396331617</v>
      </c>
      <c r="F232">
        <v>20</v>
      </c>
      <c r="G232" t="s">
        <v>82</v>
      </c>
      <c r="H232" s="3">
        <v>4.351859079266323E-2</v>
      </c>
      <c r="I232" t="s">
        <v>71</v>
      </c>
    </row>
    <row r="233" spans="1:9" x14ac:dyDescent="0.25">
      <c r="A233" s="10" t="s">
        <v>39</v>
      </c>
      <c r="B233" s="2" t="s">
        <v>48</v>
      </c>
      <c r="C233" s="4">
        <v>9.7941503441166358</v>
      </c>
      <c r="D233" s="3">
        <v>217.05038760344695</v>
      </c>
      <c r="E233" s="3">
        <v>2.1258241284369492</v>
      </c>
      <c r="F233">
        <v>20</v>
      </c>
      <c r="G233" t="s">
        <v>82</v>
      </c>
      <c r="H233" s="3">
        <v>4.2516482568738988E-2</v>
      </c>
      <c r="I233" t="s">
        <v>72</v>
      </c>
    </row>
    <row r="234" spans="1:9" x14ac:dyDescent="0.25">
      <c r="A234" s="10" t="s">
        <v>39</v>
      </c>
      <c r="B234" s="2" t="s">
        <v>49</v>
      </c>
      <c r="C234" s="4">
        <v>3.5615092160424133</v>
      </c>
      <c r="D234" s="3">
        <v>6.215999419479604</v>
      </c>
      <c r="E234" s="3">
        <v>2.2138339219390901E-2</v>
      </c>
      <c r="F234">
        <v>20</v>
      </c>
      <c r="G234" t="s">
        <v>82</v>
      </c>
      <c r="H234" s="3">
        <v>4.4276678438781803E-4</v>
      </c>
      <c r="I234" t="s">
        <v>72</v>
      </c>
    </row>
    <row r="235" spans="1:9" x14ac:dyDescent="0.25">
      <c r="A235" s="10" t="s">
        <v>39</v>
      </c>
      <c r="B235" s="2" t="s">
        <v>51</v>
      </c>
      <c r="C235" s="4">
        <v>5166.5627027388609</v>
      </c>
      <c r="D235" s="3">
        <v>0.84353767636859178</v>
      </c>
      <c r="E235" s="3">
        <v>4.3581902970809709</v>
      </c>
      <c r="F235">
        <v>20</v>
      </c>
      <c r="G235" t="s">
        <v>82</v>
      </c>
      <c r="H235" s="3">
        <v>8.7163805941619418E-2</v>
      </c>
      <c r="I235" t="s">
        <v>73</v>
      </c>
    </row>
    <row r="236" spans="1:9" x14ac:dyDescent="0.25">
      <c r="A236" s="10" t="s">
        <v>39</v>
      </c>
      <c r="B236" s="2" t="s">
        <v>53</v>
      </c>
      <c r="C236" s="4">
        <v>1823.4927186137156</v>
      </c>
      <c r="D236" s="3">
        <v>6.6445159156586628</v>
      </c>
      <c r="E236" s="3">
        <v>12.116226390916518</v>
      </c>
      <c r="F236">
        <v>20</v>
      </c>
      <c r="G236" t="s">
        <v>82</v>
      </c>
      <c r="H236" s="3">
        <v>0.24232452781833036</v>
      </c>
      <c r="I236" t="s">
        <v>74</v>
      </c>
    </row>
    <row r="237" spans="1:9" x14ac:dyDescent="0.25">
      <c r="A237" s="10" t="s">
        <v>39</v>
      </c>
      <c r="B237" s="2" t="s">
        <v>54</v>
      </c>
      <c r="C237" s="4">
        <v>506.52575517047649</v>
      </c>
      <c r="D237" s="3">
        <v>2.1706785426056876</v>
      </c>
      <c r="E237" s="3">
        <v>1.0995045880256953</v>
      </c>
      <c r="F237">
        <v>20</v>
      </c>
      <c r="G237" t="s">
        <v>82</v>
      </c>
      <c r="H237" s="3">
        <v>2.1990091760513905E-2</v>
      </c>
      <c r="I237" t="s">
        <v>74</v>
      </c>
    </row>
    <row r="238" spans="1:9" x14ac:dyDescent="0.25">
      <c r="A238" s="10" t="s">
        <v>39</v>
      </c>
      <c r="B238" s="2" t="s">
        <v>55</v>
      </c>
      <c r="C238" s="4">
        <v>1519.5772655114297</v>
      </c>
      <c r="D238" s="3">
        <v>3.1694157752296244</v>
      </c>
      <c r="E238" s="3">
        <v>4.8161721569922209</v>
      </c>
      <c r="F238">
        <v>20</v>
      </c>
      <c r="G238" t="s">
        <v>82</v>
      </c>
      <c r="H238" s="3">
        <v>9.6323443139844409E-2</v>
      </c>
      <c r="I238" t="s">
        <v>75</v>
      </c>
    </row>
    <row r="239" spans="1:9" x14ac:dyDescent="0.25">
      <c r="A239" s="10" t="s">
        <v>39</v>
      </c>
      <c r="B239" s="2" t="s">
        <v>56</v>
      </c>
      <c r="C239" s="4">
        <v>1899.4715818892871</v>
      </c>
      <c r="D239" s="3">
        <v>4.2540587993579022</v>
      </c>
      <c r="E239" s="3">
        <v>8.0804637970663968</v>
      </c>
      <c r="F239">
        <v>20</v>
      </c>
      <c r="G239" t="s">
        <v>82</v>
      </c>
      <c r="H239" s="3">
        <v>0.16160927594132796</v>
      </c>
      <c r="I239" t="s">
        <v>73</v>
      </c>
    </row>
    <row r="240" spans="1:9" x14ac:dyDescent="0.25">
      <c r="A240" s="10" t="s">
        <v>39</v>
      </c>
      <c r="B240" s="2" t="s">
        <v>57</v>
      </c>
      <c r="C240" s="4">
        <v>50.652575517047651</v>
      </c>
      <c r="D240" s="3">
        <v>4.6347638030510714</v>
      </c>
      <c r="E240" s="3">
        <v>0.23476272353772337</v>
      </c>
      <c r="F240">
        <v>20</v>
      </c>
      <c r="G240" t="s">
        <v>82</v>
      </c>
      <c r="H240" s="3">
        <v>4.6952544707544678E-3</v>
      </c>
      <c r="I240" t="s">
        <v>75</v>
      </c>
    </row>
    <row r="241" spans="1:9" x14ac:dyDescent="0.25">
      <c r="A241" s="10" t="s">
        <v>39</v>
      </c>
      <c r="B241" s="2" t="s">
        <v>63</v>
      </c>
      <c r="C241" s="4">
        <v>21.708246650163279</v>
      </c>
      <c r="D241" s="3">
        <v>14.581366797310977</v>
      </c>
      <c r="E241" s="3">
        <v>0.31653590693252809</v>
      </c>
      <c r="F241">
        <v>20</v>
      </c>
      <c r="G241" t="s">
        <v>82</v>
      </c>
      <c r="H241" s="3">
        <v>6.3307181386505623E-3</v>
      </c>
      <c r="I241" t="s">
        <v>75</v>
      </c>
    </row>
    <row r="242" spans="1:9" x14ac:dyDescent="0.25">
      <c r="A242" s="10" t="s">
        <v>39</v>
      </c>
      <c r="B242" s="2" t="s">
        <v>58</v>
      </c>
      <c r="C242" s="4">
        <v>10.854123325081639</v>
      </c>
      <c r="D242" s="3">
        <v>1.866984208896922</v>
      </c>
      <c r="E242" s="3">
        <v>2.0264476849347172E-2</v>
      </c>
      <c r="F242">
        <v>20</v>
      </c>
      <c r="G242" t="s">
        <v>82</v>
      </c>
      <c r="H242" s="3">
        <v>4.0528953698694349E-4</v>
      </c>
      <c r="I242" t="s">
        <v>71</v>
      </c>
    </row>
    <row r="243" spans="1:9" x14ac:dyDescent="0.25">
      <c r="A243" s="10" t="s">
        <v>39</v>
      </c>
      <c r="B243" s="2" t="s">
        <v>59</v>
      </c>
      <c r="C243" s="4">
        <v>253.26287758523824</v>
      </c>
      <c r="D243" s="3">
        <v>3.886361120166808</v>
      </c>
      <c r="E243" s="3">
        <v>0.98427100062883566</v>
      </c>
      <c r="F243">
        <v>20</v>
      </c>
      <c r="G243" t="s">
        <v>82</v>
      </c>
      <c r="H243" s="3">
        <v>1.9685420012576713E-2</v>
      </c>
      <c r="I243" t="s">
        <v>75</v>
      </c>
    </row>
    <row r="244" spans="1:9" x14ac:dyDescent="0.25">
      <c r="A244" s="10" t="s">
        <v>39</v>
      </c>
      <c r="B244" s="2" t="s">
        <v>68</v>
      </c>
      <c r="C244" s="4">
        <v>50.652575517047651</v>
      </c>
      <c r="D244" s="3">
        <v>13.289414609426299</v>
      </c>
      <c r="E244" s="3">
        <v>0.67314307708132193</v>
      </c>
      <c r="F244">
        <v>20</v>
      </c>
      <c r="G244" t="s">
        <v>82</v>
      </c>
      <c r="H244" s="3">
        <v>1.3462861541626438E-2</v>
      </c>
      <c r="I244" t="s">
        <v>75</v>
      </c>
    </row>
    <row r="245" spans="1:9" x14ac:dyDescent="0.25">
      <c r="A245" s="10" t="s">
        <v>39</v>
      </c>
      <c r="B245" s="2" t="s">
        <v>60</v>
      </c>
      <c r="C245" s="4">
        <v>466.72730297851047</v>
      </c>
      <c r="D245" s="3">
        <v>7.712114874341661</v>
      </c>
      <c r="E245" s="3">
        <v>3.5994545755619374</v>
      </c>
      <c r="F245">
        <v>20</v>
      </c>
      <c r="G245" t="s">
        <v>82</v>
      </c>
      <c r="H245" s="3">
        <v>7.1989091511238737E-2</v>
      </c>
      <c r="I245" t="s">
        <v>72</v>
      </c>
    </row>
    <row r="246" spans="1:9" x14ac:dyDescent="0.25">
      <c r="A246" s="10" t="s">
        <v>39</v>
      </c>
      <c r="B246" s="2" t="s">
        <v>69</v>
      </c>
      <c r="C246" s="4">
        <v>65.12473995048984</v>
      </c>
      <c r="D246" s="3">
        <v>51.435577247827013</v>
      </c>
      <c r="E246" s="3">
        <v>3.349728592468066</v>
      </c>
      <c r="F246">
        <v>20</v>
      </c>
      <c r="G246" t="s">
        <v>82</v>
      </c>
      <c r="H246" s="3">
        <v>6.699457184936132E-2</v>
      </c>
      <c r="I246" t="s">
        <v>83</v>
      </c>
    </row>
    <row r="247" spans="1:9" x14ac:dyDescent="0.25">
      <c r="A247" s="5" t="s">
        <v>39</v>
      </c>
      <c r="B247" s="2" t="s">
        <v>10</v>
      </c>
      <c r="C247" s="4">
        <v>17285.191395192513</v>
      </c>
      <c r="D247" s="3">
        <v>0.1197547861258155</v>
      </c>
      <c r="E247" s="3">
        <v>2.0699843986750657</v>
      </c>
      <c r="F247">
        <v>20</v>
      </c>
      <c r="G247" t="s">
        <v>82</v>
      </c>
      <c r="H247" s="9">
        <v>4.1399687973501312E-2</v>
      </c>
      <c r="I247" t="s">
        <v>11</v>
      </c>
    </row>
    <row r="248" spans="1:9" x14ac:dyDescent="0.25">
      <c r="A248" s="5" t="s">
        <v>39</v>
      </c>
      <c r="B248" s="2" t="s">
        <v>12</v>
      </c>
      <c r="C248" s="4">
        <v>797.77806439350059</v>
      </c>
      <c r="D248" s="3">
        <v>0.29332521440284226</v>
      </c>
      <c r="E248" s="3">
        <v>0.23400842178410808</v>
      </c>
      <c r="F248">
        <v>20</v>
      </c>
      <c r="G248" t="s">
        <v>82</v>
      </c>
      <c r="H248" s="9">
        <v>4.6801684356821615E-3</v>
      </c>
      <c r="I248" t="s">
        <v>13</v>
      </c>
    </row>
    <row r="249" spans="1:9" x14ac:dyDescent="0.25">
      <c r="A249" s="5" t="s">
        <v>39</v>
      </c>
      <c r="B249" s="2" t="s">
        <v>5</v>
      </c>
      <c r="C249" s="4">
        <v>2393.3341931805016</v>
      </c>
      <c r="D249" s="3">
        <v>1.251564E-2</v>
      </c>
      <c r="E249" s="3">
        <v>2.9954109161537613E-2</v>
      </c>
      <c r="F249">
        <v>20</v>
      </c>
      <c r="G249" t="s">
        <v>82</v>
      </c>
      <c r="H249" s="9">
        <v>5.9908218323075221E-4</v>
      </c>
      <c r="I249" t="s">
        <v>6</v>
      </c>
    </row>
    <row r="250" spans="1:9" x14ac:dyDescent="0.25">
      <c r="A250" s="5" t="s">
        <v>39</v>
      </c>
      <c r="B250" s="2" t="s">
        <v>7</v>
      </c>
      <c r="C250" s="4">
        <v>265.9260214645002</v>
      </c>
      <c r="D250" s="3">
        <v>3.3202117010399999</v>
      </c>
      <c r="E250" s="3">
        <v>0.88293068807744768</v>
      </c>
      <c r="F250">
        <v>20</v>
      </c>
      <c r="G250" t="s">
        <v>82</v>
      </c>
      <c r="H250" s="9">
        <v>1.7658613761548952E-2</v>
      </c>
      <c r="I250" t="s">
        <v>6</v>
      </c>
    </row>
    <row r="251" spans="1:9" x14ac:dyDescent="0.25">
      <c r="A251" s="5" t="s">
        <v>39</v>
      </c>
      <c r="B251" s="2" t="s">
        <v>8</v>
      </c>
      <c r="C251" s="4">
        <v>1861.4821502515013</v>
      </c>
      <c r="D251" s="3">
        <v>1.6597748571428574E-2</v>
      </c>
      <c r="E251" s="3">
        <v>3.0896412700076644E-2</v>
      </c>
      <c r="F251">
        <v>20</v>
      </c>
      <c r="G251" t="s">
        <v>82</v>
      </c>
      <c r="H251" s="9">
        <v>6.1792825400153282E-4</v>
      </c>
      <c r="I251" t="s">
        <v>6</v>
      </c>
    </row>
    <row r="252" spans="1:9" x14ac:dyDescent="0.25">
      <c r="A252" s="5" t="s">
        <v>39</v>
      </c>
      <c r="B252" s="2" t="s">
        <v>9</v>
      </c>
      <c r="C252" s="4">
        <v>32974.826661598025</v>
      </c>
      <c r="D252" s="3">
        <v>1.9708851500000003E-2</v>
      </c>
      <c r="E252" s="3">
        <v>0.64989596191167631</v>
      </c>
      <c r="F252">
        <v>20</v>
      </c>
      <c r="G252" t="s">
        <v>82</v>
      </c>
      <c r="H252" s="9">
        <v>1.2997919238233527E-2</v>
      </c>
      <c r="I252" t="s">
        <v>6</v>
      </c>
    </row>
    <row r="253" spans="1:9" x14ac:dyDescent="0.25">
      <c r="A253" s="5" t="s">
        <v>39</v>
      </c>
      <c r="B253" s="2" t="s">
        <v>14</v>
      </c>
      <c r="C253" s="4">
        <v>5052.5944078255034</v>
      </c>
      <c r="D253" s="3">
        <v>2.5753287368421054E-2</v>
      </c>
      <c r="E253" s="3">
        <v>0.13012091574080739</v>
      </c>
      <c r="F253">
        <v>20</v>
      </c>
      <c r="G253" t="s">
        <v>82</v>
      </c>
      <c r="H253" s="9">
        <v>2.602418314816148E-3</v>
      </c>
      <c r="I253" t="s">
        <v>6</v>
      </c>
    </row>
    <row r="254" spans="1:9" x14ac:dyDescent="0.25">
      <c r="A254" s="5" t="s">
        <v>39</v>
      </c>
      <c r="B254" s="2" t="s">
        <v>15</v>
      </c>
      <c r="C254" s="4">
        <v>17551.117416657013</v>
      </c>
      <c r="D254" s="3">
        <v>7.2619143817499992E-3</v>
      </c>
      <c r="E254" s="3">
        <v>0.12745471198380445</v>
      </c>
      <c r="F254">
        <v>20</v>
      </c>
      <c r="G254" t="s">
        <v>82</v>
      </c>
      <c r="H254" s="9">
        <v>2.5490942396760889E-3</v>
      </c>
      <c r="I254" t="s">
        <v>6</v>
      </c>
    </row>
    <row r="255" spans="1:9" x14ac:dyDescent="0.25">
      <c r="A255" s="5" t="s">
        <v>39</v>
      </c>
      <c r="B255" s="2" t="s">
        <v>16</v>
      </c>
      <c r="C255" s="4">
        <v>5052.5944078255034</v>
      </c>
      <c r="D255" s="3">
        <v>1.2349373684210528E-3</v>
      </c>
      <c r="E255" s="3">
        <v>6.2396376416989545E-3</v>
      </c>
      <c r="F255">
        <v>20</v>
      </c>
      <c r="G255" t="s">
        <v>82</v>
      </c>
      <c r="H255" s="9">
        <v>1.2479275283397908E-4</v>
      </c>
      <c r="I255" t="s">
        <v>6</v>
      </c>
    </row>
    <row r="256" spans="1:9" x14ac:dyDescent="0.25">
      <c r="A256" s="5" t="s">
        <v>39</v>
      </c>
      <c r="B256" s="2" t="s">
        <v>17</v>
      </c>
      <c r="C256" s="4">
        <v>16753.339352263512</v>
      </c>
      <c r="D256" s="3">
        <v>3.2139107000000002E-3</v>
      </c>
      <c r="E256" s="3">
        <v>5.3843736604970771E-2</v>
      </c>
      <c r="F256">
        <v>20</v>
      </c>
      <c r="G256" t="s">
        <v>82</v>
      </c>
      <c r="H256" s="9">
        <v>1.0768747320994154E-3</v>
      </c>
      <c r="I256" t="s">
        <v>6</v>
      </c>
    </row>
    <row r="257" spans="1:9" x14ac:dyDescent="0.25">
      <c r="A257" s="5" t="s">
        <v>39</v>
      </c>
      <c r="B257" s="2" t="s">
        <v>18</v>
      </c>
      <c r="C257" s="4">
        <v>1063.7040858580008</v>
      </c>
      <c r="D257" s="3">
        <v>1.8708900000000001E-3</v>
      </c>
      <c r="E257" s="3">
        <v>1.9900733371908752E-3</v>
      </c>
      <c r="F257">
        <v>20</v>
      </c>
      <c r="G257" t="s">
        <v>82</v>
      </c>
      <c r="H257" s="9">
        <v>3.9801466743817499E-5</v>
      </c>
      <c r="I257" t="s">
        <v>6</v>
      </c>
    </row>
    <row r="258" spans="1:9" x14ac:dyDescent="0.25">
      <c r="A258" s="5" t="s">
        <v>39</v>
      </c>
      <c r="B258" s="2" t="s">
        <v>19</v>
      </c>
      <c r="C258" s="4">
        <v>265.9260214645002</v>
      </c>
      <c r="D258" s="3">
        <v>2.9915169900000003E-2</v>
      </c>
      <c r="E258" s="3">
        <v>7.9552221129415707E-3</v>
      </c>
      <c r="F258">
        <v>20</v>
      </c>
      <c r="G258" t="s">
        <v>82</v>
      </c>
      <c r="H258" s="9">
        <v>1.5910444225883142E-4</v>
      </c>
      <c r="I258" t="s">
        <v>6</v>
      </c>
    </row>
    <row r="259" spans="1:9" x14ac:dyDescent="0.25">
      <c r="A259" s="5" t="s">
        <v>39</v>
      </c>
      <c r="B259" s="2" t="s">
        <v>29</v>
      </c>
      <c r="C259" s="4">
        <v>265.9260214645002</v>
      </c>
      <c r="D259" s="3">
        <v>0.62570773000000002</v>
      </c>
      <c r="E259" s="3">
        <v>0.16639196723848368</v>
      </c>
      <c r="F259">
        <v>20</v>
      </c>
      <c r="G259" t="s">
        <v>82</v>
      </c>
      <c r="H259" s="9">
        <v>3.3278393447696737E-3</v>
      </c>
      <c r="I259" t="s">
        <v>6</v>
      </c>
    </row>
    <row r="260" spans="1:9" x14ac:dyDescent="0.25">
      <c r="A260" s="5" t="s">
        <v>39</v>
      </c>
      <c r="B260" s="2" t="s">
        <v>21</v>
      </c>
      <c r="C260" s="4">
        <v>15689.63526640551</v>
      </c>
      <c r="D260" s="3">
        <v>2.3584124999999997E-2</v>
      </c>
      <c r="E260" s="3">
        <v>0.37002631932731583</v>
      </c>
      <c r="F260">
        <v>20</v>
      </c>
      <c r="G260" t="s">
        <v>82</v>
      </c>
      <c r="H260" s="9">
        <v>7.4005263865463168E-3</v>
      </c>
      <c r="I260" t="s">
        <v>6</v>
      </c>
    </row>
    <row r="261" spans="1:9" x14ac:dyDescent="0.25">
      <c r="A261" s="5" t="s">
        <v>39</v>
      </c>
      <c r="B261" s="2" t="s">
        <v>31</v>
      </c>
      <c r="C261" s="4">
        <v>265.9260214645002</v>
      </c>
      <c r="D261" s="3">
        <v>2.3983590400000001E-2</v>
      </c>
      <c r="E261" s="3">
        <v>6.3778607755061809E-3</v>
      </c>
      <c r="F261">
        <v>20</v>
      </c>
      <c r="G261" t="s">
        <v>82</v>
      </c>
      <c r="H261" s="9">
        <v>1.2755721551012362E-4</v>
      </c>
      <c r="I261" t="s">
        <v>6</v>
      </c>
    </row>
    <row r="262" spans="1:9" x14ac:dyDescent="0.25">
      <c r="A262" s="5" t="s">
        <v>39</v>
      </c>
      <c r="B262" s="2" t="s">
        <v>22</v>
      </c>
      <c r="C262" s="4">
        <v>6116.2984936835046</v>
      </c>
      <c r="D262" s="3">
        <v>5.1168180140000005E-2</v>
      </c>
      <c r="E262" s="3">
        <v>0.31295986311480822</v>
      </c>
      <c r="F262">
        <v>20</v>
      </c>
      <c r="G262" t="s">
        <v>82</v>
      </c>
      <c r="H262" s="9">
        <v>6.259197262296165E-3</v>
      </c>
      <c r="I262" t="s">
        <v>6</v>
      </c>
    </row>
    <row r="263" spans="1:9" x14ac:dyDescent="0.25">
      <c r="A263" s="5" t="s">
        <v>39</v>
      </c>
      <c r="B263" s="2" t="s">
        <v>23</v>
      </c>
      <c r="C263" s="4">
        <v>3457.0382790385024</v>
      </c>
      <c r="D263" s="3">
        <v>5.7219102769230784E-2</v>
      </c>
      <c r="E263" s="3">
        <v>0.1978086285654688</v>
      </c>
      <c r="F263">
        <v>20</v>
      </c>
      <c r="G263" t="s">
        <v>82</v>
      </c>
      <c r="H263" s="9">
        <v>3.9561725713093757E-3</v>
      </c>
      <c r="I263" t="s">
        <v>6</v>
      </c>
    </row>
    <row r="264" spans="1:9" x14ac:dyDescent="0.25">
      <c r="A264" s="5" t="s">
        <v>39</v>
      </c>
      <c r="B264" s="2" t="s">
        <v>24</v>
      </c>
      <c r="C264" s="4">
        <v>1595.5561287870012</v>
      </c>
      <c r="D264" s="3">
        <v>3.7786663333333338E-2</v>
      </c>
      <c r="E264" s="3">
        <v>6.0290742267911063E-2</v>
      </c>
      <c r="F264">
        <v>20</v>
      </c>
      <c r="G264" t="s">
        <v>82</v>
      </c>
      <c r="H264" s="9">
        <v>1.2058148453582213E-3</v>
      </c>
      <c r="I264" t="s">
        <v>6</v>
      </c>
    </row>
    <row r="265" spans="1:9" x14ac:dyDescent="0.25">
      <c r="A265" s="5" t="s">
        <v>39</v>
      </c>
      <c r="B265" s="2" t="s">
        <v>26</v>
      </c>
      <c r="C265" s="4">
        <v>531.85204292900039</v>
      </c>
      <c r="D265" s="3">
        <v>6.7779062883999999E-2</v>
      </c>
      <c r="E265" s="3">
        <v>3.6048433062668583E-2</v>
      </c>
      <c r="F265">
        <v>20</v>
      </c>
      <c r="G265" t="s">
        <v>82</v>
      </c>
      <c r="H265" s="9">
        <v>7.2096866125337172E-4</v>
      </c>
      <c r="I265" t="s">
        <v>6</v>
      </c>
    </row>
    <row r="266" spans="1:9" x14ac:dyDescent="0.25">
      <c r="A266" s="5" t="s">
        <v>39</v>
      </c>
      <c r="B266" s="2" t="s">
        <v>40</v>
      </c>
      <c r="C266" s="4">
        <v>265.9260214645002</v>
      </c>
      <c r="D266" s="3">
        <v>7.6412661520000001E-3</v>
      </c>
      <c r="E266" s="3">
        <v>2.0320115067527108E-3</v>
      </c>
      <c r="F266">
        <v>20</v>
      </c>
      <c r="G266" t="s">
        <v>82</v>
      </c>
      <c r="H266" s="9">
        <v>4.0640230135054219E-5</v>
      </c>
      <c r="I266" t="s">
        <v>6</v>
      </c>
    </row>
    <row r="267" spans="1:9" x14ac:dyDescent="0.25">
      <c r="A267" t="s">
        <v>108</v>
      </c>
      <c r="B267" t="s">
        <v>47</v>
      </c>
      <c r="C267">
        <v>2.4398573243941302</v>
      </c>
      <c r="D267">
        <v>0.71997075609638439</v>
      </c>
      <c r="E267">
        <v>1.7566259226113432</v>
      </c>
      <c r="F267">
        <v>20</v>
      </c>
      <c r="G267" t="s">
        <v>70</v>
      </c>
      <c r="H267" t="s">
        <v>117</v>
      </c>
      <c r="I267" t="s">
        <v>71</v>
      </c>
    </row>
    <row r="268" spans="1:9" x14ac:dyDescent="0.25">
      <c r="A268" t="s">
        <v>108</v>
      </c>
      <c r="B268" t="s">
        <v>51</v>
      </c>
      <c r="C268">
        <v>48.309175023003903</v>
      </c>
      <c r="D268">
        <v>1.676403539962801</v>
      </c>
      <c r="E268">
        <v>80.985672021246273</v>
      </c>
      <c r="F268">
        <v>20</v>
      </c>
      <c r="G268" t="s">
        <v>70</v>
      </c>
      <c r="H268" t="s">
        <v>117</v>
      </c>
      <c r="I268" t="s">
        <v>73</v>
      </c>
    </row>
    <row r="269" spans="1:9" x14ac:dyDescent="0.25">
      <c r="A269" t="s">
        <v>108</v>
      </c>
      <c r="B269" t="s">
        <v>53</v>
      </c>
      <c r="C269">
        <v>1.9518858595153099</v>
      </c>
      <c r="D269">
        <v>0.71560115141450398</v>
      </c>
      <c r="E269">
        <v>1.3967717684988445</v>
      </c>
      <c r="F269">
        <v>20</v>
      </c>
      <c r="G269" t="s">
        <v>70</v>
      </c>
      <c r="H269" t="s">
        <v>117</v>
      </c>
      <c r="I269" t="s">
        <v>74</v>
      </c>
    </row>
    <row r="270" spans="1:9" x14ac:dyDescent="0.25">
      <c r="A270" t="s">
        <v>108</v>
      </c>
      <c r="B270" t="s">
        <v>55</v>
      </c>
      <c r="C270">
        <v>0.97594292975765395</v>
      </c>
      <c r="D270">
        <v>4.7004923609740352</v>
      </c>
      <c r="E270">
        <v>4.587412286072472</v>
      </c>
      <c r="F270">
        <v>20</v>
      </c>
      <c r="G270" t="s">
        <v>70</v>
      </c>
      <c r="H270" t="s">
        <v>117</v>
      </c>
      <c r="I270" t="s">
        <v>75</v>
      </c>
    </row>
    <row r="271" spans="1:9" x14ac:dyDescent="0.25">
      <c r="A271" t="s">
        <v>108</v>
      </c>
      <c r="B271" t="s">
        <v>56</v>
      </c>
      <c r="C271">
        <v>10.247400762455401</v>
      </c>
      <c r="D271">
        <v>3.1240593387634865</v>
      </c>
      <c r="E271">
        <v>32.013488050000866</v>
      </c>
      <c r="F271">
        <v>20</v>
      </c>
      <c r="G271" t="s">
        <v>70</v>
      </c>
      <c r="H271" t="s">
        <v>117</v>
      </c>
      <c r="I271" t="s">
        <v>73</v>
      </c>
    </row>
    <row r="272" spans="1:9" x14ac:dyDescent="0.25">
      <c r="A272" t="s">
        <v>108</v>
      </c>
      <c r="B272" t="s">
        <v>119</v>
      </c>
      <c r="C272">
        <v>0.48797146487882698</v>
      </c>
      <c r="D272">
        <v>0.94249361515832797</v>
      </c>
      <c r="E272">
        <v>0.45990999002775068</v>
      </c>
      <c r="F272">
        <v>20</v>
      </c>
      <c r="G272" t="s">
        <v>70</v>
      </c>
      <c r="H272" t="s">
        <v>117</v>
      </c>
      <c r="I272" t="s">
        <v>73</v>
      </c>
    </row>
    <row r="273" spans="1:100" x14ac:dyDescent="0.25">
      <c r="A273" t="s">
        <v>108</v>
      </c>
      <c r="B273" t="s">
        <v>59</v>
      </c>
      <c r="C273">
        <v>9.7594292975765402</v>
      </c>
      <c r="D273">
        <v>5.2487805292214658</v>
      </c>
      <c r="E273">
        <v>51.225102473433267</v>
      </c>
      <c r="F273">
        <v>20</v>
      </c>
      <c r="G273" t="s">
        <v>70</v>
      </c>
      <c r="H273" t="s">
        <v>117</v>
      </c>
      <c r="I273" t="s">
        <v>75</v>
      </c>
    </row>
    <row r="274" spans="1:100" x14ac:dyDescent="0.25">
      <c r="A274" t="s">
        <v>108</v>
      </c>
      <c r="B274" t="s">
        <v>68</v>
      </c>
      <c r="C274">
        <v>289.85505013802299</v>
      </c>
      <c r="D274">
        <v>10.460112587633033</v>
      </c>
      <c r="E274">
        <v>3031.916458537738</v>
      </c>
      <c r="F274">
        <v>20</v>
      </c>
      <c r="G274" t="s">
        <v>70</v>
      </c>
      <c r="H274" t="s">
        <v>117</v>
      </c>
      <c r="I274" t="s">
        <v>75</v>
      </c>
    </row>
    <row r="275" spans="1:100" x14ac:dyDescent="0.25">
      <c r="A275" t="s">
        <v>108</v>
      </c>
      <c r="B275" t="s">
        <v>120</v>
      </c>
      <c r="C275">
        <v>0.48797146487882698</v>
      </c>
      <c r="D275">
        <v>1.1591741752859099</v>
      </c>
      <c r="E275">
        <v>0.5656439203639716</v>
      </c>
      <c r="F275">
        <v>20</v>
      </c>
      <c r="G275" t="s">
        <v>70</v>
      </c>
      <c r="H275" t="s">
        <v>117</v>
      </c>
      <c r="I275" t="s">
        <v>83</v>
      </c>
    </row>
    <row r="276" spans="1:100" x14ac:dyDescent="0.25">
      <c r="A276" t="s">
        <v>108</v>
      </c>
      <c r="B276" t="s">
        <v>69</v>
      </c>
      <c r="C276">
        <v>62.9483189693687</v>
      </c>
      <c r="D276">
        <v>53.36583079933559</v>
      </c>
      <c r="E276">
        <v>3359.2893392219371</v>
      </c>
      <c r="F276">
        <v>20</v>
      </c>
      <c r="G276" t="s">
        <v>70</v>
      </c>
      <c r="H276" t="s">
        <v>117</v>
      </c>
      <c r="I276" t="s">
        <v>83</v>
      </c>
    </row>
    <row r="277" spans="1:100" x14ac:dyDescent="0.25">
      <c r="A277" s="23" t="s">
        <v>108</v>
      </c>
      <c r="B277" s="23" t="s">
        <v>10</v>
      </c>
      <c r="C277" s="23">
        <v>1489.7768799999999</v>
      </c>
      <c r="D277" s="23">
        <v>0.12504746</v>
      </c>
      <c r="E277" s="23">
        <v>186.29282000000001</v>
      </c>
      <c r="F277">
        <v>20</v>
      </c>
      <c r="G277" t="s">
        <v>70</v>
      </c>
      <c r="H277" t="s">
        <v>117</v>
      </c>
      <c r="I277" t="s">
        <v>11</v>
      </c>
      <c r="J277" s="23"/>
      <c r="K277" s="23"/>
      <c r="L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</row>
    <row r="278" spans="1:100" x14ac:dyDescent="0.25">
      <c r="A278" s="23" t="s">
        <v>108</v>
      </c>
      <c r="B278" s="23" t="s">
        <v>12</v>
      </c>
      <c r="C278" s="23">
        <v>2.6228466199999998</v>
      </c>
      <c r="D278" s="23">
        <v>0.14386507000000001</v>
      </c>
      <c r="E278" s="23">
        <v>0.377336</v>
      </c>
      <c r="F278">
        <v>20</v>
      </c>
      <c r="G278" t="s">
        <v>70</v>
      </c>
      <c r="H278" t="s">
        <v>117</v>
      </c>
      <c r="I278" t="s">
        <v>13</v>
      </c>
      <c r="J278" s="23"/>
      <c r="K278" s="23"/>
      <c r="L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</row>
    <row r="279" spans="1:100" x14ac:dyDescent="0.25">
      <c r="A279" s="23" t="s">
        <v>108</v>
      </c>
      <c r="B279" s="23" t="s">
        <v>8</v>
      </c>
      <c r="C279" s="23">
        <v>2.6228466199999998</v>
      </c>
      <c r="D279" s="23">
        <v>1.067742E-2</v>
      </c>
      <c r="E279" s="23">
        <v>2.8005229999999999E-2</v>
      </c>
      <c r="F279">
        <v>20</v>
      </c>
      <c r="G279" t="s">
        <v>70</v>
      </c>
      <c r="H279" t="s">
        <v>117</v>
      </c>
      <c r="I279" s="23" t="s">
        <v>6</v>
      </c>
      <c r="J279" s="23"/>
      <c r="K279" s="23"/>
      <c r="L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</row>
    <row r="280" spans="1:100" x14ac:dyDescent="0.25">
      <c r="A280" s="23" t="s">
        <v>108</v>
      </c>
      <c r="B280" s="23" t="s">
        <v>121</v>
      </c>
      <c r="C280" s="23">
        <v>2.6228466199999998</v>
      </c>
      <c r="D280" s="23">
        <v>3.9191E-3</v>
      </c>
      <c r="E280" s="23">
        <v>1.027921E-2</v>
      </c>
      <c r="F280">
        <v>20</v>
      </c>
      <c r="G280" t="s">
        <v>70</v>
      </c>
      <c r="H280" t="s">
        <v>117</v>
      </c>
      <c r="I280" s="23" t="s">
        <v>6</v>
      </c>
      <c r="J280" s="23"/>
      <c r="K280" s="23"/>
      <c r="L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</row>
    <row r="281" spans="1:100" x14ac:dyDescent="0.25">
      <c r="A281" s="23" t="s">
        <v>108</v>
      </c>
      <c r="B281" s="23" t="s">
        <v>22</v>
      </c>
      <c r="C281" s="23">
        <v>10.491386500000001</v>
      </c>
      <c r="D281" s="23">
        <v>9.2707250000000005E-2</v>
      </c>
      <c r="E281" s="23">
        <v>0.97262753999999996</v>
      </c>
      <c r="F281">
        <v>20</v>
      </c>
      <c r="G281" t="s">
        <v>70</v>
      </c>
      <c r="H281" t="s">
        <v>117</v>
      </c>
      <c r="I281" s="23" t="s">
        <v>6</v>
      </c>
      <c r="J281" s="23"/>
      <c r="K281" s="23"/>
      <c r="L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</row>
    <row r="282" spans="1:100" x14ac:dyDescent="0.25">
      <c r="A282" t="s">
        <v>109</v>
      </c>
      <c r="B282" t="s">
        <v>47</v>
      </c>
      <c r="C282">
        <v>4.66548327396342</v>
      </c>
      <c r="D282">
        <v>4.5854617891484004</v>
      </c>
      <c r="E282">
        <v>21.393395280670241</v>
      </c>
      <c r="F282">
        <v>20</v>
      </c>
      <c r="G282" t="s">
        <v>76</v>
      </c>
      <c r="H282" t="s">
        <v>117</v>
      </c>
      <c r="I282" t="s">
        <v>71</v>
      </c>
    </row>
    <row r="283" spans="1:100" x14ac:dyDescent="0.25">
      <c r="A283" t="s">
        <v>109</v>
      </c>
      <c r="B283" t="s">
        <v>51</v>
      </c>
      <c r="C283">
        <v>2533.3574177621399</v>
      </c>
      <c r="D283">
        <v>1.3687797851046608</v>
      </c>
      <c r="E283">
        <v>3467.6084218777601</v>
      </c>
      <c r="F283">
        <v>20</v>
      </c>
      <c r="G283" t="s">
        <v>76</v>
      </c>
      <c r="H283" t="s">
        <v>117</v>
      </c>
      <c r="I283" t="s">
        <v>73</v>
      </c>
    </row>
    <row r="284" spans="1:100" x14ac:dyDescent="0.25">
      <c r="A284" t="s">
        <v>109</v>
      </c>
      <c r="B284" t="s">
        <v>55</v>
      </c>
      <c r="C284">
        <v>242.60513024609801</v>
      </c>
      <c r="D284">
        <v>1.3255528357180046</v>
      </c>
      <c r="E284">
        <v>321.58591835745108</v>
      </c>
      <c r="F284">
        <v>20</v>
      </c>
      <c r="G284" t="s">
        <v>76</v>
      </c>
      <c r="H284" t="s">
        <v>117</v>
      </c>
      <c r="I284" t="s">
        <v>75</v>
      </c>
    </row>
    <row r="285" spans="1:100" x14ac:dyDescent="0.25">
      <c r="A285" t="s">
        <v>109</v>
      </c>
      <c r="B285" t="s">
        <v>56</v>
      </c>
      <c r="C285">
        <v>97.975148753231807</v>
      </c>
      <c r="D285">
        <v>2.8132826884541395</v>
      </c>
      <c r="E285">
        <v>275.6317898861862</v>
      </c>
      <c r="F285">
        <v>20</v>
      </c>
      <c r="G285" t="s">
        <v>76</v>
      </c>
      <c r="H285" t="s">
        <v>117</v>
      </c>
      <c r="I285" t="s">
        <v>73</v>
      </c>
    </row>
    <row r="286" spans="1:100" x14ac:dyDescent="0.25">
      <c r="A286" t="s">
        <v>109</v>
      </c>
      <c r="B286" t="s">
        <v>59</v>
      </c>
      <c r="C286">
        <v>251.93609679402499</v>
      </c>
      <c r="D286">
        <v>5.224906274099232</v>
      </c>
      <c r="E286">
        <v>1316.3424928111726</v>
      </c>
      <c r="F286">
        <v>20</v>
      </c>
      <c r="G286" t="s">
        <v>76</v>
      </c>
      <c r="H286" t="s">
        <v>117</v>
      </c>
      <c r="I286" t="s">
        <v>75</v>
      </c>
    </row>
    <row r="287" spans="1:100" x14ac:dyDescent="0.25">
      <c r="A287" t="s">
        <v>109</v>
      </c>
      <c r="B287" t="s">
        <v>68</v>
      </c>
      <c r="C287">
        <v>74.647732383414706</v>
      </c>
      <c r="D287">
        <v>13.045957603616488</v>
      </c>
      <c r="E287">
        <v>973.85115188013776</v>
      </c>
      <c r="F287">
        <v>20</v>
      </c>
      <c r="G287" t="s">
        <v>76</v>
      </c>
      <c r="H287" t="s">
        <v>117</v>
      </c>
      <c r="I287" t="s">
        <v>75</v>
      </c>
    </row>
    <row r="288" spans="1:100" x14ac:dyDescent="0.25">
      <c r="A288" t="s">
        <v>109</v>
      </c>
      <c r="B288" t="s">
        <v>69</v>
      </c>
      <c r="C288">
        <v>5.9984784950958199</v>
      </c>
      <c r="D288">
        <v>59.143138964851602</v>
      </c>
      <c r="E288">
        <v>354.76884721312598</v>
      </c>
      <c r="F288">
        <v>20</v>
      </c>
      <c r="G288" t="s">
        <v>76</v>
      </c>
      <c r="H288" t="s">
        <v>117</v>
      </c>
      <c r="I288" t="s">
        <v>83</v>
      </c>
    </row>
    <row r="289" spans="1:100" x14ac:dyDescent="0.25">
      <c r="A289" t="s">
        <v>109</v>
      </c>
      <c r="B289" t="s">
        <v>62</v>
      </c>
      <c r="C289">
        <v>97.975148753231807</v>
      </c>
      <c r="D289">
        <v>8.9516762995722985</v>
      </c>
      <c r="E289">
        <v>877.04181704137557</v>
      </c>
      <c r="F289">
        <v>20</v>
      </c>
      <c r="G289" t="s">
        <v>76</v>
      </c>
      <c r="H289" t="s">
        <v>117</v>
      </c>
      <c r="I289" t="s">
        <v>75</v>
      </c>
    </row>
    <row r="290" spans="1:100" x14ac:dyDescent="0.25">
      <c r="A290" s="23" t="s">
        <v>109</v>
      </c>
      <c r="B290" s="23" t="s">
        <v>10</v>
      </c>
      <c r="C290" s="23">
        <v>963.89613399999996</v>
      </c>
      <c r="D290" s="23">
        <v>0.1694543</v>
      </c>
      <c r="E290" s="23">
        <v>163.336344</v>
      </c>
      <c r="F290">
        <v>20</v>
      </c>
      <c r="G290" t="s">
        <v>76</v>
      </c>
      <c r="H290" t="s">
        <v>117</v>
      </c>
      <c r="I290" t="s">
        <v>11</v>
      </c>
      <c r="J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</row>
    <row r="291" spans="1:100" x14ac:dyDescent="0.25">
      <c r="A291" s="23" t="s">
        <v>109</v>
      </c>
      <c r="B291" s="23" t="s">
        <v>12</v>
      </c>
      <c r="C291" s="23">
        <v>362.04879199999999</v>
      </c>
      <c r="D291" s="23">
        <v>0.20501691</v>
      </c>
      <c r="E291" s="23">
        <v>74.226125300000007</v>
      </c>
      <c r="F291">
        <v>20</v>
      </c>
      <c r="G291" t="s">
        <v>76</v>
      </c>
      <c r="H291" t="s">
        <v>117</v>
      </c>
      <c r="I291" t="s">
        <v>13</v>
      </c>
      <c r="J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</row>
    <row r="292" spans="1:100" x14ac:dyDescent="0.25">
      <c r="A292" s="23" t="s">
        <v>109</v>
      </c>
      <c r="B292" s="23" t="s">
        <v>8</v>
      </c>
      <c r="C292" s="23">
        <v>155.163768</v>
      </c>
      <c r="D292" s="23">
        <v>1.6720829999999999E-2</v>
      </c>
      <c r="E292" s="23">
        <v>2.5944669899999999</v>
      </c>
      <c r="F292">
        <v>20</v>
      </c>
      <c r="G292" t="s">
        <v>76</v>
      </c>
      <c r="H292" t="s">
        <v>117</v>
      </c>
      <c r="I292" s="23" t="s">
        <v>6</v>
      </c>
      <c r="J292" s="23"/>
      <c r="K292" s="23"/>
      <c r="L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</row>
    <row r="293" spans="1:100" x14ac:dyDescent="0.25">
      <c r="A293" s="23" t="s">
        <v>109</v>
      </c>
      <c r="B293" s="23" t="s">
        <v>15</v>
      </c>
      <c r="C293" s="23">
        <v>89.336714900000004</v>
      </c>
      <c r="D293" s="23">
        <v>5.9262200000000003E-3</v>
      </c>
      <c r="E293" s="23">
        <v>0.52942918999999999</v>
      </c>
      <c r="F293">
        <v>20</v>
      </c>
      <c r="G293" t="s">
        <v>76</v>
      </c>
      <c r="H293" t="s">
        <v>117</v>
      </c>
      <c r="I293" s="23" t="s">
        <v>6</v>
      </c>
      <c r="J293" s="23"/>
      <c r="K293" s="23"/>
      <c r="L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</row>
    <row r="294" spans="1:100" x14ac:dyDescent="0.25">
      <c r="A294" s="23" t="s">
        <v>109</v>
      </c>
      <c r="B294" s="23" t="s">
        <v>16</v>
      </c>
      <c r="C294" s="23">
        <v>51.721255999999997</v>
      </c>
      <c r="D294" s="23">
        <v>2.173E-3</v>
      </c>
      <c r="E294" s="23">
        <v>0.11239008</v>
      </c>
      <c r="F294">
        <v>20</v>
      </c>
      <c r="G294" t="s">
        <v>76</v>
      </c>
      <c r="H294" t="s">
        <v>117</v>
      </c>
      <c r="I294" s="23" t="s">
        <v>6</v>
      </c>
      <c r="J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</row>
    <row r="295" spans="1:100" x14ac:dyDescent="0.25">
      <c r="A295" s="23" t="s">
        <v>109</v>
      </c>
      <c r="B295" s="23" t="s">
        <v>122</v>
      </c>
      <c r="C295" s="23">
        <v>4.7019323599999998</v>
      </c>
      <c r="D295" s="23">
        <v>0.11248973</v>
      </c>
      <c r="E295" s="23">
        <v>0.52891911000000003</v>
      </c>
      <c r="F295">
        <v>20</v>
      </c>
      <c r="G295" t="s">
        <v>76</v>
      </c>
      <c r="H295" t="s">
        <v>117</v>
      </c>
      <c r="I295" s="23" t="s">
        <v>6</v>
      </c>
      <c r="J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</row>
    <row r="296" spans="1:100" x14ac:dyDescent="0.25">
      <c r="A296" s="23" t="s">
        <v>109</v>
      </c>
      <c r="B296" s="23" t="s">
        <v>22</v>
      </c>
      <c r="C296" s="23">
        <v>23.5096618</v>
      </c>
      <c r="D296" s="23">
        <v>6.3826880000000003E-2</v>
      </c>
      <c r="E296" s="23">
        <v>1.50054844</v>
      </c>
      <c r="F296">
        <v>20</v>
      </c>
      <c r="G296" t="s">
        <v>76</v>
      </c>
      <c r="H296" t="s">
        <v>117</v>
      </c>
      <c r="I296" s="23" t="s">
        <v>6</v>
      </c>
      <c r="J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</row>
    <row r="297" spans="1:100" x14ac:dyDescent="0.25">
      <c r="A297" s="23" t="s">
        <v>109</v>
      </c>
      <c r="B297" s="23" t="s">
        <v>24</v>
      </c>
      <c r="C297" s="23">
        <v>282.11594200000002</v>
      </c>
      <c r="D297" s="23">
        <v>5.9941210000000002E-2</v>
      </c>
      <c r="E297" s="23">
        <v>16.9103718</v>
      </c>
      <c r="F297">
        <v>20</v>
      </c>
      <c r="G297" t="s">
        <v>76</v>
      </c>
      <c r="H297" t="s">
        <v>117</v>
      </c>
      <c r="I297" s="23" t="s">
        <v>6</v>
      </c>
      <c r="J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</row>
    <row r="298" spans="1:100" x14ac:dyDescent="0.25">
      <c r="A298" t="s">
        <v>110</v>
      </c>
      <c r="B298" t="s">
        <v>47</v>
      </c>
      <c r="C298">
        <v>6.4842309909322102</v>
      </c>
      <c r="D298">
        <v>1.9309010471300605</v>
      </c>
      <c r="E298">
        <v>12.520408410224194</v>
      </c>
      <c r="F298">
        <v>20</v>
      </c>
      <c r="G298" t="s">
        <v>77</v>
      </c>
      <c r="H298" t="s">
        <v>117</v>
      </c>
      <c r="I298" t="s">
        <v>71</v>
      </c>
    </row>
    <row r="299" spans="1:100" x14ac:dyDescent="0.25">
      <c r="A299" t="s">
        <v>110</v>
      </c>
      <c r="B299" t="s">
        <v>51</v>
      </c>
      <c r="C299">
        <v>710.02329350707703</v>
      </c>
      <c r="D299">
        <v>2.8606043353349224</v>
      </c>
      <c r="E299">
        <v>2031.0957115951246</v>
      </c>
      <c r="F299">
        <v>20</v>
      </c>
      <c r="G299" t="s">
        <v>77</v>
      </c>
      <c r="H299" t="s">
        <v>117</v>
      </c>
      <c r="I299" t="s">
        <v>73</v>
      </c>
    </row>
    <row r="300" spans="1:100" x14ac:dyDescent="0.25">
      <c r="A300" t="s">
        <v>110</v>
      </c>
      <c r="B300" t="s">
        <v>53</v>
      </c>
      <c r="C300">
        <v>1.6210577477330499</v>
      </c>
      <c r="D300">
        <v>0.80994288464683095</v>
      </c>
      <c r="E300">
        <v>1.3129641883780012</v>
      </c>
      <c r="F300">
        <v>20</v>
      </c>
      <c r="G300" t="s">
        <v>77</v>
      </c>
      <c r="H300" t="s">
        <v>117</v>
      </c>
      <c r="I300" t="s">
        <v>74</v>
      </c>
    </row>
    <row r="301" spans="1:100" x14ac:dyDescent="0.25">
      <c r="A301" t="s">
        <v>110</v>
      </c>
      <c r="B301" t="s">
        <v>55</v>
      </c>
      <c r="C301">
        <v>106.989811350381</v>
      </c>
      <c r="D301">
        <v>1.3966599119546521</v>
      </c>
      <c r="E301">
        <v>149.42838050066797</v>
      </c>
      <c r="F301">
        <v>20</v>
      </c>
      <c r="G301" t="s">
        <v>77</v>
      </c>
      <c r="H301" t="s">
        <v>117</v>
      </c>
      <c r="I301" t="s">
        <v>75</v>
      </c>
    </row>
    <row r="302" spans="1:100" x14ac:dyDescent="0.25">
      <c r="A302" t="s">
        <v>110</v>
      </c>
      <c r="B302" t="s">
        <v>56</v>
      </c>
      <c r="C302">
        <v>423.09607215832602</v>
      </c>
      <c r="D302">
        <v>4.0102047211816423</v>
      </c>
      <c r="E302">
        <v>1696.7018660827277</v>
      </c>
      <c r="F302">
        <v>20</v>
      </c>
      <c r="G302" t="s">
        <v>77</v>
      </c>
      <c r="H302" t="s">
        <v>117</v>
      </c>
      <c r="I302" t="s">
        <v>73</v>
      </c>
    </row>
    <row r="303" spans="1:100" x14ac:dyDescent="0.25">
      <c r="A303" t="s">
        <v>110</v>
      </c>
      <c r="B303" t="s">
        <v>59</v>
      </c>
      <c r="C303">
        <v>42.147501441059298</v>
      </c>
      <c r="D303">
        <v>5.8259346080909538</v>
      </c>
      <c r="E303">
        <v>245.5485872900307</v>
      </c>
      <c r="F303">
        <v>20</v>
      </c>
      <c r="G303" t="s">
        <v>77</v>
      </c>
      <c r="H303" t="s">
        <v>117</v>
      </c>
      <c r="I303" t="s">
        <v>75</v>
      </c>
    </row>
    <row r="304" spans="1:100" x14ac:dyDescent="0.25">
      <c r="A304" t="s">
        <v>110</v>
      </c>
      <c r="B304" t="s">
        <v>68</v>
      </c>
      <c r="C304">
        <v>55.115963422923798</v>
      </c>
      <c r="D304">
        <v>12.000103389142435</v>
      </c>
      <c r="E304">
        <v>661.39725946727833</v>
      </c>
      <c r="F304">
        <v>20</v>
      </c>
      <c r="G304" t="s">
        <v>77</v>
      </c>
      <c r="H304" t="s">
        <v>117</v>
      </c>
      <c r="I304" t="s">
        <v>75</v>
      </c>
    </row>
    <row r="305" spans="1:100" x14ac:dyDescent="0.25">
      <c r="A305" t="s">
        <v>110</v>
      </c>
      <c r="B305" t="s">
        <v>69</v>
      </c>
      <c r="C305">
        <v>12.5053026253693</v>
      </c>
      <c r="D305">
        <v>55.755628630734442</v>
      </c>
      <c r="E305">
        <v>697.24100909503909</v>
      </c>
      <c r="F305">
        <v>20</v>
      </c>
      <c r="G305" t="s">
        <v>77</v>
      </c>
      <c r="H305" t="s">
        <v>117</v>
      </c>
      <c r="I305" t="s">
        <v>83</v>
      </c>
    </row>
    <row r="306" spans="1:100" x14ac:dyDescent="0.25">
      <c r="A306" t="s">
        <v>110</v>
      </c>
      <c r="B306" t="s">
        <v>62</v>
      </c>
      <c r="C306">
        <v>11.3474042341314</v>
      </c>
      <c r="D306">
        <v>11.199742581648824</v>
      </c>
      <c r="E306">
        <v>127.0880063921836</v>
      </c>
      <c r="F306">
        <v>20</v>
      </c>
      <c r="G306" t="s">
        <v>77</v>
      </c>
      <c r="H306" t="s">
        <v>117</v>
      </c>
      <c r="I306" t="s">
        <v>75</v>
      </c>
    </row>
    <row r="307" spans="1:100" x14ac:dyDescent="0.25">
      <c r="A307" s="23" t="s">
        <v>110</v>
      </c>
      <c r="B307" s="23" t="s">
        <v>10</v>
      </c>
      <c r="C307" s="23">
        <v>610.93613900000003</v>
      </c>
      <c r="D307" s="23">
        <v>0.20596238</v>
      </c>
      <c r="E307" s="23">
        <v>125.82986200000001</v>
      </c>
      <c r="F307">
        <v>20</v>
      </c>
      <c r="G307" t="s">
        <v>77</v>
      </c>
      <c r="H307" t="s">
        <v>117</v>
      </c>
      <c r="I307" t="s">
        <v>11</v>
      </c>
      <c r="J307" s="23"/>
      <c r="K307" s="23"/>
      <c r="L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</row>
    <row r="308" spans="1:100" x14ac:dyDescent="0.25">
      <c r="A308" s="23" t="s">
        <v>110</v>
      </c>
      <c r="B308" s="23" t="s">
        <v>12</v>
      </c>
      <c r="C308" s="23">
        <v>77.506823600000004</v>
      </c>
      <c r="D308" s="23">
        <v>0.36396768000000002</v>
      </c>
      <c r="E308" s="23">
        <v>28.209978499999998</v>
      </c>
      <c r="F308">
        <v>20</v>
      </c>
      <c r="G308" t="s">
        <v>77</v>
      </c>
      <c r="H308" t="s">
        <v>117</v>
      </c>
      <c r="I308" t="s">
        <v>13</v>
      </c>
      <c r="J308" s="23"/>
      <c r="K308" s="23"/>
      <c r="L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</row>
    <row r="309" spans="1:100" x14ac:dyDescent="0.25">
      <c r="A309" s="23" t="s">
        <v>110</v>
      </c>
      <c r="B309" s="23" t="s">
        <v>8</v>
      </c>
      <c r="C309" s="23">
        <v>15.1974164</v>
      </c>
      <c r="D309" s="23">
        <v>2.3797370000000002E-2</v>
      </c>
      <c r="E309" s="23">
        <v>0.36165850999999999</v>
      </c>
      <c r="F309">
        <v>20</v>
      </c>
      <c r="G309" t="s">
        <v>77</v>
      </c>
      <c r="H309" t="s">
        <v>117</v>
      </c>
      <c r="I309" s="23" t="s">
        <v>6</v>
      </c>
      <c r="J309" s="23"/>
      <c r="K309" s="23"/>
      <c r="L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</row>
    <row r="310" spans="1:100" x14ac:dyDescent="0.25">
      <c r="A310" s="23" t="s">
        <v>110</v>
      </c>
      <c r="B310" s="23" t="s">
        <v>15</v>
      </c>
      <c r="C310" s="23">
        <v>7.59870819</v>
      </c>
      <c r="D310" s="23">
        <v>1.3188719999999999E-2</v>
      </c>
      <c r="E310" s="23">
        <v>0.10021722</v>
      </c>
      <c r="F310">
        <v>20</v>
      </c>
      <c r="G310" t="s">
        <v>77</v>
      </c>
      <c r="H310" t="s">
        <v>117</v>
      </c>
      <c r="I310" s="23" t="s">
        <v>6</v>
      </c>
      <c r="J310" s="23"/>
      <c r="K310" s="23"/>
      <c r="L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</row>
    <row r="311" spans="1:100" x14ac:dyDescent="0.25">
      <c r="A311" s="23" t="s">
        <v>110</v>
      </c>
      <c r="B311" s="23" t="s">
        <v>16</v>
      </c>
      <c r="C311" s="23">
        <v>12.157933099999999</v>
      </c>
      <c r="D311" s="23">
        <v>2.9086899999999998E-3</v>
      </c>
      <c r="E311" s="23">
        <v>3.5363680000000002E-2</v>
      </c>
      <c r="F311">
        <v>20</v>
      </c>
      <c r="G311" t="s">
        <v>77</v>
      </c>
      <c r="H311" t="s">
        <v>117</v>
      </c>
      <c r="I311" s="23" t="s">
        <v>6</v>
      </c>
      <c r="J311" s="23"/>
      <c r="K311" s="23"/>
      <c r="L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</row>
    <row r="312" spans="1:100" x14ac:dyDescent="0.25">
      <c r="A312" s="23" t="s">
        <v>110</v>
      </c>
      <c r="B312" s="23" t="s">
        <v>123</v>
      </c>
      <c r="C312" s="23">
        <v>1.5197416399999999</v>
      </c>
      <c r="D312" s="23">
        <v>3.7268000000000003E-2</v>
      </c>
      <c r="E312" s="23">
        <v>5.6637729999999997E-2</v>
      </c>
      <c r="F312">
        <v>20</v>
      </c>
      <c r="G312" t="s">
        <v>77</v>
      </c>
      <c r="H312" t="s">
        <v>117</v>
      </c>
      <c r="I312" s="23" t="s">
        <v>6</v>
      </c>
      <c r="J312" s="23"/>
      <c r="K312" s="23"/>
      <c r="L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</row>
    <row r="313" spans="1:100" x14ac:dyDescent="0.25">
      <c r="A313" s="23" t="s">
        <v>110</v>
      </c>
      <c r="B313" s="23" t="s">
        <v>22</v>
      </c>
      <c r="C313" s="23">
        <v>19.756641299999998</v>
      </c>
      <c r="D313" s="23">
        <v>7.7738470000000004E-2</v>
      </c>
      <c r="E313" s="23">
        <v>1.53585098</v>
      </c>
      <c r="F313">
        <v>20</v>
      </c>
      <c r="G313" t="s">
        <v>77</v>
      </c>
      <c r="H313" t="s">
        <v>117</v>
      </c>
      <c r="I313" s="23" t="s">
        <v>6</v>
      </c>
      <c r="J313" s="23"/>
      <c r="K313" s="23"/>
      <c r="L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</row>
    <row r="314" spans="1:100" x14ac:dyDescent="0.25">
      <c r="A314" s="23" t="s">
        <v>110</v>
      </c>
      <c r="B314" s="23" t="s">
        <v>24</v>
      </c>
      <c r="C314" s="23">
        <v>126.13855599999999</v>
      </c>
      <c r="D314" s="23">
        <v>4.7555159999999999E-2</v>
      </c>
      <c r="E314" s="23">
        <v>5.9985392800000001</v>
      </c>
      <c r="F314">
        <v>20</v>
      </c>
      <c r="G314" t="s">
        <v>77</v>
      </c>
      <c r="H314" t="s">
        <v>117</v>
      </c>
      <c r="I314" s="23" t="s">
        <v>6</v>
      </c>
      <c r="J314" s="23"/>
      <c r="K314" s="23"/>
      <c r="L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</row>
    <row r="315" spans="1:100" x14ac:dyDescent="0.25">
      <c r="A315" t="s">
        <v>111</v>
      </c>
      <c r="B315" t="s">
        <v>124</v>
      </c>
      <c r="C315">
        <v>1.0174724161303199</v>
      </c>
      <c r="D315">
        <v>0.84865084111921696</v>
      </c>
      <c r="E315">
        <v>0.86347882176459789</v>
      </c>
      <c r="F315">
        <v>20</v>
      </c>
      <c r="G315" t="s">
        <v>78</v>
      </c>
      <c r="H315" t="s">
        <v>117</v>
      </c>
      <c r="I315" t="s">
        <v>118</v>
      </c>
    </row>
    <row r="316" spans="1:100" x14ac:dyDescent="0.25">
      <c r="A316" t="s">
        <v>111</v>
      </c>
      <c r="B316" t="s">
        <v>47</v>
      </c>
      <c r="C316">
        <v>24.419337987127701</v>
      </c>
      <c r="D316">
        <v>0.98568458706467654</v>
      </c>
      <c r="E316">
        <v>24.069765080234738</v>
      </c>
      <c r="F316">
        <v>20</v>
      </c>
      <c r="G316" t="s">
        <v>78</v>
      </c>
      <c r="H316" t="s">
        <v>117</v>
      </c>
      <c r="I316" t="s">
        <v>71</v>
      </c>
    </row>
    <row r="317" spans="1:100" x14ac:dyDescent="0.25">
      <c r="A317" t="s">
        <v>111</v>
      </c>
      <c r="B317" t="s">
        <v>51</v>
      </c>
      <c r="C317">
        <v>271.66513510679499</v>
      </c>
      <c r="D317">
        <v>2.5321801116143132</v>
      </c>
      <c r="E317">
        <v>687.90505213644167</v>
      </c>
      <c r="F317">
        <v>20</v>
      </c>
      <c r="G317" t="s">
        <v>78</v>
      </c>
      <c r="H317" t="s">
        <v>117</v>
      </c>
      <c r="I317" t="s">
        <v>73</v>
      </c>
    </row>
    <row r="318" spans="1:100" x14ac:dyDescent="0.25">
      <c r="A318" t="s">
        <v>111</v>
      </c>
      <c r="B318" t="s">
        <v>125</v>
      </c>
      <c r="C318">
        <v>4.0698896645212796</v>
      </c>
      <c r="D318">
        <v>0.99478700705633549</v>
      </c>
      <c r="E318">
        <v>4.048673358418637</v>
      </c>
      <c r="F318">
        <v>20</v>
      </c>
      <c r="G318" t="s">
        <v>78</v>
      </c>
      <c r="H318" t="s">
        <v>117</v>
      </c>
      <c r="I318" t="s">
        <v>74</v>
      </c>
    </row>
    <row r="319" spans="1:100" x14ac:dyDescent="0.25">
      <c r="A319" t="s">
        <v>111</v>
      </c>
      <c r="B319" t="s">
        <v>55</v>
      </c>
      <c r="C319">
        <v>27.4717552355186</v>
      </c>
      <c r="D319">
        <v>2.1878074776120764</v>
      </c>
      <c r="E319">
        <v>60.102911527396301</v>
      </c>
      <c r="F319">
        <v>20</v>
      </c>
      <c r="G319" t="s">
        <v>78</v>
      </c>
      <c r="H319" t="s">
        <v>117</v>
      </c>
      <c r="I319" t="s">
        <v>75</v>
      </c>
    </row>
    <row r="320" spans="1:100" x14ac:dyDescent="0.25">
      <c r="A320" t="s">
        <v>111</v>
      </c>
      <c r="B320" t="s">
        <v>56</v>
      </c>
      <c r="C320">
        <v>112.93943819046601</v>
      </c>
      <c r="D320">
        <v>3.7327031316135519</v>
      </c>
      <c r="E320">
        <v>421.56939461622767</v>
      </c>
      <c r="F320">
        <v>20</v>
      </c>
      <c r="G320" t="s">
        <v>78</v>
      </c>
      <c r="H320" t="s">
        <v>117</v>
      </c>
      <c r="I320" t="s">
        <v>73</v>
      </c>
    </row>
    <row r="321" spans="1:100" x14ac:dyDescent="0.25">
      <c r="A321" t="s">
        <v>111</v>
      </c>
      <c r="B321" t="s">
        <v>126</v>
      </c>
      <c r="C321">
        <v>1.0174724161303199</v>
      </c>
      <c r="D321">
        <v>7.4132744326657098</v>
      </c>
      <c r="E321">
        <v>7.5428022484415065</v>
      </c>
      <c r="F321">
        <v>20</v>
      </c>
      <c r="G321" t="s">
        <v>78</v>
      </c>
      <c r="H321" t="s">
        <v>117</v>
      </c>
      <c r="I321" t="s">
        <v>75</v>
      </c>
    </row>
    <row r="322" spans="1:100" x14ac:dyDescent="0.25">
      <c r="A322" t="s">
        <v>111</v>
      </c>
      <c r="B322" t="s">
        <v>59</v>
      </c>
      <c r="C322">
        <v>106.834603693684</v>
      </c>
      <c r="D322">
        <v>6.0227005440850325</v>
      </c>
      <c r="E322">
        <v>643.43282579305946</v>
      </c>
      <c r="F322">
        <v>20</v>
      </c>
      <c r="G322" t="s">
        <v>78</v>
      </c>
      <c r="H322" t="s">
        <v>117</v>
      </c>
      <c r="I322" t="s">
        <v>75</v>
      </c>
    </row>
    <row r="323" spans="1:100" x14ac:dyDescent="0.25">
      <c r="A323" t="s">
        <v>111</v>
      </c>
      <c r="B323" t="s">
        <v>68</v>
      </c>
      <c r="C323">
        <v>19.331975906476099</v>
      </c>
      <c r="D323">
        <v>12.503158561251311</v>
      </c>
      <c r="E323">
        <v>241.71076006096072</v>
      </c>
      <c r="F323">
        <v>20</v>
      </c>
      <c r="G323" t="s">
        <v>78</v>
      </c>
      <c r="H323" t="s">
        <v>117</v>
      </c>
      <c r="I323" t="s">
        <v>75</v>
      </c>
    </row>
    <row r="324" spans="1:100" x14ac:dyDescent="0.25">
      <c r="A324" t="s">
        <v>111</v>
      </c>
      <c r="B324" t="s">
        <v>69</v>
      </c>
      <c r="C324">
        <v>3.05241724839096</v>
      </c>
      <c r="D324">
        <v>58.997638854306402</v>
      </c>
      <c r="E324">
        <v>180.08541045322553</v>
      </c>
      <c r="F324">
        <v>20</v>
      </c>
      <c r="G324" t="s">
        <v>78</v>
      </c>
      <c r="H324" t="s">
        <v>117</v>
      </c>
      <c r="I324" t="s">
        <v>83</v>
      </c>
    </row>
    <row r="325" spans="1:100" x14ac:dyDescent="0.25">
      <c r="A325" t="s">
        <v>111</v>
      </c>
      <c r="B325" t="s">
        <v>62</v>
      </c>
      <c r="C325">
        <v>10.1747241613032</v>
      </c>
      <c r="D325">
        <v>11.00313765355563</v>
      </c>
      <c r="E325">
        <v>111.95389053377745</v>
      </c>
      <c r="F325">
        <v>20</v>
      </c>
      <c r="G325" t="s">
        <v>78</v>
      </c>
      <c r="H325" t="s">
        <v>117</v>
      </c>
      <c r="I325" t="s">
        <v>75</v>
      </c>
    </row>
    <row r="326" spans="1:100" x14ac:dyDescent="0.25">
      <c r="A326" s="23" t="s">
        <v>111</v>
      </c>
      <c r="B326" s="23" t="s">
        <v>10</v>
      </c>
      <c r="C326" s="23">
        <v>799.73331900000005</v>
      </c>
      <c r="D326" s="23">
        <v>0.23454741000000001</v>
      </c>
      <c r="E326" s="23">
        <v>187.57538</v>
      </c>
      <c r="F326">
        <v>20</v>
      </c>
      <c r="G326" t="s">
        <v>78</v>
      </c>
      <c r="H326" t="s">
        <v>117</v>
      </c>
      <c r="I326" t="s">
        <v>11</v>
      </c>
      <c r="J326" s="23"/>
      <c r="K326" s="23"/>
      <c r="L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</row>
    <row r="327" spans="1:100" x14ac:dyDescent="0.25">
      <c r="A327" s="23" t="s">
        <v>111</v>
      </c>
      <c r="B327" s="23" t="s">
        <v>12</v>
      </c>
      <c r="C327" s="23">
        <v>52.908565600000003</v>
      </c>
      <c r="D327" s="23">
        <v>0.16206193999999999</v>
      </c>
      <c r="E327" s="23">
        <v>8.5744649000000006</v>
      </c>
      <c r="F327">
        <v>20</v>
      </c>
      <c r="G327" t="s">
        <v>78</v>
      </c>
      <c r="H327" t="s">
        <v>117</v>
      </c>
      <c r="I327" t="s">
        <v>13</v>
      </c>
      <c r="J327" s="23"/>
      <c r="K327" s="23"/>
      <c r="L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</row>
    <row r="328" spans="1:100" x14ac:dyDescent="0.25">
      <c r="A328" s="23" t="s">
        <v>111</v>
      </c>
      <c r="B328" s="23" t="s">
        <v>8</v>
      </c>
      <c r="C328" s="23">
        <v>20.349448299999999</v>
      </c>
      <c r="D328" s="23">
        <v>2.6349339999999999E-2</v>
      </c>
      <c r="E328" s="23">
        <v>0.53619444999999999</v>
      </c>
      <c r="F328">
        <v>20</v>
      </c>
      <c r="G328" t="s">
        <v>78</v>
      </c>
      <c r="H328" t="s">
        <v>117</v>
      </c>
      <c r="I328" s="23" t="s">
        <v>6</v>
      </c>
      <c r="J328" s="23"/>
      <c r="K328" s="23"/>
      <c r="L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</row>
    <row r="329" spans="1:100" x14ac:dyDescent="0.25">
      <c r="A329" s="23" t="s">
        <v>111</v>
      </c>
      <c r="B329" s="23" t="s">
        <v>9</v>
      </c>
      <c r="C329" s="23">
        <v>6.1048344999999999</v>
      </c>
      <c r="D329" s="23">
        <v>1.189307E-2</v>
      </c>
      <c r="E329" s="23">
        <v>7.2605210000000003E-2</v>
      </c>
      <c r="F329">
        <v>20</v>
      </c>
      <c r="G329" t="s">
        <v>78</v>
      </c>
      <c r="H329" t="s">
        <v>117</v>
      </c>
      <c r="I329" s="23" t="s">
        <v>6</v>
      </c>
      <c r="J329" s="23"/>
      <c r="K329" s="23"/>
      <c r="L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</row>
    <row r="330" spans="1:100" x14ac:dyDescent="0.25">
      <c r="A330" s="23" t="s">
        <v>111</v>
      </c>
      <c r="B330" s="23" t="s">
        <v>15</v>
      </c>
      <c r="C330" s="23">
        <v>4.0698896600000003</v>
      </c>
      <c r="D330" s="23">
        <v>1.6886849999999998E-2</v>
      </c>
      <c r="E330" s="23">
        <v>6.8727620000000003E-2</v>
      </c>
      <c r="F330">
        <v>20</v>
      </c>
      <c r="G330" t="s">
        <v>78</v>
      </c>
      <c r="H330" t="s">
        <v>117</v>
      </c>
      <c r="I330" s="23" t="s">
        <v>6</v>
      </c>
      <c r="J330" s="23"/>
      <c r="K330" s="23"/>
      <c r="L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</row>
    <row r="331" spans="1:100" x14ac:dyDescent="0.25">
      <c r="A331" s="23" t="s">
        <v>111</v>
      </c>
      <c r="B331" s="23" t="s">
        <v>16</v>
      </c>
      <c r="C331" s="23">
        <v>18.314503500000001</v>
      </c>
      <c r="D331" s="23">
        <v>2.6202399999999998E-3</v>
      </c>
      <c r="E331" s="23">
        <v>4.7988370000000002E-2</v>
      </c>
      <c r="F331">
        <v>20</v>
      </c>
      <c r="G331" t="s">
        <v>78</v>
      </c>
      <c r="H331" t="s">
        <v>117</v>
      </c>
      <c r="I331" s="23" t="s">
        <v>6</v>
      </c>
      <c r="J331" s="23"/>
      <c r="K331" s="23"/>
      <c r="L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</row>
    <row r="332" spans="1:100" x14ac:dyDescent="0.25">
      <c r="A332" s="23" t="s">
        <v>111</v>
      </c>
      <c r="B332" s="23" t="s">
        <v>127</v>
      </c>
      <c r="C332" s="23">
        <v>2.0349448300000001</v>
      </c>
      <c r="D332" s="23">
        <v>7.0423239999999998E-2</v>
      </c>
      <c r="E332" s="23">
        <v>0.1433074</v>
      </c>
      <c r="F332">
        <v>20</v>
      </c>
      <c r="G332" t="s">
        <v>78</v>
      </c>
      <c r="H332" t="s">
        <v>117</v>
      </c>
      <c r="I332" s="23" t="s">
        <v>6</v>
      </c>
      <c r="J332" s="23"/>
      <c r="K332" s="23"/>
      <c r="L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</row>
    <row r="333" spans="1:100" x14ac:dyDescent="0.25">
      <c r="A333" s="23" t="s">
        <v>111</v>
      </c>
      <c r="B333" s="23" t="s">
        <v>128</v>
      </c>
      <c r="C333" s="23">
        <v>2.0349448300000001</v>
      </c>
      <c r="D333" s="23">
        <v>6.2640899999999999E-3</v>
      </c>
      <c r="E333" s="23">
        <v>1.2747069999999999E-2</v>
      </c>
      <c r="F333">
        <v>20</v>
      </c>
      <c r="G333" t="s">
        <v>78</v>
      </c>
      <c r="H333" t="s">
        <v>117</v>
      </c>
      <c r="I333" s="23" t="s">
        <v>6</v>
      </c>
      <c r="J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</row>
    <row r="334" spans="1:100" x14ac:dyDescent="0.25">
      <c r="A334" s="23" t="s">
        <v>111</v>
      </c>
      <c r="B334" s="23" t="s">
        <v>129</v>
      </c>
      <c r="C334" s="23">
        <v>2.0349448300000001</v>
      </c>
      <c r="D334" s="23">
        <v>7.3586020000000002E-2</v>
      </c>
      <c r="E334" s="23">
        <v>0.14974348000000001</v>
      </c>
      <c r="F334">
        <v>20</v>
      </c>
      <c r="G334" t="s">
        <v>78</v>
      </c>
      <c r="H334" t="s">
        <v>117</v>
      </c>
      <c r="I334" s="23" t="s">
        <v>6</v>
      </c>
      <c r="J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</row>
    <row r="335" spans="1:100" x14ac:dyDescent="0.25">
      <c r="A335" s="23" t="s">
        <v>111</v>
      </c>
      <c r="B335" s="23" t="s">
        <v>130</v>
      </c>
      <c r="C335" s="23">
        <v>10.1747242</v>
      </c>
      <c r="D335" s="23">
        <v>1.721642E-2</v>
      </c>
      <c r="E335" s="23">
        <v>0.17517231999999999</v>
      </c>
      <c r="F335">
        <v>20</v>
      </c>
      <c r="G335" t="s">
        <v>78</v>
      </c>
      <c r="H335" t="s">
        <v>117</v>
      </c>
      <c r="I335" s="23" t="s">
        <v>6</v>
      </c>
      <c r="J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</row>
    <row r="336" spans="1:100" x14ac:dyDescent="0.25">
      <c r="A336" s="23" t="s">
        <v>111</v>
      </c>
      <c r="B336" s="23" t="s">
        <v>22</v>
      </c>
      <c r="C336" s="23">
        <v>22.384393200000002</v>
      </c>
      <c r="D336" s="23">
        <v>6.6102960000000002E-2</v>
      </c>
      <c r="E336" s="23">
        <v>1.47967458</v>
      </c>
      <c r="F336">
        <v>20</v>
      </c>
      <c r="G336" t="s">
        <v>78</v>
      </c>
      <c r="H336" t="s">
        <v>117</v>
      </c>
      <c r="I336" s="23" t="s">
        <v>6</v>
      </c>
      <c r="J336" s="23"/>
      <c r="K336" s="23"/>
      <c r="L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</row>
    <row r="337" spans="1:100" x14ac:dyDescent="0.25">
      <c r="A337" s="23" t="s">
        <v>111</v>
      </c>
      <c r="B337" s="23" t="s">
        <v>24</v>
      </c>
      <c r="C337" s="23">
        <v>95.6424071</v>
      </c>
      <c r="D337" s="23">
        <v>4.8577099999999998E-2</v>
      </c>
      <c r="E337" s="23">
        <v>4.6460312100000003</v>
      </c>
      <c r="F337">
        <v>20</v>
      </c>
      <c r="G337" t="s">
        <v>78</v>
      </c>
      <c r="H337" t="s">
        <v>117</v>
      </c>
      <c r="I337" s="23" t="s">
        <v>6</v>
      </c>
      <c r="J337" s="23"/>
      <c r="K337" s="23"/>
      <c r="L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</row>
    <row r="338" spans="1:100" x14ac:dyDescent="0.25">
      <c r="A338" t="s">
        <v>112</v>
      </c>
      <c r="B338" t="s">
        <v>47</v>
      </c>
      <c r="C338">
        <v>87.991014546950097</v>
      </c>
      <c r="D338">
        <v>1.2299634465462623</v>
      </c>
      <c r="E338">
        <v>108.22573151726905</v>
      </c>
      <c r="F338">
        <v>20</v>
      </c>
      <c r="G338" t="s">
        <v>79</v>
      </c>
      <c r="H338" t="s">
        <v>117</v>
      </c>
      <c r="I338" t="s">
        <v>71</v>
      </c>
    </row>
    <row r="339" spans="1:100" x14ac:dyDescent="0.25">
      <c r="A339" t="s">
        <v>112</v>
      </c>
      <c r="B339" t="s">
        <v>51</v>
      </c>
      <c r="C339">
        <v>900.95147503507599</v>
      </c>
      <c r="D339">
        <v>2.2072153536469843</v>
      </c>
      <c r="E339">
        <v>1988.5939285883173</v>
      </c>
      <c r="F339">
        <v>20</v>
      </c>
      <c r="G339" t="s">
        <v>79</v>
      </c>
      <c r="H339" t="s">
        <v>117</v>
      </c>
      <c r="I339" t="s">
        <v>73</v>
      </c>
    </row>
    <row r="340" spans="1:100" x14ac:dyDescent="0.25">
      <c r="A340" t="s">
        <v>112</v>
      </c>
      <c r="B340" t="s">
        <v>125</v>
      </c>
      <c r="C340">
        <v>15.302785138599999</v>
      </c>
      <c r="D340">
        <v>1.2015424820699065</v>
      </c>
      <c r="E340">
        <v>18.386946438015922</v>
      </c>
      <c r="F340">
        <v>20</v>
      </c>
      <c r="G340" t="s">
        <v>79</v>
      </c>
      <c r="H340" t="s">
        <v>117</v>
      </c>
      <c r="I340" t="s">
        <v>74</v>
      </c>
    </row>
    <row r="341" spans="1:100" x14ac:dyDescent="0.25">
      <c r="A341" t="s">
        <v>112</v>
      </c>
      <c r="B341" t="s">
        <v>55</v>
      </c>
      <c r="C341">
        <v>235.280321505975</v>
      </c>
      <c r="D341">
        <v>2.1257708599779752</v>
      </c>
      <c r="E341">
        <v>500.15205138365098</v>
      </c>
      <c r="F341">
        <v>20</v>
      </c>
      <c r="G341" t="s">
        <v>79</v>
      </c>
      <c r="H341" t="s">
        <v>117</v>
      </c>
      <c r="I341" t="s">
        <v>75</v>
      </c>
    </row>
    <row r="342" spans="1:100" x14ac:dyDescent="0.25">
      <c r="A342" t="s">
        <v>112</v>
      </c>
      <c r="B342" t="s">
        <v>56</v>
      </c>
      <c r="C342">
        <v>573.85444269749996</v>
      </c>
      <c r="D342">
        <v>4.4232751351640598</v>
      </c>
      <c r="E342">
        <v>2538.3160875872804</v>
      </c>
      <c r="F342">
        <v>20</v>
      </c>
      <c r="G342" t="s">
        <v>79</v>
      </c>
      <c r="H342" t="s">
        <v>117</v>
      </c>
      <c r="I342" t="s">
        <v>73</v>
      </c>
    </row>
    <row r="343" spans="1:100" x14ac:dyDescent="0.25">
      <c r="A343" t="s">
        <v>112</v>
      </c>
      <c r="B343" t="s">
        <v>126</v>
      </c>
      <c r="C343">
        <v>1.9128481423249999</v>
      </c>
      <c r="D343">
        <v>7.7619248318104201</v>
      </c>
      <c r="E343">
        <v>14.847383495394849</v>
      </c>
      <c r="F343">
        <v>20</v>
      </c>
      <c r="G343" t="s">
        <v>79</v>
      </c>
      <c r="H343" t="s">
        <v>117</v>
      </c>
      <c r="I343" t="s">
        <v>75</v>
      </c>
    </row>
    <row r="344" spans="1:100" x14ac:dyDescent="0.25">
      <c r="A344" t="s">
        <v>112</v>
      </c>
      <c r="B344" t="s">
        <v>59</v>
      </c>
      <c r="C344">
        <v>19.128481423250001</v>
      </c>
      <c r="D344">
        <v>5.8930197686707668</v>
      </c>
      <c r="E344">
        <v>112.72451917186378</v>
      </c>
      <c r="F344">
        <v>20</v>
      </c>
      <c r="G344" t="s">
        <v>79</v>
      </c>
      <c r="H344" t="s">
        <v>117</v>
      </c>
      <c r="I344" t="s">
        <v>75</v>
      </c>
    </row>
    <row r="345" spans="1:100" x14ac:dyDescent="0.25">
      <c r="A345" t="s">
        <v>112</v>
      </c>
      <c r="B345" t="s">
        <v>68</v>
      </c>
      <c r="C345">
        <v>17.215633280925001</v>
      </c>
      <c r="D345">
        <v>11.512760067777309</v>
      </c>
      <c r="E345">
        <v>198.1994553781314</v>
      </c>
      <c r="F345">
        <v>20</v>
      </c>
      <c r="G345" t="s">
        <v>79</v>
      </c>
      <c r="H345" t="s">
        <v>117</v>
      </c>
      <c r="I345" t="s">
        <v>75</v>
      </c>
    </row>
    <row r="346" spans="1:100" x14ac:dyDescent="0.25">
      <c r="A346" t="s">
        <v>112</v>
      </c>
      <c r="B346" t="s">
        <v>69</v>
      </c>
      <c r="C346">
        <v>1.63958412199286</v>
      </c>
      <c r="D346">
        <v>58.077979649400604</v>
      </c>
      <c r="E346">
        <v>95.223733270581675</v>
      </c>
      <c r="F346">
        <v>20</v>
      </c>
      <c r="G346" t="s">
        <v>79</v>
      </c>
      <c r="H346" t="s">
        <v>117</v>
      </c>
      <c r="I346" t="s">
        <v>83</v>
      </c>
    </row>
    <row r="347" spans="1:100" x14ac:dyDescent="0.25">
      <c r="A347" t="s">
        <v>112</v>
      </c>
      <c r="B347" t="s">
        <v>62</v>
      </c>
      <c r="C347">
        <v>11.477088853950001</v>
      </c>
      <c r="D347">
        <v>8.102365506309722</v>
      </c>
      <c r="E347">
        <v>92.99156884309626</v>
      </c>
      <c r="F347">
        <v>20</v>
      </c>
      <c r="G347" t="s">
        <v>79</v>
      </c>
      <c r="H347" t="s">
        <v>117</v>
      </c>
      <c r="I347" t="s">
        <v>75</v>
      </c>
    </row>
    <row r="348" spans="1:100" x14ac:dyDescent="0.25">
      <c r="A348" s="23" t="s">
        <v>112</v>
      </c>
      <c r="B348" s="23" t="s">
        <v>10</v>
      </c>
      <c r="C348" s="23">
        <v>510.73045400000001</v>
      </c>
      <c r="D348" s="23">
        <v>0.23637464</v>
      </c>
      <c r="E348" s="23">
        <v>120.72372799999999</v>
      </c>
      <c r="F348">
        <v>20</v>
      </c>
      <c r="G348" t="s">
        <v>79</v>
      </c>
      <c r="H348" t="s">
        <v>117</v>
      </c>
      <c r="I348" t="s">
        <v>11</v>
      </c>
      <c r="J348" s="23"/>
      <c r="K348" s="23"/>
      <c r="L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</row>
    <row r="349" spans="1:100" x14ac:dyDescent="0.25">
      <c r="A349" s="23" t="s">
        <v>112</v>
      </c>
      <c r="B349" s="23" t="s">
        <v>12</v>
      </c>
      <c r="C349" s="23">
        <v>682.88678700000003</v>
      </c>
      <c r="D349" s="23">
        <v>0.19100424999999999</v>
      </c>
      <c r="E349" s="23">
        <v>130.43427600000001</v>
      </c>
      <c r="F349">
        <v>20</v>
      </c>
      <c r="G349" t="s">
        <v>79</v>
      </c>
      <c r="H349" t="s">
        <v>117</v>
      </c>
      <c r="I349" t="s">
        <v>13</v>
      </c>
      <c r="J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</row>
    <row r="350" spans="1:100" x14ac:dyDescent="0.25">
      <c r="A350" s="23" t="s">
        <v>112</v>
      </c>
      <c r="B350" s="23" t="s">
        <v>8</v>
      </c>
      <c r="C350" s="23">
        <v>22.954177699999999</v>
      </c>
      <c r="D350" s="23">
        <v>2.9683439999999998E-2</v>
      </c>
      <c r="E350" s="23">
        <v>0.68135895999999996</v>
      </c>
      <c r="F350">
        <v>20</v>
      </c>
      <c r="G350" t="s">
        <v>79</v>
      </c>
      <c r="H350" t="s">
        <v>117</v>
      </c>
      <c r="I350" s="23" t="s">
        <v>6</v>
      </c>
      <c r="J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</row>
    <row r="351" spans="1:100" x14ac:dyDescent="0.25">
      <c r="A351" s="23" t="s">
        <v>112</v>
      </c>
      <c r="B351" s="23" t="s">
        <v>15</v>
      </c>
      <c r="C351" s="23">
        <v>2.8692722100000001</v>
      </c>
      <c r="D351" s="23">
        <v>1.29459E-2</v>
      </c>
      <c r="E351" s="23">
        <v>3.7145320000000003E-2</v>
      </c>
      <c r="F351">
        <v>20</v>
      </c>
      <c r="G351" t="s">
        <v>79</v>
      </c>
      <c r="H351" t="s">
        <v>117</v>
      </c>
      <c r="I351" s="23" t="s">
        <v>6</v>
      </c>
      <c r="J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</row>
    <row r="352" spans="1:100" x14ac:dyDescent="0.25">
      <c r="A352" s="23" t="s">
        <v>112</v>
      </c>
      <c r="B352" s="23" t="s">
        <v>16</v>
      </c>
      <c r="C352" s="23">
        <v>22.954177699999999</v>
      </c>
      <c r="D352" s="23">
        <v>3.9958700000000003E-3</v>
      </c>
      <c r="E352" s="23">
        <v>9.1721949999999997E-2</v>
      </c>
      <c r="F352">
        <v>20</v>
      </c>
      <c r="G352" t="s">
        <v>79</v>
      </c>
      <c r="H352" t="s">
        <v>117</v>
      </c>
      <c r="I352" s="23" t="s">
        <v>6</v>
      </c>
      <c r="J352" s="23"/>
      <c r="K352" s="23"/>
      <c r="L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</row>
    <row r="353" spans="1:100" x14ac:dyDescent="0.25">
      <c r="A353" s="23" t="s">
        <v>112</v>
      </c>
      <c r="B353" s="23" t="s">
        <v>127</v>
      </c>
      <c r="C353" s="23">
        <v>2.8692722100000001</v>
      </c>
      <c r="D353" s="23">
        <v>5.3129259999999998E-2</v>
      </c>
      <c r="E353" s="23">
        <v>0.15244231</v>
      </c>
      <c r="F353">
        <v>20</v>
      </c>
      <c r="G353" t="s">
        <v>79</v>
      </c>
      <c r="H353" t="s">
        <v>117</v>
      </c>
      <c r="I353" s="23" t="s">
        <v>6</v>
      </c>
      <c r="J353" s="23"/>
      <c r="K353" s="23"/>
      <c r="L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</row>
    <row r="354" spans="1:100" x14ac:dyDescent="0.25">
      <c r="A354" s="23" t="s">
        <v>112</v>
      </c>
      <c r="B354" s="23" t="s">
        <v>121</v>
      </c>
      <c r="C354" s="23">
        <v>2.8692722100000001</v>
      </c>
      <c r="D354" s="23">
        <v>9.2897299999999995E-3</v>
      </c>
      <c r="E354" s="23">
        <v>2.665476E-2</v>
      </c>
      <c r="F354">
        <v>20</v>
      </c>
      <c r="G354" t="s">
        <v>79</v>
      </c>
      <c r="H354" t="s">
        <v>117</v>
      </c>
      <c r="I354" s="23" t="s">
        <v>6</v>
      </c>
      <c r="J354" s="23"/>
      <c r="K354" s="23"/>
      <c r="L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</row>
    <row r="355" spans="1:100" x14ac:dyDescent="0.25">
      <c r="A355" s="23" t="s">
        <v>112</v>
      </c>
      <c r="B355" s="23" t="s">
        <v>22</v>
      </c>
      <c r="C355" s="23">
        <v>80.339622000000006</v>
      </c>
      <c r="D355" s="23">
        <v>6.9250530000000005E-2</v>
      </c>
      <c r="E355" s="23">
        <v>5.5635615700000001</v>
      </c>
      <c r="F355">
        <v>20</v>
      </c>
      <c r="G355" t="s">
        <v>79</v>
      </c>
      <c r="H355" t="s">
        <v>117</v>
      </c>
      <c r="I355" s="23" t="s">
        <v>6</v>
      </c>
      <c r="J355" s="23"/>
      <c r="K355" s="23"/>
      <c r="L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</row>
    <row r="356" spans="1:100" x14ac:dyDescent="0.25">
      <c r="A356" s="23" t="s">
        <v>112</v>
      </c>
      <c r="B356" s="23" t="s">
        <v>24</v>
      </c>
      <c r="C356" s="23">
        <v>855.04312000000004</v>
      </c>
      <c r="D356" s="23">
        <v>5.7970430000000003E-2</v>
      </c>
      <c r="E356" s="23">
        <v>49.567214700000001</v>
      </c>
      <c r="F356">
        <v>20</v>
      </c>
      <c r="G356" t="s">
        <v>79</v>
      </c>
      <c r="H356" t="s">
        <v>117</v>
      </c>
      <c r="I356" s="23" t="s">
        <v>6</v>
      </c>
      <c r="J356" s="23"/>
      <c r="K356" s="23"/>
      <c r="L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</row>
    <row r="357" spans="1:100" x14ac:dyDescent="0.25">
      <c r="A357" t="s">
        <v>113</v>
      </c>
      <c r="B357" t="s">
        <v>47</v>
      </c>
      <c r="C357">
        <v>24.9501931607609</v>
      </c>
      <c r="D357">
        <v>0.75259512176462295</v>
      </c>
      <c r="E357">
        <v>18.777393659873713</v>
      </c>
      <c r="F357">
        <v>20</v>
      </c>
      <c r="G357" t="s">
        <v>80</v>
      </c>
      <c r="H357" t="s">
        <v>117</v>
      </c>
      <c r="I357" t="s">
        <v>71</v>
      </c>
    </row>
    <row r="358" spans="1:100" x14ac:dyDescent="0.25">
      <c r="A358" t="s">
        <v>113</v>
      </c>
      <c r="B358" t="s">
        <v>51</v>
      </c>
      <c r="C358">
        <v>406.68814852040202</v>
      </c>
      <c r="D358">
        <v>1.5130544087470243</v>
      </c>
      <c r="E358">
        <v>615.34129610395894</v>
      </c>
      <c r="F358">
        <v>20</v>
      </c>
      <c r="G358" t="s">
        <v>80</v>
      </c>
      <c r="H358" t="s">
        <v>117</v>
      </c>
      <c r="I358" t="s">
        <v>73</v>
      </c>
    </row>
    <row r="359" spans="1:100" x14ac:dyDescent="0.25">
      <c r="A359" t="s">
        <v>113</v>
      </c>
      <c r="B359" t="s">
        <v>125</v>
      </c>
      <c r="C359">
        <v>0.83167310535869599</v>
      </c>
      <c r="D359">
        <v>0.85427110581990096</v>
      </c>
      <c r="E359">
        <v>0.71047430339544426</v>
      </c>
      <c r="F359">
        <v>20</v>
      </c>
      <c r="G359" t="s">
        <v>80</v>
      </c>
      <c r="H359" t="s">
        <v>117</v>
      </c>
      <c r="I359" t="s">
        <v>74</v>
      </c>
    </row>
    <row r="360" spans="1:100" x14ac:dyDescent="0.25">
      <c r="A360" t="s">
        <v>113</v>
      </c>
      <c r="B360" t="s">
        <v>55</v>
      </c>
      <c r="C360">
        <v>127.245985119881</v>
      </c>
      <c r="D360">
        <v>0.95772275277167351</v>
      </c>
      <c r="E360">
        <v>121.86637514815584</v>
      </c>
      <c r="F360">
        <v>20</v>
      </c>
      <c r="G360" t="s">
        <v>80</v>
      </c>
      <c r="H360" t="s">
        <v>117</v>
      </c>
      <c r="I360" t="s">
        <v>75</v>
      </c>
    </row>
    <row r="361" spans="1:100" x14ac:dyDescent="0.25">
      <c r="A361" t="s">
        <v>113</v>
      </c>
      <c r="B361" t="s">
        <v>56</v>
      </c>
      <c r="C361">
        <v>36.593616635782602</v>
      </c>
      <c r="D361">
        <v>3.1127263126330496</v>
      </c>
      <c r="E361">
        <v>113.905913376607</v>
      </c>
      <c r="F361">
        <v>20</v>
      </c>
      <c r="G361" t="s">
        <v>80</v>
      </c>
      <c r="H361" t="s">
        <v>117</v>
      </c>
      <c r="I361" t="s">
        <v>73</v>
      </c>
    </row>
    <row r="362" spans="1:100" x14ac:dyDescent="0.25">
      <c r="A362" t="s">
        <v>113</v>
      </c>
      <c r="B362" t="s">
        <v>59</v>
      </c>
      <c r="C362">
        <v>30.771904898271799</v>
      </c>
      <c r="D362">
        <v>5.9550152242830761</v>
      </c>
      <c r="E362">
        <v>183.24716214939951</v>
      </c>
      <c r="F362">
        <v>20</v>
      </c>
      <c r="G362" t="s">
        <v>80</v>
      </c>
      <c r="H362" t="s">
        <v>117</v>
      </c>
      <c r="I362" t="s">
        <v>75</v>
      </c>
    </row>
    <row r="363" spans="1:100" x14ac:dyDescent="0.25">
      <c r="A363" t="s">
        <v>113</v>
      </c>
      <c r="B363" t="s">
        <v>68</v>
      </c>
      <c r="C363">
        <v>87.325676062663106</v>
      </c>
      <c r="D363">
        <v>12.295670434199696</v>
      </c>
      <c r="E363">
        <v>1073.727733310187</v>
      </c>
      <c r="F363">
        <v>20</v>
      </c>
      <c r="G363" t="s">
        <v>80</v>
      </c>
      <c r="H363" t="s">
        <v>117</v>
      </c>
      <c r="I363" t="s">
        <v>75</v>
      </c>
    </row>
    <row r="364" spans="1:100" x14ac:dyDescent="0.25">
      <c r="A364" t="s">
        <v>113</v>
      </c>
      <c r="B364" t="s">
        <v>62</v>
      </c>
      <c r="C364">
        <v>2.4950193160760898</v>
      </c>
      <c r="D364">
        <v>11.178929732069117</v>
      </c>
      <c r="E364">
        <v>27.891645614569754</v>
      </c>
      <c r="F364">
        <v>20</v>
      </c>
      <c r="G364" t="s">
        <v>80</v>
      </c>
      <c r="H364" t="s">
        <v>117</v>
      </c>
      <c r="I364" t="s">
        <v>75</v>
      </c>
    </row>
    <row r="365" spans="1:100" x14ac:dyDescent="0.25">
      <c r="A365" s="23" t="s">
        <v>113</v>
      </c>
      <c r="B365" s="23" t="s">
        <v>10</v>
      </c>
      <c r="C365" s="23">
        <v>1770.83996</v>
      </c>
      <c r="D365" s="23">
        <v>0.36727401999999998</v>
      </c>
      <c r="E365" s="23">
        <v>650.383512</v>
      </c>
      <c r="F365">
        <v>20</v>
      </c>
      <c r="G365" t="s">
        <v>80</v>
      </c>
      <c r="H365" t="s">
        <v>117</v>
      </c>
      <c r="I365" t="s">
        <v>11</v>
      </c>
      <c r="J365" s="23"/>
      <c r="K365" s="23"/>
      <c r="L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</row>
    <row r="366" spans="1:100" x14ac:dyDescent="0.25">
      <c r="A366" s="23" t="s">
        <v>113</v>
      </c>
      <c r="B366" s="23" t="s">
        <v>12</v>
      </c>
      <c r="C366" s="23">
        <v>222.680474</v>
      </c>
      <c r="D366" s="23">
        <v>0.17318216</v>
      </c>
      <c r="E366" s="23">
        <v>38.564286299999999</v>
      </c>
      <c r="F366">
        <v>20</v>
      </c>
      <c r="G366" t="s">
        <v>80</v>
      </c>
      <c r="H366" t="s">
        <v>117</v>
      </c>
      <c r="I366" t="s">
        <v>13</v>
      </c>
      <c r="J366" s="23"/>
      <c r="K366" s="23"/>
      <c r="L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</row>
    <row r="367" spans="1:100" x14ac:dyDescent="0.25">
      <c r="A367" s="23" t="s">
        <v>113</v>
      </c>
      <c r="B367" s="23" t="s">
        <v>8</v>
      </c>
      <c r="C367" s="23">
        <v>31.811496300000002</v>
      </c>
      <c r="D367" s="23">
        <v>2.277552E-2</v>
      </c>
      <c r="E367" s="23">
        <v>0.72452337</v>
      </c>
      <c r="F367">
        <v>20</v>
      </c>
      <c r="G367" t="s">
        <v>80</v>
      </c>
      <c r="H367" t="s">
        <v>117</v>
      </c>
      <c r="I367" s="23" t="s">
        <v>6</v>
      </c>
      <c r="J367" s="23"/>
      <c r="K367" s="23"/>
      <c r="L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</row>
    <row r="368" spans="1:100" x14ac:dyDescent="0.25">
      <c r="A368" s="23" t="s">
        <v>113</v>
      </c>
      <c r="B368" s="23" t="s">
        <v>15</v>
      </c>
      <c r="C368" s="23">
        <v>31.811496300000002</v>
      </c>
      <c r="D368" s="23">
        <v>8.0136600000000006E-3</v>
      </c>
      <c r="E368" s="23">
        <v>0.2549265</v>
      </c>
      <c r="F368">
        <v>20</v>
      </c>
      <c r="G368" t="s">
        <v>80</v>
      </c>
      <c r="H368" t="s">
        <v>117</v>
      </c>
      <c r="I368" s="23" t="s">
        <v>6</v>
      </c>
      <c r="J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</row>
    <row r="369" spans="1:100" x14ac:dyDescent="0.25">
      <c r="A369" s="23" t="s">
        <v>113</v>
      </c>
      <c r="B369" s="23" t="s">
        <v>16</v>
      </c>
      <c r="C369" s="23">
        <v>10.6038321</v>
      </c>
      <c r="D369" s="23">
        <v>2.1723900000000002E-3</v>
      </c>
      <c r="E369" s="23">
        <v>2.3035610000000002E-2</v>
      </c>
      <c r="F369">
        <v>20</v>
      </c>
      <c r="G369" t="s">
        <v>80</v>
      </c>
      <c r="H369" t="s">
        <v>117</v>
      </c>
      <c r="I369" s="23" t="s">
        <v>6</v>
      </c>
      <c r="J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</row>
    <row r="370" spans="1:100" x14ac:dyDescent="0.25">
      <c r="A370" s="23" t="s">
        <v>113</v>
      </c>
      <c r="B370" s="23" t="s">
        <v>18</v>
      </c>
      <c r="C370" s="23">
        <v>5.30191605</v>
      </c>
      <c r="D370" s="23">
        <v>1.8823799999999999E-3</v>
      </c>
      <c r="E370" s="23">
        <v>9.9802399999999996E-3</v>
      </c>
      <c r="F370">
        <v>20</v>
      </c>
      <c r="G370" t="s">
        <v>80</v>
      </c>
      <c r="H370" t="s">
        <v>117</v>
      </c>
      <c r="I370" s="23" t="s">
        <v>6</v>
      </c>
      <c r="J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</row>
    <row r="371" spans="1:100" x14ac:dyDescent="0.25">
      <c r="A371" s="23" t="s">
        <v>113</v>
      </c>
      <c r="B371" s="23" t="s">
        <v>122</v>
      </c>
      <c r="C371" s="23">
        <v>5.30191605</v>
      </c>
      <c r="D371" s="23">
        <v>0.10188483</v>
      </c>
      <c r="E371" s="23">
        <v>0.54018480999999996</v>
      </c>
      <c r="F371">
        <v>20</v>
      </c>
      <c r="G371" t="s">
        <v>80</v>
      </c>
      <c r="H371" t="s">
        <v>117</v>
      </c>
      <c r="I371" s="23" t="s">
        <v>6</v>
      </c>
      <c r="J371" s="23"/>
      <c r="K371" s="23"/>
      <c r="L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</row>
    <row r="372" spans="1:100" x14ac:dyDescent="0.25">
      <c r="A372" s="23" t="s">
        <v>113</v>
      </c>
      <c r="B372" s="23" t="s">
        <v>22</v>
      </c>
      <c r="C372" s="23">
        <v>47.717244399999998</v>
      </c>
      <c r="D372" s="23">
        <v>8.9926179999999994E-2</v>
      </c>
      <c r="E372" s="23">
        <v>4.29102943</v>
      </c>
      <c r="F372">
        <v>20</v>
      </c>
      <c r="G372" t="s">
        <v>80</v>
      </c>
      <c r="H372" t="s">
        <v>117</v>
      </c>
      <c r="I372" s="23" t="s">
        <v>6</v>
      </c>
      <c r="J372" s="23"/>
      <c r="K372" s="23"/>
      <c r="L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</row>
    <row r="373" spans="1:100" x14ac:dyDescent="0.25">
      <c r="A373" s="23" t="s">
        <v>113</v>
      </c>
      <c r="B373" s="23" t="s">
        <v>24</v>
      </c>
      <c r="C373" s="23">
        <v>445.36094800000001</v>
      </c>
      <c r="D373" s="23">
        <v>8.2979549999999999E-2</v>
      </c>
      <c r="E373" s="23">
        <v>36.955849700000002</v>
      </c>
      <c r="F373">
        <v>20</v>
      </c>
      <c r="G373" t="s">
        <v>80</v>
      </c>
      <c r="H373" t="s">
        <v>117</v>
      </c>
      <c r="I373" s="23" t="s">
        <v>6</v>
      </c>
      <c r="J373" s="23"/>
      <c r="K373" s="23"/>
      <c r="L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</row>
    <row r="374" spans="1:100" x14ac:dyDescent="0.25">
      <c r="A374" t="s">
        <v>114</v>
      </c>
      <c r="B374" t="s">
        <v>47</v>
      </c>
      <c r="C374">
        <v>16.210577477330499</v>
      </c>
      <c r="D374">
        <v>1.2287662019428907</v>
      </c>
      <c r="E374">
        <v>19.919009718120364</v>
      </c>
      <c r="F374">
        <v>20</v>
      </c>
      <c r="G374" t="s">
        <v>115</v>
      </c>
      <c r="H374" t="s">
        <v>117</v>
      </c>
      <c r="I374" t="s">
        <v>71</v>
      </c>
    </row>
    <row r="375" spans="1:100" x14ac:dyDescent="0.25">
      <c r="A375" t="s">
        <v>114</v>
      </c>
      <c r="B375" t="s">
        <v>51</v>
      </c>
      <c r="C375">
        <v>641.93886810228798</v>
      </c>
      <c r="D375">
        <v>1.3370180679720103</v>
      </c>
      <c r="E375">
        <v>858.28386518626019</v>
      </c>
      <c r="F375">
        <v>20</v>
      </c>
      <c r="G375" t="s">
        <v>115</v>
      </c>
      <c r="H375" t="s">
        <v>117</v>
      </c>
      <c r="I375" t="s">
        <v>73</v>
      </c>
    </row>
    <row r="376" spans="1:100" x14ac:dyDescent="0.25">
      <c r="A376" t="s">
        <v>114</v>
      </c>
      <c r="B376" t="s">
        <v>125</v>
      </c>
      <c r="C376">
        <v>6.4842309909322102</v>
      </c>
      <c r="D376">
        <v>0.826581552998639</v>
      </c>
      <c r="E376">
        <v>5.3597457224866503</v>
      </c>
      <c r="F376">
        <v>20</v>
      </c>
      <c r="G376" t="s">
        <v>115</v>
      </c>
      <c r="H376" t="s">
        <v>117</v>
      </c>
      <c r="I376" t="s">
        <v>74</v>
      </c>
    </row>
    <row r="377" spans="1:100" x14ac:dyDescent="0.25">
      <c r="A377" t="s">
        <v>114</v>
      </c>
      <c r="B377" t="s">
        <v>55</v>
      </c>
      <c r="C377">
        <v>248.02183540315701</v>
      </c>
      <c r="D377">
        <v>1.2650259759254825</v>
      </c>
      <c r="E377">
        <v>313.75406438170808</v>
      </c>
      <c r="F377">
        <v>20</v>
      </c>
      <c r="G377" t="s">
        <v>115</v>
      </c>
      <c r="H377" t="s">
        <v>117</v>
      </c>
      <c r="I377" t="s">
        <v>75</v>
      </c>
    </row>
    <row r="378" spans="1:100" x14ac:dyDescent="0.25">
      <c r="A378" t="s">
        <v>114</v>
      </c>
      <c r="B378" t="s">
        <v>56</v>
      </c>
      <c r="C378">
        <v>45.3896169365254</v>
      </c>
      <c r="D378">
        <v>2.4092676352043005</v>
      </c>
      <c r="E378">
        <v>109.35573505949162</v>
      </c>
      <c r="F378">
        <v>20</v>
      </c>
      <c r="G378" t="s">
        <v>115</v>
      </c>
      <c r="H378" t="s">
        <v>117</v>
      </c>
      <c r="I378" t="s">
        <v>73</v>
      </c>
    </row>
    <row r="379" spans="1:100" x14ac:dyDescent="0.25">
      <c r="A379" t="s">
        <v>114</v>
      </c>
      <c r="B379" t="s">
        <v>59</v>
      </c>
      <c r="C379">
        <v>3.2421154954660998</v>
      </c>
      <c r="D379">
        <v>4.3665955651485646</v>
      </c>
      <c r="E379">
        <v>14.157007144201712</v>
      </c>
      <c r="F379">
        <v>20</v>
      </c>
      <c r="G379" t="s">
        <v>115</v>
      </c>
      <c r="H379" t="s">
        <v>117</v>
      </c>
      <c r="I379" t="s">
        <v>75</v>
      </c>
    </row>
    <row r="380" spans="1:100" x14ac:dyDescent="0.25">
      <c r="A380" t="s">
        <v>114</v>
      </c>
      <c r="B380" t="s">
        <v>68</v>
      </c>
      <c r="C380">
        <v>100.505580359449</v>
      </c>
      <c r="D380">
        <v>6.8281793219043676</v>
      </c>
      <c r="E380">
        <v>686.27012554638736</v>
      </c>
      <c r="F380">
        <v>20</v>
      </c>
      <c r="G380" t="s">
        <v>115</v>
      </c>
      <c r="H380" t="s">
        <v>117</v>
      </c>
      <c r="I380" t="s">
        <v>75</v>
      </c>
    </row>
    <row r="381" spans="1:100" x14ac:dyDescent="0.25">
      <c r="A381" s="23" t="s">
        <v>114</v>
      </c>
      <c r="B381" s="23" t="s">
        <v>10</v>
      </c>
      <c r="C381" s="23">
        <v>782.36299499999996</v>
      </c>
      <c r="D381" s="23">
        <v>0.29499523</v>
      </c>
      <c r="E381" s="23">
        <v>230.79335</v>
      </c>
      <c r="F381">
        <v>20</v>
      </c>
      <c r="G381" t="s">
        <v>115</v>
      </c>
      <c r="H381" t="s">
        <v>117</v>
      </c>
      <c r="I381" t="s">
        <v>11</v>
      </c>
      <c r="J381" s="23"/>
      <c r="K381" s="23"/>
      <c r="L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</row>
    <row r="382" spans="1:100" x14ac:dyDescent="0.25">
      <c r="A382" s="23" t="s">
        <v>114</v>
      </c>
      <c r="B382" s="23" t="s">
        <v>12</v>
      </c>
      <c r="C382" s="23">
        <v>592.69923900000003</v>
      </c>
      <c r="D382" s="23">
        <v>0.20240285999999999</v>
      </c>
      <c r="E382" s="23">
        <v>119.96401899999999</v>
      </c>
      <c r="F382">
        <v>20</v>
      </c>
      <c r="G382" t="s">
        <v>115</v>
      </c>
      <c r="H382" t="s">
        <v>117</v>
      </c>
      <c r="I382" t="s">
        <v>13</v>
      </c>
      <c r="J382" s="23"/>
      <c r="K382" s="23"/>
      <c r="L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</row>
    <row r="383" spans="1:100" x14ac:dyDescent="0.25">
      <c r="A383" s="23" t="s">
        <v>114</v>
      </c>
      <c r="B383" s="23" t="s">
        <v>8</v>
      </c>
      <c r="C383" s="23">
        <v>11.853984799999999</v>
      </c>
      <c r="D383" s="23">
        <v>4.3093220000000002E-2</v>
      </c>
      <c r="E383" s="23">
        <v>0.51082631000000001</v>
      </c>
      <c r="F383">
        <v>20</v>
      </c>
      <c r="G383" t="s">
        <v>115</v>
      </c>
      <c r="H383" t="s">
        <v>117</v>
      </c>
      <c r="I383" s="23" t="s">
        <v>6</v>
      </c>
      <c r="J383" s="23"/>
      <c r="K383" s="23"/>
      <c r="L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</row>
    <row r="384" spans="1:100" x14ac:dyDescent="0.25">
      <c r="A384" s="23" t="s">
        <v>114</v>
      </c>
      <c r="B384" s="23" t="s">
        <v>15</v>
      </c>
      <c r="C384" s="23">
        <v>8.8904885900000004</v>
      </c>
      <c r="D384" s="23">
        <v>9.5516300000000002E-3</v>
      </c>
      <c r="E384" s="23">
        <v>8.4918649999999998E-2</v>
      </c>
      <c r="F384">
        <v>20</v>
      </c>
      <c r="G384" t="s">
        <v>115</v>
      </c>
      <c r="H384" t="s">
        <v>117</v>
      </c>
      <c r="I384" s="23" t="s">
        <v>6</v>
      </c>
      <c r="J384" s="23"/>
      <c r="K384" s="23"/>
      <c r="L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</row>
    <row r="385" spans="1:100" x14ac:dyDescent="0.25">
      <c r="A385" s="23" t="s">
        <v>114</v>
      </c>
      <c r="B385" s="23" t="s">
        <v>16</v>
      </c>
      <c r="C385" s="23">
        <v>2.9634961999999998</v>
      </c>
      <c r="D385" s="23">
        <v>3.2860599999999999E-3</v>
      </c>
      <c r="E385" s="23">
        <v>9.7382400000000004E-3</v>
      </c>
      <c r="F385">
        <v>20</v>
      </c>
      <c r="G385" t="s">
        <v>115</v>
      </c>
      <c r="H385" t="s">
        <v>117</v>
      </c>
      <c r="I385" s="23" t="s">
        <v>6</v>
      </c>
      <c r="J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</row>
    <row r="386" spans="1:100" x14ac:dyDescent="0.25">
      <c r="A386" s="23" t="s">
        <v>114</v>
      </c>
      <c r="B386" s="23" t="s">
        <v>130</v>
      </c>
      <c r="C386" s="23">
        <v>8.8904885900000004</v>
      </c>
      <c r="D386" s="23">
        <v>5.2192599999999999E-2</v>
      </c>
      <c r="E386" s="23">
        <v>0.46401773000000002</v>
      </c>
      <c r="F386">
        <v>20</v>
      </c>
      <c r="G386" t="s">
        <v>115</v>
      </c>
      <c r="H386" t="s">
        <v>117</v>
      </c>
      <c r="I386" s="23" t="s">
        <v>6</v>
      </c>
      <c r="J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</row>
    <row r="387" spans="1:100" x14ac:dyDescent="0.25">
      <c r="A387" s="23" t="s">
        <v>114</v>
      </c>
      <c r="B387" s="23" t="s">
        <v>22</v>
      </c>
      <c r="C387" s="23">
        <v>2.9634961999999998</v>
      </c>
      <c r="D387" s="23">
        <v>0.13585707999999999</v>
      </c>
      <c r="E387" s="23">
        <v>0.40261193000000001</v>
      </c>
      <c r="F387">
        <v>20</v>
      </c>
      <c r="G387" t="s">
        <v>115</v>
      </c>
      <c r="H387" t="s">
        <v>117</v>
      </c>
      <c r="I387" s="23" t="s">
        <v>6</v>
      </c>
      <c r="J387" s="23"/>
      <c r="K387" s="23"/>
      <c r="L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</row>
    <row r="388" spans="1:100" x14ac:dyDescent="0.25">
      <c r="A388" s="23" t="s">
        <v>114</v>
      </c>
      <c r="B388" s="23" t="s">
        <v>24</v>
      </c>
      <c r="C388" s="23">
        <v>234.11619899999999</v>
      </c>
      <c r="D388" s="23">
        <v>7.318732E-2</v>
      </c>
      <c r="E388" s="23">
        <v>17.134336699999999</v>
      </c>
      <c r="F388">
        <v>20</v>
      </c>
      <c r="G388" t="s">
        <v>115</v>
      </c>
      <c r="H388" t="s">
        <v>117</v>
      </c>
      <c r="I388" s="23" t="s">
        <v>6</v>
      </c>
      <c r="J388" s="23"/>
      <c r="K388" s="23"/>
      <c r="L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</row>
    <row r="389" spans="1:100" x14ac:dyDescent="0.25">
      <c r="A389" t="s">
        <v>116</v>
      </c>
      <c r="B389" t="s">
        <v>47</v>
      </c>
      <c r="C389">
        <v>4.0698896645212796</v>
      </c>
      <c r="D389">
        <v>0.760677964305712</v>
      </c>
      <c r="E389">
        <v>3.0958753849569041</v>
      </c>
      <c r="F389">
        <v>20</v>
      </c>
      <c r="G389" t="s">
        <v>82</v>
      </c>
      <c r="H389" t="s">
        <v>117</v>
      </c>
      <c r="I389" t="s">
        <v>71</v>
      </c>
    </row>
    <row r="390" spans="1:100" x14ac:dyDescent="0.25">
      <c r="A390" t="s">
        <v>116</v>
      </c>
      <c r="B390" t="s">
        <v>51</v>
      </c>
      <c r="C390">
        <v>512.80609772968103</v>
      </c>
      <c r="D390">
        <v>1.632361300947474</v>
      </c>
      <c r="E390">
        <v>837.08482882381963</v>
      </c>
      <c r="F390">
        <v>20</v>
      </c>
      <c r="G390" t="s">
        <v>82</v>
      </c>
      <c r="H390" t="s">
        <v>117</v>
      </c>
      <c r="I390" t="s">
        <v>73</v>
      </c>
    </row>
    <row r="391" spans="1:100" x14ac:dyDescent="0.25">
      <c r="A391" t="s">
        <v>116</v>
      </c>
      <c r="B391" t="s">
        <v>125</v>
      </c>
      <c r="C391">
        <v>3.05241724839096</v>
      </c>
      <c r="D391">
        <v>0.83013130763029008</v>
      </c>
      <c r="E391">
        <v>2.5339071218400395</v>
      </c>
      <c r="F391">
        <v>20</v>
      </c>
      <c r="G391" t="s">
        <v>82</v>
      </c>
      <c r="H391" t="s">
        <v>117</v>
      </c>
      <c r="I391" t="s">
        <v>74</v>
      </c>
    </row>
    <row r="392" spans="1:100" x14ac:dyDescent="0.25">
      <c r="A392" t="s">
        <v>116</v>
      </c>
      <c r="B392" t="s">
        <v>55</v>
      </c>
      <c r="C392">
        <v>28.489227651648999</v>
      </c>
      <c r="D392">
        <v>2.1742969041226905</v>
      </c>
      <c r="E392">
        <v>61.94403948382697</v>
      </c>
      <c r="F392">
        <v>20</v>
      </c>
      <c r="G392" t="s">
        <v>82</v>
      </c>
      <c r="H392" t="s">
        <v>117</v>
      </c>
      <c r="I392" t="s">
        <v>75</v>
      </c>
    </row>
    <row r="393" spans="1:100" x14ac:dyDescent="0.25">
      <c r="A393" t="s">
        <v>116</v>
      </c>
      <c r="B393" t="s">
        <v>56</v>
      </c>
      <c r="C393">
        <v>219.774041884149</v>
      </c>
      <c r="D393">
        <v>3.0837349522371502</v>
      </c>
      <c r="E393">
        <v>677.72489455258165</v>
      </c>
      <c r="F393">
        <v>20</v>
      </c>
      <c r="G393" t="s">
        <v>82</v>
      </c>
      <c r="H393" t="s">
        <v>117</v>
      </c>
      <c r="I393" t="s">
        <v>73</v>
      </c>
    </row>
    <row r="394" spans="1:100" x14ac:dyDescent="0.25">
      <c r="A394" t="s">
        <v>116</v>
      </c>
      <c r="B394" t="s">
        <v>59</v>
      </c>
      <c r="C394">
        <v>106.834603693684</v>
      </c>
      <c r="D394">
        <v>5.383109430086586</v>
      </c>
      <c r="E394">
        <v>575.10236260303361</v>
      </c>
      <c r="F394">
        <v>20</v>
      </c>
      <c r="G394" t="s">
        <v>82</v>
      </c>
      <c r="H394" t="s">
        <v>117</v>
      </c>
      <c r="I394" t="s">
        <v>75</v>
      </c>
    </row>
    <row r="395" spans="1:100" x14ac:dyDescent="0.25">
      <c r="A395" t="s">
        <v>116</v>
      </c>
      <c r="B395" t="s">
        <v>68</v>
      </c>
      <c r="C395">
        <v>189.24986940023999</v>
      </c>
      <c r="D395">
        <v>11.409620861566777</v>
      </c>
      <c r="E395">
        <v>2159.2692579577661</v>
      </c>
      <c r="F395">
        <v>20</v>
      </c>
      <c r="G395" t="s">
        <v>82</v>
      </c>
      <c r="H395" t="s">
        <v>117</v>
      </c>
      <c r="I395" t="s">
        <v>75</v>
      </c>
    </row>
    <row r="396" spans="1:100" x14ac:dyDescent="0.25">
      <c r="A396" t="s">
        <v>116</v>
      </c>
      <c r="B396" t="s">
        <v>69</v>
      </c>
      <c r="C396">
        <v>20.349448322606399</v>
      </c>
      <c r="D396">
        <v>53.123760596666088</v>
      </c>
      <c r="E396">
        <v>1081.0392209643705</v>
      </c>
      <c r="F396">
        <v>20</v>
      </c>
      <c r="G396" t="s">
        <v>82</v>
      </c>
      <c r="H396" t="s">
        <v>117</v>
      </c>
      <c r="I396" t="s">
        <v>83</v>
      </c>
    </row>
    <row r="397" spans="1:100" x14ac:dyDescent="0.25">
      <c r="A397" t="s">
        <v>116</v>
      </c>
      <c r="B397" t="s">
        <v>62</v>
      </c>
      <c r="C397">
        <v>8.1397793290425593</v>
      </c>
      <c r="D397">
        <v>9.6399658273584521</v>
      </c>
      <c r="E397">
        <v>78.467194574208975</v>
      </c>
      <c r="F397">
        <v>20</v>
      </c>
      <c r="G397" t="s">
        <v>82</v>
      </c>
      <c r="H397" t="s">
        <v>117</v>
      </c>
      <c r="I397" t="s">
        <v>75</v>
      </c>
    </row>
    <row r="398" spans="1:100" x14ac:dyDescent="0.25">
      <c r="A398" s="23" t="s">
        <v>116</v>
      </c>
      <c r="B398" s="23" t="s">
        <v>10</v>
      </c>
      <c r="C398" s="23">
        <v>1964.2304999999999</v>
      </c>
      <c r="D398" s="23">
        <v>0.13924822000000001</v>
      </c>
      <c r="E398" s="23">
        <v>273.51559900000001</v>
      </c>
      <c r="F398">
        <v>20</v>
      </c>
      <c r="G398" t="s">
        <v>82</v>
      </c>
      <c r="H398" t="s">
        <v>117</v>
      </c>
      <c r="I398" t="s">
        <v>11</v>
      </c>
      <c r="J398" s="23"/>
      <c r="K398" s="23"/>
      <c r="L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</row>
    <row r="399" spans="1:100" x14ac:dyDescent="0.25">
      <c r="A399" s="23" t="s">
        <v>116</v>
      </c>
      <c r="B399" s="23" t="s">
        <v>12</v>
      </c>
      <c r="C399" s="23">
        <v>311.34655900000001</v>
      </c>
      <c r="D399" s="23">
        <v>0.14172645</v>
      </c>
      <c r="E399" s="23">
        <v>44.126041999999998</v>
      </c>
      <c r="F399">
        <v>20</v>
      </c>
      <c r="G399" t="s">
        <v>82</v>
      </c>
      <c r="H399" t="s">
        <v>117</v>
      </c>
      <c r="I399" t="s">
        <v>13</v>
      </c>
      <c r="J399" s="23"/>
      <c r="K399" s="23"/>
      <c r="L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</row>
    <row r="400" spans="1:100" x14ac:dyDescent="0.25">
      <c r="A400" s="23" t="s">
        <v>116</v>
      </c>
      <c r="B400" s="23" t="s">
        <v>8</v>
      </c>
      <c r="C400" s="23">
        <v>4.5786258699999998</v>
      </c>
      <c r="D400" s="23">
        <v>9.9246239999999999E-2</v>
      </c>
      <c r="E400" s="23">
        <v>0.45441140000000002</v>
      </c>
      <c r="F400">
        <v>20</v>
      </c>
      <c r="G400" t="s">
        <v>82</v>
      </c>
      <c r="H400" t="s">
        <v>117</v>
      </c>
      <c r="I400" s="23" t="s">
        <v>6</v>
      </c>
      <c r="J400" s="23"/>
      <c r="K400" s="23"/>
      <c r="L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</row>
    <row r="401" spans="1:100" x14ac:dyDescent="0.25">
      <c r="A401" s="23" t="s">
        <v>116</v>
      </c>
      <c r="B401" s="23" t="s">
        <v>9</v>
      </c>
      <c r="C401" s="23">
        <v>9.1572517500000004</v>
      </c>
      <c r="D401" s="23">
        <v>8.0799800000000005E-3</v>
      </c>
      <c r="E401" s="23">
        <v>7.3990420000000001E-2</v>
      </c>
      <c r="F401">
        <v>20</v>
      </c>
      <c r="G401" t="s">
        <v>82</v>
      </c>
      <c r="H401" t="s">
        <v>117</v>
      </c>
      <c r="I401" s="23" t="s">
        <v>6</v>
      </c>
      <c r="J401" s="23"/>
      <c r="K401" s="23"/>
      <c r="L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</row>
    <row r="402" spans="1:100" x14ac:dyDescent="0.25">
      <c r="A402" s="23" t="s">
        <v>116</v>
      </c>
      <c r="B402" s="23" t="s">
        <v>15</v>
      </c>
      <c r="C402" s="23">
        <v>18.314503500000001</v>
      </c>
      <c r="D402" s="23">
        <v>6.0700600000000004E-3</v>
      </c>
      <c r="E402" s="23">
        <v>0.11117009</v>
      </c>
      <c r="F402">
        <v>20</v>
      </c>
      <c r="G402" t="s">
        <v>82</v>
      </c>
      <c r="H402" t="s">
        <v>117</v>
      </c>
      <c r="I402" s="23" t="s">
        <v>6</v>
      </c>
      <c r="J402" s="23"/>
      <c r="K402" s="23"/>
      <c r="L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</row>
    <row r="403" spans="1:100" x14ac:dyDescent="0.25">
      <c r="A403" s="23" t="s">
        <v>116</v>
      </c>
      <c r="B403" s="23" t="s">
        <v>16</v>
      </c>
      <c r="C403" s="23">
        <v>13.7358776</v>
      </c>
      <c r="D403" s="23">
        <v>2.6419799999999999E-3</v>
      </c>
      <c r="E403" s="23">
        <v>3.62899E-2</v>
      </c>
      <c r="F403">
        <v>20</v>
      </c>
      <c r="G403" t="s">
        <v>82</v>
      </c>
      <c r="H403" t="s">
        <v>117</v>
      </c>
      <c r="I403" s="23" t="s">
        <v>6</v>
      </c>
      <c r="J403" s="23"/>
      <c r="K403" s="23"/>
      <c r="L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</row>
    <row r="404" spans="1:100" x14ac:dyDescent="0.25">
      <c r="A404" s="23" t="s">
        <v>116</v>
      </c>
      <c r="B404" s="23" t="s">
        <v>18</v>
      </c>
      <c r="C404" s="23">
        <v>4.5786258699999998</v>
      </c>
      <c r="D404" s="23">
        <v>2.8857900000000001E-3</v>
      </c>
      <c r="E404" s="23">
        <v>1.3212969999999999E-2</v>
      </c>
      <c r="F404">
        <v>20</v>
      </c>
      <c r="G404" t="s">
        <v>82</v>
      </c>
      <c r="H404" t="s">
        <v>117</v>
      </c>
      <c r="I404" s="23" t="s">
        <v>6</v>
      </c>
      <c r="J404" s="23"/>
      <c r="K404" s="23"/>
      <c r="L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</row>
    <row r="405" spans="1:100" x14ac:dyDescent="0.25">
      <c r="A405" s="23" t="s">
        <v>116</v>
      </c>
      <c r="B405" s="23" t="s">
        <v>22</v>
      </c>
      <c r="C405" s="23">
        <v>4.5786258699999998</v>
      </c>
      <c r="D405" s="23">
        <v>5.060539E-2</v>
      </c>
      <c r="E405" s="23">
        <v>0.23170313000000001</v>
      </c>
      <c r="F405">
        <v>20</v>
      </c>
      <c r="G405" t="s">
        <v>82</v>
      </c>
      <c r="H405" t="s">
        <v>117</v>
      </c>
      <c r="I405" s="23" t="s">
        <v>6</v>
      </c>
      <c r="J405" s="23"/>
      <c r="K405" s="23"/>
      <c r="L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</row>
    <row r="406" spans="1:100" x14ac:dyDescent="0.25">
      <c r="A406" s="23" t="s">
        <v>116</v>
      </c>
      <c r="B406" s="23" t="s">
        <v>24</v>
      </c>
      <c r="C406" s="23">
        <v>302.18930799999998</v>
      </c>
      <c r="D406" s="23">
        <v>3.829246E-2</v>
      </c>
      <c r="E406" s="23">
        <v>11.5715729</v>
      </c>
      <c r="F406">
        <v>20</v>
      </c>
      <c r="G406" t="s">
        <v>82</v>
      </c>
      <c r="H406" t="s">
        <v>117</v>
      </c>
      <c r="I406" s="23" t="s">
        <v>6</v>
      </c>
      <c r="J406" s="23"/>
      <c r="K406" s="23"/>
      <c r="L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22C4-5994-2646-A2C8-32A85D3FEF37}">
  <dimension ref="A1:AB29"/>
  <sheetViews>
    <sheetView tabSelected="1" workbookViewId="0">
      <selection activeCell="G20" sqref="G20"/>
    </sheetView>
  </sheetViews>
  <sheetFormatPr defaultColWidth="10.875" defaultRowHeight="15.75" x14ac:dyDescent="0.25"/>
  <cols>
    <col min="1" max="16384" width="10.875" style="13"/>
  </cols>
  <sheetData>
    <row r="1" spans="1:28" x14ac:dyDescent="0.25">
      <c r="A1" s="13" t="s">
        <v>41</v>
      </c>
      <c r="B1" s="13" t="s">
        <v>45</v>
      </c>
      <c r="C1" s="13" t="s">
        <v>105</v>
      </c>
      <c r="D1" s="13" t="s">
        <v>44</v>
      </c>
      <c r="E1" s="13" t="s">
        <v>93</v>
      </c>
      <c r="F1" s="13" t="s">
        <v>94</v>
      </c>
      <c r="G1" s="13" t="s">
        <v>42</v>
      </c>
      <c r="H1" s="13" t="s">
        <v>95</v>
      </c>
      <c r="I1" s="13" t="s">
        <v>90</v>
      </c>
      <c r="J1" s="13" t="s">
        <v>91</v>
      </c>
      <c r="K1" s="13" t="s">
        <v>92</v>
      </c>
      <c r="L1" s="13" t="s">
        <v>104</v>
      </c>
      <c r="M1" s="13" t="s">
        <v>96</v>
      </c>
      <c r="N1" s="13" t="s">
        <v>97</v>
      </c>
      <c r="O1" s="13" t="s">
        <v>98</v>
      </c>
      <c r="P1" s="13" t="s">
        <v>101</v>
      </c>
      <c r="Q1" s="13" t="s">
        <v>102</v>
      </c>
      <c r="R1" s="13" t="s">
        <v>103</v>
      </c>
    </row>
    <row r="2" spans="1:28" x14ac:dyDescent="0.25">
      <c r="A2" s="14" t="s">
        <v>4</v>
      </c>
      <c r="B2" s="13" t="s">
        <v>70</v>
      </c>
      <c r="C2" s="13" t="s">
        <v>107</v>
      </c>
      <c r="D2" s="13">
        <v>20</v>
      </c>
      <c r="E2" s="13">
        <v>85</v>
      </c>
      <c r="F2" s="13">
        <v>0.14299999999999999</v>
      </c>
      <c r="G2" s="15">
        <f>E2*F2*PI()*(0.25)^2</f>
        <v>2.3866286690239957</v>
      </c>
      <c r="H2" s="15">
        <v>0.60775000000000001</v>
      </c>
      <c r="I2" s="13">
        <v>8</v>
      </c>
      <c r="J2" s="13">
        <v>85</v>
      </c>
      <c r="K2" s="13">
        <v>2</v>
      </c>
      <c r="L2" s="13">
        <f>I2*J2/K2</f>
        <v>340</v>
      </c>
      <c r="M2" s="16">
        <v>45153</v>
      </c>
      <c r="N2" s="17">
        <v>0.72291666666666665</v>
      </c>
      <c r="O2" s="13" t="s">
        <v>99</v>
      </c>
      <c r="P2" s="13">
        <v>51.5</v>
      </c>
      <c r="Q2" s="13">
        <v>43.77256666666667</v>
      </c>
      <c r="R2" s="13">
        <v>-77.441699999999997</v>
      </c>
    </row>
    <row r="3" spans="1:28" x14ac:dyDescent="0.25">
      <c r="A3" s="14" t="s">
        <v>27</v>
      </c>
      <c r="B3" s="13" t="s">
        <v>76</v>
      </c>
      <c r="C3" s="13" t="s">
        <v>107</v>
      </c>
      <c r="D3" s="13">
        <v>20</v>
      </c>
      <c r="E3" s="13">
        <v>109</v>
      </c>
      <c r="F3" s="13">
        <v>0.14299999999999999</v>
      </c>
      <c r="G3" s="15">
        <f t="shared" ref="G3:G9" si="0">E3*F3*PI()*(0.25)^2</f>
        <v>3.0605002932190062</v>
      </c>
      <c r="H3" s="15">
        <v>0.77934999999999988</v>
      </c>
      <c r="I3" s="13">
        <v>32</v>
      </c>
      <c r="J3" s="13">
        <v>98.5</v>
      </c>
      <c r="K3" s="13">
        <v>2</v>
      </c>
      <c r="L3" s="13">
        <f t="shared" ref="L3:L9" si="1">I3*J3/K3</f>
        <v>1576</v>
      </c>
      <c r="M3" s="16">
        <v>45153</v>
      </c>
      <c r="N3" s="17">
        <v>0.56666666666666665</v>
      </c>
      <c r="O3" s="13" t="s">
        <v>99</v>
      </c>
      <c r="P3" s="13">
        <v>198</v>
      </c>
      <c r="Q3" s="13">
        <v>43.440100000000001</v>
      </c>
      <c r="R3" s="13">
        <v>-77.439800000000005</v>
      </c>
    </row>
    <row r="4" spans="1:28" x14ac:dyDescent="0.25">
      <c r="A4" s="14" t="s">
        <v>30</v>
      </c>
      <c r="B4" s="13" t="s">
        <v>77</v>
      </c>
      <c r="C4" s="13" t="s">
        <v>107</v>
      </c>
      <c r="D4" s="13">
        <v>20</v>
      </c>
      <c r="E4" s="13">
        <v>80</v>
      </c>
      <c r="F4" s="13">
        <v>0.14299999999999999</v>
      </c>
      <c r="G4" s="15">
        <f t="shared" si="0"/>
        <v>2.2462387473167018</v>
      </c>
      <c r="H4" s="15">
        <v>0.57199999999999995</v>
      </c>
      <c r="I4" s="13">
        <v>32</v>
      </c>
      <c r="J4" s="13">
        <v>53.5</v>
      </c>
      <c r="K4" s="13">
        <v>2</v>
      </c>
      <c r="L4" s="13">
        <f t="shared" si="1"/>
        <v>856</v>
      </c>
      <c r="M4" s="16">
        <v>45153</v>
      </c>
      <c r="N4" s="17">
        <v>0.81666666666666665</v>
      </c>
      <c r="O4" s="13" t="s">
        <v>99</v>
      </c>
      <c r="P4" s="18">
        <v>150</v>
      </c>
      <c r="Q4" s="13">
        <v>43.580416666666665</v>
      </c>
      <c r="R4" s="13">
        <v>-77.199866666666665</v>
      </c>
    </row>
    <row r="5" spans="1:28" x14ac:dyDescent="0.25">
      <c r="A5" s="14" t="s">
        <v>32</v>
      </c>
      <c r="B5" s="13" t="s">
        <v>78</v>
      </c>
      <c r="C5" s="13" t="s">
        <v>107</v>
      </c>
      <c r="D5" s="13">
        <v>20</v>
      </c>
      <c r="E5" s="13">
        <v>73</v>
      </c>
      <c r="F5" s="13">
        <v>0.14299999999999999</v>
      </c>
      <c r="G5" s="15">
        <f t="shared" si="0"/>
        <v>2.0496928569264905</v>
      </c>
      <c r="H5" s="15">
        <v>0.52194999999999991</v>
      </c>
      <c r="I5" s="13">
        <v>32</v>
      </c>
      <c r="J5" s="13">
        <v>95</v>
      </c>
      <c r="K5" s="13">
        <v>2</v>
      </c>
      <c r="L5" s="13">
        <f t="shared" si="1"/>
        <v>1520</v>
      </c>
      <c r="M5" s="16">
        <v>45153</v>
      </c>
      <c r="N5" s="17">
        <v>0.99722222222222223</v>
      </c>
      <c r="O5" s="13" t="s">
        <v>100</v>
      </c>
      <c r="P5" s="13">
        <v>88</v>
      </c>
      <c r="Q5" s="13">
        <v>43.731549999999999</v>
      </c>
      <c r="R5" s="13">
        <v>-77.017183333333335</v>
      </c>
    </row>
    <row r="6" spans="1:28" x14ac:dyDescent="0.25">
      <c r="A6" s="14" t="s">
        <v>33</v>
      </c>
      <c r="B6" s="13" t="s">
        <v>79</v>
      </c>
      <c r="C6" s="13" t="s">
        <v>106</v>
      </c>
      <c r="D6" s="13">
        <v>20</v>
      </c>
      <c r="E6" s="13">
        <v>66</v>
      </c>
      <c r="F6" s="13">
        <v>0.14299999999999999</v>
      </c>
      <c r="G6" s="15">
        <f t="shared" si="0"/>
        <v>1.853146966536279</v>
      </c>
      <c r="H6" s="15">
        <v>0.47189999999999993</v>
      </c>
      <c r="I6" s="13">
        <v>32</v>
      </c>
      <c r="J6" s="13">
        <v>140</v>
      </c>
      <c r="K6" s="13">
        <v>2</v>
      </c>
      <c r="L6" s="13">
        <f t="shared" si="1"/>
        <v>2240</v>
      </c>
      <c r="M6" s="19">
        <v>45152</v>
      </c>
      <c r="N6" s="17">
        <v>0.33611111111111114</v>
      </c>
      <c r="O6" s="13" t="s">
        <v>100</v>
      </c>
      <c r="P6" s="18">
        <v>106.8</v>
      </c>
      <c r="Q6" s="13">
        <v>43.503983333333331</v>
      </c>
      <c r="R6" s="13">
        <v>-79.353449999999995</v>
      </c>
    </row>
    <row r="7" spans="1:28" x14ac:dyDescent="0.25">
      <c r="A7" s="14" t="s">
        <v>36</v>
      </c>
      <c r="B7" s="13" t="s">
        <v>80</v>
      </c>
      <c r="C7" s="13" t="s">
        <v>106</v>
      </c>
      <c r="D7" s="13">
        <v>20</v>
      </c>
      <c r="E7" s="13">
        <v>71</v>
      </c>
      <c r="F7" s="13">
        <v>0.14299999999999999</v>
      </c>
      <c r="G7" s="15">
        <f t="shared" si="0"/>
        <v>1.9935368882435729</v>
      </c>
      <c r="H7" s="15">
        <v>0.50764999999999993</v>
      </c>
      <c r="I7" s="13">
        <v>32</v>
      </c>
      <c r="J7" s="13">
        <v>207</v>
      </c>
      <c r="K7" s="13">
        <v>2</v>
      </c>
      <c r="L7" s="13">
        <f t="shared" si="1"/>
        <v>3312</v>
      </c>
      <c r="M7" s="19">
        <v>45152</v>
      </c>
      <c r="N7" s="17">
        <v>0.54513888888888884</v>
      </c>
      <c r="O7" s="13" t="s">
        <v>99</v>
      </c>
      <c r="P7" s="18">
        <v>137</v>
      </c>
      <c r="Q7" s="13">
        <v>43.516233333333332</v>
      </c>
      <c r="R7" s="13">
        <v>-79.080416666666665</v>
      </c>
    </row>
    <row r="8" spans="1:28" x14ac:dyDescent="0.25">
      <c r="A8" s="14" t="s">
        <v>38</v>
      </c>
      <c r="B8" s="13" t="s">
        <v>81</v>
      </c>
      <c r="C8" s="13" t="s">
        <v>106</v>
      </c>
      <c r="D8" s="13">
        <v>20</v>
      </c>
      <c r="E8" s="13">
        <v>65</v>
      </c>
      <c r="F8" s="13">
        <v>0.14299999999999999</v>
      </c>
      <c r="G8" s="15">
        <f t="shared" si="0"/>
        <v>1.8250689821948205</v>
      </c>
      <c r="H8" s="15">
        <v>0.46475</v>
      </c>
      <c r="I8" s="13">
        <v>32</v>
      </c>
      <c r="J8" s="13">
        <v>136</v>
      </c>
      <c r="K8" s="13">
        <v>2</v>
      </c>
      <c r="L8" s="13">
        <f t="shared" si="1"/>
        <v>2176</v>
      </c>
      <c r="M8" s="19">
        <v>45152</v>
      </c>
      <c r="N8" s="17">
        <v>0.84305555555555556</v>
      </c>
      <c r="O8" s="13" t="s">
        <v>99</v>
      </c>
      <c r="P8" s="18">
        <v>140.9</v>
      </c>
      <c r="Q8" s="13">
        <v>43.597116666666665</v>
      </c>
      <c r="R8" s="13">
        <v>-78.801050000000004</v>
      </c>
    </row>
    <row r="9" spans="1:28" x14ac:dyDescent="0.25">
      <c r="A9" s="14" t="s">
        <v>39</v>
      </c>
      <c r="B9" s="13" t="s">
        <v>82</v>
      </c>
      <c r="C9" s="13" t="s">
        <v>106</v>
      </c>
      <c r="D9" s="13">
        <v>20</v>
      </c>
      <c r="E9" s="13">
        <v>120</v>
      </c>
      <c r="F9" s="13">
        <v>0.14299999999999999</v>
      </c>
      <c r="G9" s="15">
        <f t="shared" si="0"/>
        <v>3.3693581209750532</v>
      </c>
      <c r="H9" s="15">
        <v>0.85799999999999998</v>
      </c>
      <c r="I9" s="13">
        <v>32</v>
      </c>
      <c r="J9" s="13">
        <v>56</v>
      </c>
      <c r="K9" s="13">
        <v>2</v>
      </c>
      <c r="L9" s="13">
        <f t="shared" si="1"/>
        <v>896</v>
      </c>
      <c r="M9" s="19">
        <v>45153</v>
      </c>
      <c r="N9" s="17">
        <v>0.21527777777777779</v>
      </c>
      <c r="O9" s="13" t="s">
        <v>100</v>
      </c>
      <c r="P9" s="18">
        <v>132.19999999999999</v>
      </c>
      <c r="Q9" s="13">
        <v>43.716700000000003</v>
      </c>
      <c r="R9" s="13">
        <v>-78.027450000000002</v>
      </c>
    </row>
    <row r="10" spans="1:28" x14ac:dyDescent="0.25">
      <c r="A10" t="s">
        <v>108</v>
      </c>
      <c r="B10" t="s">
        <v>70</v>
      </c>
      <c r="C10" s="13" t="s">
        <v>107</v>
      </c>
      <c r="D10">
        <v>20</v>
      </c>
      <c r="E10">
        <v>98</v>
      </c>
      <c r="F10">
        <v>0.14199999999999999</v>
      </c>
      <c r="G10" s="13" t="s">
        <v>117</v>
      </c>
      <c r="H10" s="13" t="s">
        <v>117</v>
      </c>
      <c r="I10">
        <v>1</v>
      </c>
      <c r="J10">
        <v>43</v>
      </c>
      <c r="K10" s="13" t="s">
        <v>117</v>
      </c>
      <c r="L10" s="13" t="s">
        <v>117</v>
      </c>
      <c r="M10" s="21">
        <v>45036</v>
      </c>
      <c r="N10" s="22">
        <v>0.33055555555555599</v>
      </c>
      <c r="O10" s="13" t="s">
        <v>100</v>
      </c>
      <c r="P10" s="13">
        <v>51.5</v>
      </c>
      <c r="Q10" s="13">
        <v>43.77256666666667</v>
      </c>
      <c r="R10" s="13">
        <v>-77.441699999999997</v>
      </c>
      <c r="U10"/>
      <c r="V10"/>
      <c r="W10"/>
      <c r="X10"/>
      <c r="AB10"/>
    </row>
    <row r="11" spans="1:28" x14ac:dyDescent="0.25">
      <c r="A11" t="s">
        <v>109</v>
      </c>
      <c r="B11" t="s">
        <v>76</v>
      </c>
      <c r="C11" s="13" t="s">
        <v>107</v>
      </c>
      <c r="D11">
        <v>20</v>
      </c>
      <c r="E11">
        <v>82</v>
      </c>
      <c r="F11">
        <v>0.14199999999999999</v>
      </c>
      <c r="G11" s="13" t="s">
        <v>117</v>
      </c>
      <c r="H11" s="13" t="s">
        <v>117</v>
      </c>
      <c r="I11">
        <v>1</v>
      </c>
      <c r="J11">
        <v>21.5</v>
      </c>
      <c r="K11" s="13" t="s">
        <v>117</v>
      </c>
      <c r="L11" s="13" t="s">
        <v>117</v>
      </c>
      <c r="M11" s="21">
        <v>45036</v>
      </c>
      <c r="N11" s="22">
        <v>0.875694444444444</v>
      </c>
      <c r="O11" s="13" t="s">
        <v>99</v>
      </c>
      <c r="P11" s="13">
        <v>198</v>
      </c>
      <c r="Q11" s="13">
        <v>43.440100000000001</v>
      </c>
      <c r="R11" s="13">
        <v>-77.439800000000005</v>
      </c>
      <c r="U11"/>
      <c r="V11"/>
      <c r="W11"/>
      <c r="X11"/>
      <c r="AB11"/>
    </row>
    <row r="12" spans="1:28" x14ac:dyDescent="0.25">
      <c r="A12" t="s">
        <v>110</v>
      </c>
      <c r="B12" t="s">
        <v>77</v>
      </c>
      <c r="C12" s="13" t="s">
        <v>107</v>
      </c>
      <c r="D12">
        <v>20</v>
      </c>
      <c r="E12">
        <v>118</v>
      </c>
      <c r="F12">
        <v>0.14199999999999999</v>
      </c>
      <c r="G12" s="13" t="s">
        <v>117</v>
      </c>
      <c r="H12" s="13" t="s">
        <v>117</v>
      </c>
      <c r="I12">
        <v>1</v>
      </c>
      <c r="J12">
        <v>20</v>
      </c>
      <c r="K12" s="13" t="s">
        <v>117</v>
      </c>
      <c r="L12" s="13" t="s">
        <v>117</v>
      </c>
      <c r="M12" s="21">
        <v>45036</v>
      </c>
      <c r="N12" s="22">
        <v>0.77430555555555602</v>
      </c>
      <c r="O12" s="13" t="s">
        <v>99</v>
      </c>
      <c r="P12" s="18">
        <v>150</v>
      </c>
      <c r="Q12" s="13">
        <v>43.580416666666665</v>
      </c>
      <c r="R12" s="13">
        <v>-77.199866666666665</v>
      </c>
      <c r="U12"/>
      <c r="V12"/>
      <c r="W12"/>
      <c r="X12"/>
      <c r="AB12"/>
    </row>
    <row r="13" spans="1:28" x14ac:dyDescent="0.25">
      <c r="A13" t="s">
        <v>111</v>
      </c>
      <c r="B13" t="s">
        <v>78</v>
      </c>
      <c r="C13" s="13" t="s">
        <v>107</v>
      </c>
      <c r="D13">
        <v>20</v>
      </c>
      <c r="E13">
        <v>94</v>
      </c>
      <c r="F13">
        <v>0.14199999999999999</v>
      </c>
      <c r="G13" s="13" t="s">
        <v>117</v>
      </c>
      <c r="H13" s="13" t="s">
        <v>117</v>
      </c>
      <c r="I13">
        <v>1</v>
      </c>
      <c r="J13">
        <v>32</v>
      </c>
      <c r="K13" s="13" t="s">
        <v>117</v>
      </c>
      <c r="L13" s="13" t="s">
        <v>117</v>
      </c>
      <c r="M13" s="21">
        <v>45036</v>
      </c>
      <c r="N13" s="22">
        <v>0.43541666666666701</v>
      </c>
      <c r="O13" s="13" t="s">
        <v>100</v>
      </c>
      <c r="P13" s="13">
        <v>88</v>
      </c>
      <c r="Q13" s="13">
        <v>43.731549999999999</v>
      </c>
      <c r="R13" s="13">
        <v>-77.017183333333335</v>
      </c>
      <c r="U13"/>
      <c r="V13"/>
      <c r="W13"/>
      <c r="X13"/>
      <c r="AB13"/>
    </row>
    <row r="14" spans="1:28" x14ac:dyDescent="0.25">
      <c r="A14" t="s">
        <v>112</v>
      </c>
      <c r="B14" t="s">
        <v>79</v>
      </c>
      <c r="C14" s="13" t="s">
        <v>106</v>
      </c>
      <c r="D14">
        <v>20</v>
      </c>
      <c r="E14">
        <v>100</v>
      </c>
      <c r="F14">
        <v>0.14199999999999999</v>
      </c>
      <c r="G14" s="13" t="s">
        <v>117</v>
      </c>
      <c r="H14" s="13" t="s">
        <v>117</v>
      </c>
      <c r="I14">
        <v>1</v>
      </c>
      <c r="J14">
        <v>32</v>
      </c>
      <c r="K14" s="13" t="s">
        <v>117</v>
      </c>
      <c r="L14" s="13" t="s">
        <v>117</v>
      </c>
      <c r="M14" s="21">
        <v>45033</v>
      </c>
      <c r="N14" s="22">
        <v>0.45694444444444399</v>
      </c>
      <c r="O14" s="13" t="s">
        <v>99</v>
      </c>
      <c r="P14" s="18">
        <v>106.8</v>
      </c>
      <c r="Q14" s="13">
        <v>43.503983333333331</v>
      </c>
      <c r="R14" s="13">
        <v>-79.353449999999995</v>
      </c>
      <c r="U14"/>
      <c r="V14"/>
      <c r="W14"/>
      <c r="X14"/>
      <c r="AB14"/>
    </row>
    <row r="15" spans="1:28" x14ac:dyDescent="0.25">
      <c r="A15" t="s">
        <v>113</v>
      </c>
      <c r="B15" t="s">
        <v>80</v>
      </c>
      <c r="C15" s="13" t="s">
        <v>106</v>
      </c>
      <c r="D15">
        <v>20</v>
      </c>
      <c r="E15">
        <v>115</v>
      </c>
      <c r="F15">
        <v>0.14199999999999999</v>
      </c>
      <c r="G15" s="13" t="s">
        <v>117</v>
      </c>
      <c r="H15" s="13" t="s">
        <v>117</v>
      </c>
      <c r="I15">
        <v>1</v>
      </c>
      <c r="J15">
        <v>34</v>
      </c>
      <c r="K15" s="13" t="s">
        <v>117</v>
      </c>
      <c r="L15" s="13" t="s">
        <v>117</v>
      </c>
      <c r="M15" s="21">
        <v>45033</v>
      </c>
      <c r="N15" s="22">
        <v>0.58125000000000004</v>
      </c>
      <c r="O15" s="13" t="s">
        <v>99</v>
      </c>
      <c r="P15" s="18">
        <v>137</v>
      </c>
      <c r="Q15" s="13">
        <v>43.516233333333332</v>
      </c>
      <c r="R15" s="13">
        <v>-79.080416666666665</v>
      </c>
      <c r="U15"/>
      <c r="V15"/>
      <c r="W15"/>
      <c r="X15"/>
      <c r="AB15"/>
    </row>
    <row r="16" spans="1:28" x14ac:dyDescent="0.25">
      <c r="A16" t="s">
        <v>114</v>
      </c>
      <c r="B16" t="s">
        <v>115</v>
      </c>
      <c r="C16" s="13" t="s">
        <v>106</v>
      </c>
      <c r="D16">
        <v>20</v>
      </c>
      <c r="E16">
        <v>118</v>
      </c>
      <c r="F16">
        <v>0.14199999999999999</v>
      </c>
      <c r="G16" s="13" t="s">
        <v>117</v>
      </c>
      <c r="H16" s="13" t="s">
        <v>117</v>
      </c>
      <c r="I16">
        <v>1</v>
      </c>
      <c r="J16">
        <v>19.5</v>
      </c>
      <c r="K16" s="13" t="s">
        <v>117</v>
      </c>
      <c r="L16" s="13" t="s">
        <v>117</v>
      </c>
      <c r="M16" s="21">
        <v>45033</v>
      </c>
      <c r="N16" s="22">
        <v>0.77430555555555602</v>
      </c>
      <c r="O16" s="13" t="s">
        <v>99</v>
      </c>
      <c r="P16" s="18">
        <v>140.9</v>
      </c>
      <c r="Q16" s="13">
        <v>43.597116666666665</v>
      </c>
      <c r="R16" s="13">
        <v>-78.801050000000004</v>
      </c>
      <c r="U16"/>
      <c r="V16"/>
      <c r="W16"/>
      <c r="X16"/>
      <c r="AB16"/>
    </row>
    <row r="17" spans="1:28" x14ac:dyDescent="0.25">
      <c r="A17" t="s">
        <v>116</v>
      </c>
      <c r="B17" t="s">
        <v>82</v>
      </c>
      <c r="C17" s="13" t="s">
        <v>106</v>
      </c>
      <c r="D17">
        <v>20</v>
      </c>
      <c r="E17">
        <v>94</v>
      </c>
      <c r="F17">
        <v>0.14199999999999999</v>
      </c>
      <c r="G17" s="13" t="s">
        <v>117</v>
      </c>
      <c r="H17" s="13" t="s">
        <v>117</v>
      </c>
      <c r="I17">
        <v>1</v>
      </c>
      <c r="J17">
        <v>24</v>
      </c>
      <c r="K17" s="13" t="s">
        <v>117</v>
      </c>
      <c r="L17" s="13" t="s">
        <v>117</v>
      </c>
      <c r="M17" s="21">
        <v>45036</v>
      </c>
      <c r="N17" s="22">
        <v>0.43541666666666701</v>
      </c>
      <c r="O17" s="13" t="s">
        <v>100</v>
      </c>
      <c r="P17" s="18">
        <v>132.19999999999999</v>
      </c>
      <c r="Q17" s="13">
        <v>43.716700000000003</v>
      </c>
      <c r="R17" s="13">
        <v>-78.027450000000002</v>
      </c>
      <c r="U17"/>
      <c r="V17"/>
      <c r="W17"/>
      <c r="X17"/>
      <c r="AB17"/>
    </row>
    <row r="21" spans="1:28" x14ac:dyDescent="0.25">
      <c r="J21" s="20"/>
      <c r="K21" s="20"/>
      <c r="L21" s="20"/>
      <c r="N21" s="20"/>
      <c r="O21" s="20"/>
    </row>
    <row r="22" spans="1:28" x14ac:dyDescent="0.25">
      <c r="J22"/>
      <c r="K22"/>
      <c r="L22" s="21"/>
      <c r="N22"/>
      <c r="O22"/>
    </row>
    <row r="23" spans="1:28" x14ac:dyDescent="0.25">
      <c r="J23"/>
      <c r="K23"/>
      <c r="L23" s="21"/>
      <c r="N23"/>
      <c r="O23"/>
    </row>
    <row r="24" spans="1:28" x14ac:dyDescent="0.25">
      <c r="J24"/>
      <c r="K24"/>
      <c r="L24" s="21"/>
      <c r="N24"/>
      <c r="O24"/>
    </row>
    <row r="25" spans="1:28" x14ac:dyDescent="0.25">
      <c r="J25"/>
      <c r="K25"/>
      <c r="L25" s="21"/>
      <c r="N25"/>
      <c r="O25"/>
    </row>
    <row r="26" spans="1:28" x14ac:dyDescent="0.25">
      <c r="J26"/>
      <c r="K26"/>
      <c r="L26" s="21"/>
      <c r="N26"/>
      <c r="O26"/>
    </row>
    <row r="27" spans="1:28" x14ac:dyDescent="0.25">
      <c r="J27"/>
      <c r="K27"/>
      <c r="L27" s="21"/>
      <c r="N27"/>
      <c r="O27"/>
    </row>
    <row r="28" spans="1:28" x14ac:dyDescent="0.25">
      <c r="J28"/>
      <c r="K28"/>
      <c r="L28" s="21"/>
      <c r="N28"/>
      <c r="O28"/>
    </row>
    <row r="29" spans="1:28" x14ac:dyDescent="0.25">
      <c r="J29"/>
      <c r="K29"/>
      <c r="L29" s="21"/>
      <c r="N29"/>
      <c r="O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vol biomass</vt:lpstr>
      <vt:lpstr>pivot ind bio</vt:lpstr>
      <vt:lpstr>D20 cnt</vt:lpstr>
      <vt:lpstr>D20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Marshall</cp:lastModifiedBy>
  <dcterms:created xsi:type="dcterms:W3CDTF">2025-10-07T18:40:56Z</dcterms:created>
  <dcterms:modified xsi:type="dcterms:W3CDTF">2025-12-11T15:53:11Z</dcterms:modified>
</cp:coreProperties>
</file>