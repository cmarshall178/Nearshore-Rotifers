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Nearshore Rotifers\Ontario\Raw Data\"/>
    </mc:Choice>
  </mc:AlternateContent>
  <xr:revisionPtr revIDLastSave="0" documentId="13_ncr:1_{EEF98742-DEE0-4DFF-88E3-685464F8C86E}" xr6:coauthVersionLast="47" xr6:coauthVersionMax="47" xr10:uidLastSave="{00000000-0000-0000-0000-000000000000}"/>
  <bookViews>
    <workbookView xWindow="-105" yWindow="0" windowWidth="14610" windowHeight="15585" firstSheet="1" activeTab="3" xr2:uid="{EE00D479-7808-1347-B6F9-7D68A252F316}"/>
  </bookViews>
  <sheets>
    <sheet name="pivot vol biomass" sheetId="5" r:id="rId1"/>
    <sheet name="pivot ind bio" sheetId="6" r:id="rId2"/>
    <sheet name="NS cnt" sheetId="4" r:id="rId3"/>
    <sheet name="NS sample" sheetId="7" r:id="rId4"/>
  </sheets>
  <definedNames>
    <definedName name="_xlnm._FilterDatabase" localSheetId="2" hidden="1">'NS cnt'!$A$1:$I$419</definedName>
    <definedName name="_xlnm._FilterDatabase" localSheetId="3" hidden="1">'NS sample'!$A$16:$O$25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7" l="1"/>
  <c r="L13" i="7"/>
  <c r="L12" i="7"/>
  <c r="L11" i="7"/>
  <c r="L10" i="7"/>
  <c r="L9" i="7"/>
  <c r="L8" i="7"/>
  <c r="L7" i="7"/>
  <c r="L6" i="7"/>
  <c r="L5" i="7"/>
  <c r="L4" i="7"/>
  <c r="L3" i="7"/>
  <c r="L2" i="7"/>
  <c r="H14" i="7" l="1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H4" i="7"/>
  <c r="G4" i="7"/>
  <c r="H3" i="7"/>
  <c r="G3" i="7"/>
  <c r="H2" i="7"/>
  <c r="G2" i="7"/>
</calcChain>
</file>

<file path=xl/sharedStrings.xml><?xml version="1.0" encoding="utf-8"?>
<sst xmlns="http://schemas.openxmlformats.org/spreadsheetml/2006/main" count="1913" uniqueCount="133">
  <si>
    <t>Speccode</t>
  </si>
  <si>
    <t>Density</t>
  </si>
  <si>
    <t>Tow Depth</t>
  </si>
  <si>
    <t>Station</t>
  </si>
  <si>
    <t>Group</t>
  </si>
  <si>
    <t>23GO11I74</t>
  </si>
  <si>
    <t>BOSLONG</t>
  </si>
  <si>
    <t>BYTLONG</t>
  </si>
  <si>
    <t>CECPENG</t>
  </si>
  <si>
    <t>CYCCOPE</t>
  </si>
  <si>
    <t>DAPGALEM</t>
  </si>
  <si>
    <t>DIACOPE</t>
  </si>
  <si>
    <t>DIYTHOM</t>
  </si>
  <si>
    <t>EPILACU</t>
  </si>
  <si>
    <t>EUBCORE</t>
  </si>
  <si>
    <t>HOLGIBB</t>
  </si>
  <si>
    <t>LEOASHL</t>
  </si>
  <si>
    <t>LEOMINU</t>
  </si>
  <si>
    <t>LETKIND</t>
  </si>
  <si>
    <t>SKIOREG</t>
  </si>
  <si>
    <t>23GO11I94</t>
  </si>
  <si>
    <t>DIPBIRG</t>
  </si>
  <si>
    <t>23GO12I14</t>
  </si>
  <si>
    <t>ALOSP</t>
  </si>
  <si>
    <t>DAPRETR</t>
  </si>
  <si>
    <t>EPICOPE</t>
  </si>
  <si>
    <t>HARCOPE</t>
  </si>
  <si>
    <t>MESCOPE</t>
  </si>
  <si>
    <t>POYPEDI</t>
  </si>
  <si>
    <t>23GO12I34</t>
  </si>
  <si>
    <t>23GO12I54</t>
  </si>
  <si>
    <t>23GO12I74</t>
  </si>
  <si>
    <t>CERSP</t>
  </si>
  <si>
    <t>LEOSICI</t>
  </si>
  <si>
    <t>TROPRASM</t>
  </si>
  <si>
    <t>23GO12I94</t>
  </si>
  <si>
    <t>23GO13I14</t>
  </si>
  <si>
    <t>23GO13I34</t>
  </si>
  <si>
    <t>23GO13I54</t>
  </si>
  <si>
    <t>23GO15I14</t>
  </si>
  <si>
    <t>23GO15I74</t>
  </si>
  <si>
    <t>23GO15I94</t>
  </si>
  <si>
    <t>HARSP</t>
  </si>
  <si>
    <t>SKIREIG</t>
  </si>
  <si>
    <t>ASCECAU</t>
  </si>
  <si>
    <t>ROT</t>
  </si>
  <si>
    <t>ASCOVAL</t>
  </si>
  <si>
    <t>ASPHERR</t>
  </si>
  <si>
    <t>ASPPRIO</t>
  </si>
  <si>
    <t>COLSP</t>
  </si>
  <si>
    <t>COOUNIC</t>
  </si>
  <si>
    <t>COPNAUP</t>
  </si>
  <si>
    <t>NAU</t>
  </si>
  <si>
    <t>DREPOLYV</t>
  </si>
  <si>
    <t>DVEL</t>
  </si>
  <si>
    <t>GASSTYL</t>
  </si>
  <si>
    <t>KELLONG</t>
  </si>
  <si>
    <t>KERCOCH</t>
  </si>
  <si>
    <t>KERCOCHH</t>
  </si>
  <si>
    <t>KERCRAS</t>
  </si>
  <si>
    <t>KEREARL</t>
  </si>
  <si>
    <t>KERQUAD</t>
  </si>
  <si>
    <t>PLOHUDS</t>
  </si>
  <si>
    <t>PLOTRUN</t>
  </si>
  <si>
    <t>POLREMA</t>
  </si>
  <si>
    <t>POLSP</t>
  </si>
  <si>
    <t>POLVULG</t>
  </si>
  <si>
    <t>SYNSP</t>
  </si>
  <si>
    <t>TRICYLI</t>
  </si>
  <si>
    <t>TRIMULT</t>
  </si>
  <si>
    <t>PLOLENT</t>
  </si>
  <si>
    <t>TRISP</t>
  </si>
  <si>
    <t>ON 65b</t>
  </si>
  <si>
    <t>NDAP</t>
  </si>
  <si>
    <t>Pred</t>
  </si>
  <si>
    <t>CYC</t>
  </si>
  <si>
    <t>DAP</t>
  </si>
  <si>
    <t>CAL</t>
  </si>
  <si>
    <t>ON 68b</t>
  </si>
  <si>
    <t>ON 69b</t>
  </si>
  <si>
    <t>HAR</t>
  </si>
  <si>
    <t>ON 67b</t>
  </si>
  <si>
    <t>OCS38N</t>
  </si>
  <si>
    <t>OCS61N</t>
  </si>
  <si>
    <t>OCS84N</t>
  </si>
  <si>
    <t>OCS67N</t>
  </si>
  <si>
    <t>OCS73N</t>
  </si>
  <si>
    <t>OCS29N</t>
  </si>
  <si>
    <t>OCS62N</t>
  </si>
  <si>
    <t>OCS43N</t>
  </si>
  <si>
    <t>OCS17N</t>
  </si>
  <si>
    <t>Column Labels</t>
  </si>
  <si>
    <t>(blank)</t>
  </si>
  <si>
    <t>Grand Total</t>
  </si>
  <si>
    <t>Row Labels</t>
  </si>
  <si>
    <t>Sum of Biomass mg m3</t>
  </si>
  <si>
    <t>Average of Avg Ind Wt</t>
  </si>
  <si>
    <t>Sample ID</t>
  </si>
  <si>
    <t>Vol m3</t>
  </si>
  <si>
    <t>Eff</t>
  </si>
  <si>
    <t>Submlab</t>
  </si>
  <si>
    <t>Date</t>
  </si>
  <si>
    <t>Time UTC</t>
  </si>
  <si>
    <t>Site Depth</t>
  </si>
  <si>
    <t>Lon</t>
  </si>
  <si>
    <t>D or N</t>
  </si>
  <si>
    <t>N</t>
  </si>
  <si>
    <t>D</t>
  </si>
  <si>
    <t>Rot Factor</t>
  </si>
  <si>
    <t>REVS</t>
  </si>
  <si>
    <t>FMCALIB</t>
  </si>
  <si>
    <t>Rot Split</t>
  </si>
  <si>
    <t>Rot vol</t>
  </si>
  <si>
    <t xml:space="preserve">Lat </t>
  </si>
  <si>
    <t>ON65b</t>
  </si>
  <si>
    <t>ON68b</t>
  </si>
  <si>
    <t>ON69b</t>
  </si>
  <si>
    <t>ON67b</t>
  </si>
  <si>
    <t>Basin</t>
  </si>
  <si>
    <t>E</t>
  </si>
  <si>
    <t>W</t>
  </si>
  <si>
    <t>Avg Ind Wt</t>
  </si>
  <si>
    <t>Biomass mg m3</t>
  </si>
  <si>
    <t>Areal Bio g</t>
  </si>
  <si>
    <t>ON38N</t>
  </si>
  <si>
    <t>ON61N</t>
  </si>
  <si>
    <t>ON84N</t>
  </si>
  <si>
    <t>ON67N</t>
  </si>
  <si>
    <t>ON73N</t>
  </si>
  <si>
    <t>ON29N</t>
  </si>
  <si>
    <t>ON62N</t>
  </si>
  <si>
    <t>ON43N</t>
  </si>
  <si>
    <t>ON17N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</si>
</sst>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:mm;@"/>
  </numFmts>
  <fonts count="7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indent="1"/>
    </xf>
    <xf numFmtId="2" fontId="0" fillId="0" borderId="0" xfId="0" applyNumberFormat="1"/>
    <xf numFmtId="2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20" fontId="3" fillId="0" borderId="0" xfId="0" applyNumberFormat="1" applyFont="1"/>
    <xf numFmtId="20" fontId="2" fillId="0" borderId="0" xfId="0" applyNumberFormat="1" applyFont="1"/>
    <xf numFmtId="14" fontId="0" fillId="0" borderId="0" xfId="0" applyNumberFormat="1"/>
    <xf numFmtId="164" fontId="3" fillId="0" borderId="0" xfId="0" applyNumberFormat="1" applyFont="1"/>
    <xf numFmtId="164" fontId="2" fillId="0" borderId="0" xfId="0" applyNumberFormat="1" applyFont="1"/>
    <xf numFmtId="0" fontId="2" fillId="0" borderId="0" xfId="0" applyFont="1"/>
    <xf numFmtId="20" fontId="3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left"/>
    </xf>
    <xf numFmtId="0" fontId="6" fillId="0" borderId="0" xfId="0" applyFont="1"/>
    <xf numFmtId="2" fontId="6" fillId="0" borderId="0" xfId="0" applyNumberFormat="1" applyFont="1"/>
    <xf numFmtId="0" fontId="5" fillId="0" borderId="0" xfId="0" applyFont="1"/>
    <xf numFmtId="165" fontId="5" fillId="0" borderId="0" xfId="0" applyNumberFormat="1" applyFont="1"/>
    <xf numFmtId="1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38.56818923611" createdVersion="8" refreshedVersion="8" minRefreshableVersion="3" recordCount="419" xr:uid="{239548A2-9348-594A-AA3B-49977ABD62C7}">
  <cacheSource type="worksheet">
    <worksheetSource ref="A1:I1048576" sheet="NS cnt"/>
  </cacheSource>
  <cacheFields count="9">
    <cacheField name="SampleID" numFmtId="0">
      <sharedItems containsBlank="1"/>
    </cacheField>
    <cacheField name="Speccode" numFmtId="0">
      <sharedItems containsBlank="1" count="52">
        <s v="BOSLONG"/>
        <s v="BYTLONG"/>
        <s v="CECPENG"/>
        <s v="CYCCOPE"/>
        <s v="DAPGALEM"/>
        <s v="DIACOPE"/>
        <s v="DIYTHOM"/>
        <s v="EPILACU"/>
        <s v="EUBCORE"/>
        <s v="HOLGIBB"/>
        <s v="LEOASHL"/>
        <s v="LEOMINU"/>
        <s v="LETKIND"/>
        <s v="SKIOREG"/>
        <s v="COPNAUP"/>
        <s v="DREPOLYV"/>
        <s v="ASCECAU"/>
        <s v="ASCOVAL"/>
        <s v="ASPHERR"/>
        <s v="ASPPRIO"/>
        <s v="COLSP"/>
        <s v="COOUNIC"/>
        <s v="GASSTYL"/>
        <s v="KELLONG"/>
        <s v="KERCOCH"/>
        <s v="KERCOCHH"/>
        <s v="KERCRAS"/>
        <s v="KEREARL"/>
        <s v="KERQUAD"/>
        <s v="PLOHUDS"/>
        <s v="PLOTRUN"/>
        <s v="POLREMA"/>
        <s v="POLSP"/>
        <s v="POLVULG"/>
        <s v="SYNSP"/>
        <s v="TRICYLI"/>
        <s v="TRIMULT"/>
        <s v="DIPBIRG"/>
        <s v="ALOSP"/>
        <s v="DAPRETR"/>
        <s v="EPICOPE"/>
        <s v="HARCOPE"/>
        <s v="MESCOPE"/>
        <s v="POYPEDI"/>
        <s v="PLOLENT"/>
        <s v="CERSP"/>
        <s v="LEOSICI"/>
        <s v="TROPRASM"/>
        <s v="TRISP"/>
        <s v="HARSP"/>
        <s v="SKIREIG"/>
        <m/>
      </sharedItems>
    </cacheField>
    <cacheField name="Density" numFmtId="0">
      <sharedItems containsString="0" containsBlank="1" containsNumber="1" minValue="0.29337316698966887" maxValue="467553.27550357347"/>
    </cacheField>
    <cacheField name="Avg Ind Wt" numFmtId="0">
      <sharedItems containsString="0" containsBlank="1" containsNumber="1" minValue="1.2958672000000003E-3" maxValue="134.28356637678948"/>
    </cacheField>
    <cacheField name="Biomass mg m3" numFmtId="0">
      <sharedItems containsString="0" containsBlank="1" containsNumber="1" minValue="6.151328466057999E-4" maxValue="103.74757901524376"/>
    </cacheField>
    <cacheField name="Tow Depth" numFmtId="0">
      <sharedItems containsString="0" containsBlank="1" containsNumber="1" containsInteger="1" minValue="11" maxValue="20"/>
    </cacheField>
    <cacheField name="Station" numFmtId="0">
      <sharedItems containsBlank="1" count="14">
        <s v="ON 65b"/>
        <s v="ON 68b"/>
        <s v="ON 69b"/>
        <s v="ON 67b"/>
        <s v="OCS38N"/>
        <s v="OCS61N"/>
        <s v="OCS84N"/>
        <s v="OCS67N"/>
        <s v="OCS73N"/>
        <s v="OCS29N"/>
        <s v="OCS62N"/>
        <s v="OCS43N"/>
        <s v="OCS17N"/>
        <m/>
      </sharedItems>
    </cacheField>
    <cacheField name="Areal Bio g" numFmtId="0">
      <sharedItems containsString="0" containsBlank="1" containsNumber="1" minValue="9.8421255456927992E-6" maxValue="2.0749515803048753"/>
    </cacheField>
    <cacheField name="Group" numFmtId="0">
      <sharedItems containsBlank="1" count="10">
        <s v="NDAP"/>
        <s v="Pred"/>
        <s v="CYC"/>
        <s v="DAP"/>
        <s v="CAL"/>
        <s v="NAU"/>
        <s v="DVEL"/>
        <s v="ROT"/>
        <s v="HA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9">
  <r>
    <s v="23GO11I74"/>
    <x v="0"/>
    <n v="2030.3851071549827"/>
    <n v="0.86083139891620919"/>
    <n v="1.7478192521308611"/>
    <n v="20"/>
    <x v="0"/>
    <n v="3.4956385042617222E-2"/>
    <x v="0"/>
  </r>
  <r>
    <s v="23GO11I74"/>
    <x v="1"/>
    <n v="8.3088676260062542"/>
    <n v="120.62837151823558"/>
    <n v="1.0022851708857226"/>
    <n v="20"/>
    <x v="0"/>
    <n v="2.0045703417714448E-2"/>
    <x v="1"/>
  </r>
  <r>
    <s v="23GO11I74"/>
    <x v="2"/>
    <n v="7.9311918248241513"/>
    <n v="3.0616468537910766"/>
    <n v="2.4282508497286373E-2"/>
    <n v="20"/>
    <x v="0"/>
    <n v="4.8565016994572748E-4"/>
    <x v="1"/>
  </r>
  <r>
    <s v="23GO11I74"/>
    <x v="3"/>
    <n v="2223.7551173602192"/>
    <n v="0.4679824693982132"/>
    <n v="1.0406784111591487"/>
    <n v="20"/>
    <x v="0"/>
    <n v="2.0813568223182977E-2"/>
    <x v="2"/>
  </r>
  <r>
    <s v="23GO11I74"/>
    <x v="4"/>
    <n v="741.25170578673965"/>
    <n v="2.974245399215119"/>
    <n v="2.2046644755965694"/>
    <n v="20"/>
    <x v="0"/>
    <n v="4.4093289511931387E-2"/>
    <x v="3"/>
  </r>
  <r>
    <s v="23GO11I74"/>
    <x v="5"/>
    <n v="837.93671088935787"/>
    <n v="2.2033371240340869"/>
    <n v="1.84625706269354"/>
    <n v="20"/>
    <x v="0"/>
    <n v="3.6925141253870801E-2"/>
    <x v="4"/>
  </r>
  <r>
    <s v="23GO11I74"/>
    <x v="6"/>
    <n v="257.82668027364861"/>
    <n v="3.1099289060213584"/>
    <n v="0.80182264572654649"/>
    <n v="20"/>
    <x v="0"/>
    <n v="1.603645291453093E-2"/>
    <x v="2"/>
  </r>
  <r>
    <s v="23GO11I74"/>
    <x v="7"/>
    <n v="64.456670068412151"/>
    <n v="20.401653978644813"/>
    <n v="1.3150226793514168"/>
    <n v="20"/>
    <x v="0"/>
    <n v="2.6300453587028337E-2"/>
    <x v="4"/>
  </r>
  <r>
    <s v="23GO11I74"/>
    <x v="8"/>
    <n v="64.456670068412151"/>
    <n v="0.82316437806424692"/>
    <n v="5.3058434728956848E-2"/>
    <n v="20"/>
    <x v="0"/>
    <n v="1.061168694579137E-3"/>
    <x v="0"/>
  </r>
  <r>
    <s v="23GO11I74"/>
    <x v="9"/>
    <n v="2127.0701122576011"/>
    <n v="3.3813002000171024"/>
    <n v="7.1922625960270272"/>
    <n v="20"/>
    <x v="0"/>
    <n v="0.14384525192054054"/>
    <x v="0"/>
  </r>
  <r>
    <s v="23GO11I74"/>
    <x v="10"/>
    <n v="64.456670068412151"/>
    <n v="4.6660668367820941"/>
    <n v="0.30075913061562293"/>
    <n v="20"/>
    <x v="0"/>
    <n v="6.0151826123124585E-3"/>
    <x v="4"/>
  </r>
  <r>
    <s v="23GO11I74"/>
    <x v="11"/>
    <n v="386.74002041047288"/>
    <n v="3.8483385792023732"/>
    <n v="1.4883065406671361"/>
    <n v="20"/>
    <x v="0"/>
    <n v="2.9766130813342721E-2"/>
    <x v="4"/>
  </r>
  <r>
    <s v="23GO11I74"/>
    <x v="12"/>
    <n v="138.12143586088317"/>
    <n v="7.8725197222822816"/>
    <n v="1.0873637278847501"/>
    <n v="20"/>
    <x v="0"/>
    <n v="2.1747274557695002E-2"/>
    <x v="1"/>
  </r>
  <r>
    <s v="23GO11I74"/>
    <x v="13"/>
    <n v="64.456670068412151"/>
    <n v="6.3243307688165675"/>
    <n v="0.4076453017691169"/>
    <n v="20"/>
    <x v="0"/>
    <n v="8.1529060353823391E-3"/>
    <x v="4"/>
  </r>
  <r>
    <s v="23GO11I74"/>
    <x v="14"/>
    <n v="17173.674031352562"/>
    <n v="9.2342236661139207E-2"/>
    <n v="1.5858554717444191"/>
    <n v="20"/>
    <x v="0"/>
    <n v="3.1717109434888383E-2"/>
    <x v="5"/>
  </r>
  <r>
    <s v="23GO11I74"/>
    <x v="15"/>
    <n v="15693.184890718721"/>
    <n v="0.1565388461448661"/>
    <n v="2.4565930551311554"/>
    <n v="20"/>
    <x v="0"/>
    <n v="4.9131861102623103E-2"/>
    <x v="6"/>
  </r>
  <r>
    <s v="23GO11I74"/>
    <x v="16"/>
    <n v="296.09782812676832"/>
    <n v="1.0952076E-2"/>
    <n v="3.2428859170793045E-3"/>
    <n v="20"/>
    <x v="0"/>
    <n v="6.485771834158609E-5"/>
    <x v="7"/>
  </r>
  <r>
    <s v="23GO11I74"/>
    <x v="17"/>
    <n v="2072.6847968873781"/>
    <n v="1.3312979999999999E-2"/>
    <n v="2.7593611247265722E-2"/>
    <n v="20"/>
    <x v="0"/>
    <n v="5.5187222494531445E-4"/>
    <x v="7"/>
  </r>
  <r>
    <s v="23GO11I74"/>
    <x v="18"/>
    <n v="888.2934843803049"/>
    <n v="1.9945796081900002"/>
    <n v="1.7717720700329986"/>
    <n v="20"/>
    <x v="0"/>
    <n v="3.5435441400659975E-2"/>
    <x v="7"/>
  </r>
  <r>
    <s v="23GO11I74"/>
    <x v="19"/>
    <n v="296.09782812676832"/>
    <n v="0.86742213362999998"/>
    <n v="0.25684180983693039"/>
    <n v="20"/>
    <x v="0"/>
    <n v="5.1368361967386086E-3"/>
    <x v="7"/>
  </r>
  <r>
    <s v="23GO11I74"/>
    <x v="20"/>
    <n v="1184.3913125070733"/>
    <n v="7.0267050000000011E-3"/>
    <n v="8.3223683575500158E-3"/>
    <n v="20"/>
    <x v="0"/>
    <n v="1.6644736715100032E-4"/>
    <x v="7"/>
  </r>
  <r>
    <s v="23GO11I74"/>
    <x v="21"/>
    <n v="24280.021906395003"/>
    <n v="1.2567551100000001E-2"/>
    <n v="0.30514041601773861"/>
    <n v="20"/>
    <x v="0"/>
    <n v="6.1028083203547726E-3"/>
    <x v="7"/>
  </r>
  <r>
    <s v="23GO11I74"/>
    <x v="22"/>
    <n v="888.2934843803049"/>
    <n v="1.7136893333333337E-2"/>
    <n v="1.5222590690520288E-2"/>
    <n v="20"/>
    <x v="0"/>
    <n v="3.0445181381040575E-4"/>
    <x v="7"/>
  </r>
  <r>
    <s v="23GO11I74"/>
    <x v="23"/>
    <n v="13028.304437577806"/>
    <n v="1.0084706268E-2"/>
    <n v="0.13138662342305313"/>
    <n v="20"/>
    <x v="0"/>
    <n v="2.6277324684610627E-3"/>
    <x v="7"/>
  </r>
  <r>
    <s v="23GO11I74"/>
    <x v="24"/>
    <n v="20726.847968873783"/>
    <n v="1.9647305000000002E-3"/>
    <n v="4.0722670373309379E-2"/>
    <n v="20"/>
    <x v="0"/>
    <n v="8.1445340746618756E-4"/>
    <x v="7"/>
  </r>
  <r>
    <s v="23GO11I74"/>
    <x v="25"/>
    <n v="888.2934843803049"/>
    <n v="2.4025679999999999E-3"/>
    <n v="2.1341855001806203E-3"/>
    <n v="20"/>
    <x v="0"/>
    <n v="4.2683710003612399E-5"/>
    <x v="7"/>
  </r>
  <r>
    <s v="23GO11I74"/>
    <x v="26"/>
    <n v="3849.2717656479881"/>
    <n v="3.5290707692307698E-3"/>
    <n v="1.3584352470973629E-2"/>
    <n v="20"/>
    <x v="0"/>
    <n v="2.7168704941947259E-4"/>
    <x v="7"/>
  </r>
  <r>
    <s v="23GO11I74"/>
    <x v="27"/>
    <n v="2664.8804531409151"/>
    <n v="2.6182017777777781E-3"/>
    <n v="6.9771947399787943E-3"/>
    <n v="20"/>
    <x v="0"/>
    <n v="1.3954389479957588E-4"/>
    <x v="7"/>
  </r>
  <r>
    <s v="23GO11I74"/>
    <x v="28"/>
    <n v="296.09782812676832"/>
    <n v="9.2854584900000009E-2"/>
    <n v="2.7494040920502619E-2"/>
    <n v="20"/>
    <x v="0"/>
    <n v="5.4988081841005239E-4"/>
    <x v="7"/>
  </r>
  <r>
    <s v="23GO11I74"/>
    <x v="29"/>
    <n v="296.09782812676832"/>
    <n v="0.18399744000000001"/>
    <n v="5.4481242364885371E-2"/>
    <n v="20"/>
    <x v="0"/>
    <n v="1.0896248472977074E-3"/>
    <x v="7"/>
  </r>
  <r>
    <s v="23GO11I74"/>
    <x v="30"/>
    <n v="2072.6847968873781"/>
    <n v="2.7804648571428565E-2"/>
    <n v="5.763027237679634E-2"/>
    <n v="20"/>
    <x v="0"/>
    <n v="1.1526054475359268E-3"/>
    <x v="7"/>
  </r>
  <r>
    <s v="23GO11I74"/>
    <x v="31"/>
    <n v="296.09782812676832"/>
    <n v="6.6528000000000021E-3"/>
    <n v="1.9698796309617649E-3"/>
    <n v="20"/>
    <x v="0"/>
    <n v="3.9397592619235296E-5"/>
    <x v="7"/>
  </r>
  <r>
    <s v="23GO11I74"/>
    <x v="32"/>
    <n v="2072.6847968873781"/>
    <n v="3.1225708800000002E-2"/>
    <n v="6.472105190179242E-2"/>
    <n v="20"/>
    <x v="0"/>
    <n v="1.2944210380358486E-3"/>
    <x v="7"/>
  </r>
  <r>
    <s v="23GO11I74"/>
    <x v="33"/>
    <n v="296.09782812676832"/>
    <n v="6.161158080000001E-2"/>
    <n v="1.8243055262336903E-2"/>
    <n v="20"/>
    <x v="0"/>
    <n v="3.648611052467381E-4"/>
    <x v="7"/>
  </r>
  <r>
    <s v="23GO11I74"/>
    <x v="34"/>
    <n v="1776.5869687606098"/>
    <n v="1.5699168333333336E-2"/>
    <n v="2.7890937881379228E-2"/>
    <n v="20"/>
    <x v="0"/>
    <n v="5.5781875762758455E-4"/>
    <x v="7"/>
  </r>
  <r>
    <s v="23GO11I74"/>
    <x v="35"/>
    <n v="296.09782812676832"/>
    <n v="0.09"/>
    <n v="2.6648804531409147E-2"/>
    <n v="20"/>
    <x v="0"/>
    <n v="5.3297609062818291E-4"/>
    <x v="7"/>
  </r>
  <r>
    <s v="23GO11I74"/>
    <x v="36"/>
    <n v="10363.423984436891"/>
    <n v="0.1152108554792"/>
    <n v="1.1939789429406338"/>
    <n v="20"/>
    <x v="0"/>
    <n v="2.3879578858812676E-2"/>
    <x v="7"/>
  </r>
  <r>
    <s v="23GO11I94"/>
    <x v="0"/>
    <n v="1201.6564919896834"/>
    <n v="1.1895780218281158"/>
    <n v="1.4294641526580008"/>
    <n v="20"/>
    <x v="1"/>
    <n v="2.8589283053160018E-2"/>
    <x v="0"/>
  </r>
  <r>
    <s v="23GO11I94"/>
    <x v="2"/>
    <n v="3.9718213377062854"/>
    <n v="1.3207613402751484"/>
    <n v="5.2458280733223856E-3"/>
    <n v="20"/>
    <x v="1"/>
    <n v="1.049165614664477E-4"/>
    <x v="1"/>
  </r>
  <r>
    <s v="23GO11I94"/>
    <x v="3"/>
    <n v="1340.3091641423393"/>
    <n v="0.89324173996391676"/>
    <n v="1.197220089868086"/>
    <n v="20"/>
    <x v="1"/>
    <n v="2.3944401797361722E-2"/>
    <x v="2"/>
  </r>
  <r>
    <s v="23GO11I94"/>
    <x v="4"/>
    <n v="1617.6145084476509"/>
    <n v="6.1018741454527339"/>
    <n v="9.8704801464059546"/>
    <n v="20"/>
    <x v="1"/>
    <n v="0.1974096029281191"/>
    <x v="3"/>
  </r>
  <r>
    <s v="23GO11I94"/>
    <x v="5"/>
    <n v="138.65267215265578"/>
    <n v="4.9934623755215588"/>
    <n v="0.69235690165981245"/>
    <n v="20"/>
    <x v="1"/>
    <n v="1.3847138033196248E-2"/>
    <x v="4"/>
  </r>
  <r>
    <s v="23GO11I94"/>
    <x v="37"/>
    <n v="30.811704922812396"/>
    <n v="9.9190222032036139"/>
    <n v="0.30562198524793427"/>
    <n v="20"/>
    <x v="1"/>
    <n v="6.1124397049586851E-3"/>
    <x v="0"/>
  </r>
  <r>
    <s v="23GO11I94"/>
    <x v="6"/>
    <n v="1201.6564919896834"/>
    <n v="4.3006730929528612"/>
    <n v="5.1679317420721569"/>
    <n v="20"/>
    <x v="1"/>
    <n v="0.10335863484144313"/>
    <x v="2"/>
  </r>
  <r>
    <s v="23GO11I94"/>
    <x v="8"/>
    <n v="30.811704922812396"/>
    <n v="1.4440478385994258"/>
    <n v="4.4493575897350528E-2"/>
    <n v="20"/>
    <x v="1"/>
    <n v="8.8987151794701056E-4"/>
    <x v="0"/>
  </r>
  <r>
    <s v="23GO11I94"/>
    <x v="9"/>
    <n v="431.36386891937349"/>
    <n v="2.7468215117587027"/>
    <n v="1.1848795545431963"/>
    <n v="20"/>
    <x v="1"/>
    <n v="2.3697591090863925E-2"/>
    <x v="0"/>
  </r>
  <r>
    <s v="23GO11I94"/>
    <x v="10"/>
    <n v="46.217557384218594"/>
    <n v="4.2937065927586922"/>
    <n v="0.19844463084182254"/>
    <n v="20"/>
    <x v="1"/>
    <n v="3.9688926168364507E-3"/>
    <x v="4"/>
  </r>
  <r>
    <s v="23GO11I94"/>
    <x v="12"/>
    <n v="19.80752459323654"/>
    <n v="0.30120182718029109"/>
    <n v="5.9660625994013977E-3"/>
    <n v="20"/>
    <x v="1"/>
    <n v="1.1932125198802796E-4"/>
    <x v="1"/>
  </r>
  <r>
    <s v="23GO11I94"/>
    <x v="13"/>
    <n v="30.811704922812396"/>
    <n v="4.9547134472881149"/>
    <n v="0.15266316871493199"/>
    <n v="20"/>
    <x v="1"/>
    <n v="3.0532633742986399E-3"/>
    <x v="4"/>
  </r>
  <r>
    <s v="23GO11I94"/>
    <x v="14"/>
    <n v="24844.82569135401"/>
    <n v="6.8278645513328004E-2"/>
    <n v="1.6963710462203849"/>
    <n v="20"/>
    <x v="1"/>
    <n v="3.3927420924407696E-2"/>
    <x v="5"/>
  </r>
  <r>
    <s v="23GO11I94"/>
    <x v="15"/>
    <n v="7576.7908136753358"/>
    <n v="0.17702392708397813"/>
    <n v="1.341273264530618"/>
    <n v="20"/>
    <x v="1"/>
    <n v="2.682546529061236E-2"/>
    <x v="6"/>
  </r>
  <r>
    <s v="23GO11I94"/>
    <x v="17"/>
    <n v="3171.679875492001"/>
    <n v="1.2372172666666665E-2"/>
    <n v="3.9240571062978867E-2"/>
    <n v="20"/>
    <x v="1"/>
    <n v="7.8481142125957741E-4"/>
    <x v="7"/>
  </r>
  <r>
    <s v="23GO11I94"/>
    <x v="20"/>
    <n v="1938.2488128006673"/>
    <n v="1.8872181818181819E-2"/>
    <n v="3.6578984004049256E-2"/>
    <n v="20"/>
    <x v="1"/>
    <n v="7.3157968008098501E-4"/>
    <x v="7"/>
  </r>
  <r>
    <s v="23GO11I94"/>
    <x v="21"/>
    <n v="8986.4263138940023"/>
    <n v="2.15567677E-2"/>
    <n v="0.19371830450178029"/>
    <n v="20"/>
    <x v="1"/>
    <n v="3.8743660900356059E-3"/>
    <x v="7"/>
  </r>
  <r>
    <s v="23GO11I94"/>
    <x v="22"/>
    <n v="881.02218763666701"/>
    <n v="3.0273884000000008E-2"/>
    <n v="2.6671963509938699E-2"/>
    <n v="20"/>
    <x v="1"/>
    <n v="5.3343927019877397E-4"/>
    <x v="7"/>
  </r>
  <r>
    <s v="23GO11I94"/>
    <x v="23"/>
    <n v="8810.2218763666697"/>
    <n v="7.5094716637499987E-3"/>
    <n v="6.6160111531925844E-2"/>
    <n v="20"/>
    <x v="1"/>
    <n v="1.3232022306385169E-3"/>
    <x v="7"/>
  </r>
  <r>
    <s v="23GO11I94"/>
    <x v="24"/>
    <n v="15505.990502405339"/>
    <n v="1.5135255999999999E-3"/>
    <n v="2.346871357874734E-2"/>
    <n v="20"/>
    <x v="1"/>
    <n v="4.6937427157494683E-4"/>
    <x v="7"/>
  </r>
  <r>
    <s v="23GO11I94"/>
    <x v="25"/>
    <n v="3700.2931880740011"/>
    <n v="2.0060116E-3"/>
    <n v="7.4228310586774279E-3"/>
    <n v="20"/>
    <x v="1"/>
    <n v="1.4845662117354854E-4"/>
    <x v="7"/>
  </r>
  <r>
    <s v="23GO11I94"/>
    <x v="26"/>
    <n v="1409.6355002186672"/>
    <n v="3.4694274999999999E-3"/>
    <n v="4.8906281694348994E-3"/>
    <n v="20"/>
    <x v="1"/>
    <n v="9.7812563388697976E-5"/>
    <x v="7"/>
  </r>
  <r>
    <s v="23GO11I94"/>
    <x v="28"/>
    <n v="704.81775010933359"/>
    <n v="6.7003571250000005E-2"/>
    <n v="4.7225306337715434E-2"/>
    <n v="20"/>
    <x v="1"/>
    <n v="9.4450612675430867E-4"/>
    <x v="7"/>
  </r>
  <r>
    <s v="23GO11I94"/>
    <x v="29"/>
    <n v="352.40887505466679"/>
    <n v="0.35489948000000004"/>
    <n v="0.12506972650428624"/>
    <n v="20"/>
    <x v="1"/>
    <n v="2.501394530085725E-3"/>
    <x v="7"/>
  </r>
  <r>
    <s v="23GO11I94"/>
    <x v="31"/>
    <n v="1938.2488128006673"/>
    <n v="2.0948421200000004E-2"/>
    <n v="4.0603252520948339E-2"/>
    <n v="20"/>
    <x v="1"/>
    <n v="8.120650504189668E-4"/>
    <x v="7"/>
  </r>
  <r>
    <s v="23GO11I94"/>
    <x v="32"/>
    <n v="881.02218763666701"/>
    <n v="4.239148144000001E-2"/>
    <n v="3.7347835715427977E-2"/>
    <n v="20"/>
    <x v="1"/>
    <n v="7.4695671430855958E-4"/>
    <x v="7"/>
  </r>
  <r>
    <s v="23GO11I94"/>
    <x v="34"/>
    <n v="2114.4532503280006"/>
    <n v="2.0753616666666669E-2"/>
    <n v="4.3882552216894702E-2"/>
    <n v="20"/>
    <x v="1"/>
    <n v="8.7765104433789394E-4"/>
    <x v="7"/>
  </r>
  <r>
    <s v="23GO11I94"/>
    <x v="35"/>
    <n v="176.2044375273334"/>
    <n v="5.0804420471999998E-2"/>
    <n v="8.9519643331709003E-3"/>
    <n v="20"/>
    <x v="1"/>
    <n v="1.79039286663418E-4"/>
    <x v="7"/>
  </r>
  <r>
    <s v="23GO11I94"/>
    <x v="36"/>
    <n v="1938.2488128006673"/>
    <n v="7.5950989097454555E-2"/>
    <n v="0.14721191444917772"/>
    <n v="20"/>
    <x v="1"/>
    <n v="2.9442382889835542E-3"/>
    <x v="7"/>
  </r>
  <r>
    <s v="23GO12I14"/>
    <x v="38"/>
    <n v="22.611815709483292"/>
    <n v="0.39191324427547541"/>
    <n v="8.8618700536627574E-3"/>
    <n v="13"/>
    <x v="2"/>
    <n v="1.1520431069761585E-4"/>
    <x v="0"/>
  </r>
  <r>
    <s v="23GO12I14"/>
    <x v="0"/>
    <n v="390.05382098858684"/>
    <n v="1.1032030734115221"/>
    <n v="0.43030857411051671"/>
    <n v="13"/>
    <x v="2"/>
    <n v="5.5940114634367172E-3"/>
    <x v="0"/>
  </r>
  <r>
    <s v="23GO12I14"/>
    <x v="2"/>
    <n v="11.129253044511309"/>
    <n v="2.3537268593764229"/>
    <n v="2.6195221815663097E-2"/>
    <n v="13"/>
    <x v="2"/>
    <n v="3.4053788360362025E-4"/>
    <x v="1"/>
  </r>
  <r>
    <s v="23GO12I14"/>
    <x v="3"/>
    <n v="33.917723564224943"/>
    <n v="1.3171127729064684"/>
    <n v="4.4673466934351383E-2"/>
    <n v="13"/>
    <x v="2"/>
    <n v="5.8075507014656799E-4"/>
    <x v="2"/>
  </r>
  <r>
    <s v="23GO12I14"/>
    <x v="4"/>
    <n v="265.6888345864287"/>
    <n v="2.2404846085023964"/>
    <n v="0.59527174454183263"/>
    <n v="13"/>
    <x v="2"/>
    <n v="7.738532679043824E-3"/>
    <x v="3"/>
  </r>
  <r>
    <s v="23GO12I14"/>
    <x v="39"/>
    <n v="39.57067749159576"/>
    <n v="2.8996545085717509"/>
    <n v="0.11474129339574435"/>
    <n v="13"/>
    <x v="2"/>
    <n v="1.4916368141446765E-3"/>
    <x v="3"/>
  </r>
  <r>
    <s v="23GO12I14"/>
    <x v="5"/>
    <n v="39.57067749159576"/>
    <n v="2.122034635314261"/>
    <n v="8.3970348180016641E-2"/>
    <n v="13"/>
    <x v="2"/>
    <n v="1.0916145263402163E-3"/>
    <x v="4"/>
  </r>
  <r>
    <s v="23GO12I14"/>
    <x v="40"/>
    <n v="11.305907854741646"/>
    <n v="0.6938437462783491"/>
    <n v="7.8445334610117573E-3"/>
    <n v="13"/>
    <x v="2"/>
    <n v="1.0197893499315284E-4"/>
    <x v="4"/>
  </r>
  <r>
    <s v="23GO12I14"/>
    <x v="8"/>
    <n v="62.182493201079055"/>
    <n v="1.8070783281119782"/>
    <n v="0.11236863585164039"/>
    <n v="13"/>
    <x v="2"/>
    <n v="1.4607922660713252E-3"/>
    <x v="0"/>
  </r>
  <r>
    <s v="23GO12I14"/>
    <x v="41"/>
    <n v="33.917723564224943"/>
    <n v="1.0430818720101207"/>
    <n v="3.5378962589693537E-2"/>
    <n v="13"/>
    <x v="2"/>
    <n v="4.5992651366601601E-4"/>
    <x v="8"/>
  </r>
  <r>
    <s v="23GO12I14"/>
    <x v="9"/>
    <n v="356.13609742436188"/>
    <n v="1.4629306284059811"/>
    <n v="0.52100240480307547"/>
    <n v="13"/>
    <x v="2"/>
    <n v="6.7730312624399817E-3"/>
    <x v="0"/>
  </r>
  <r>
    <s v="23GO12I14"/>
    <x v="11"/>
    <n v="11.305907854741646"/>
    <n v="3.1508058599075217"/>
    <n v="3.5622720720294453E-2"/>
    <n v="13"/>
    <x v="2"/>
    <n v="4.6309536936382789E-4"/>
    <x v="4"/>
  </r>
  <r>
    <s v="23GO12I14"/>
    <x v="42"/>
    <n v="11.305907854741646"/>
    <n v="2.0943217047443188"/>
    <n v="2.3678208212024706E-2"/>
    <n v="13"/>
    <x v="2"/>
    <n v="3.0781670675632115E-4"/>
    <x v="2"/>
  </r>
  <r>
    <s v="23GO12I14"/>
    <x v="43"/>
    <n v="41.18580718513028"/>
    <n v="11.454080990199136"/>
    <n v="0.47174557114520776"/>
    <n v="13"/>
    <x v="2"/>
    <n v="6.1326924248877009E-3"/>
    <x v="1"/>
  </r>
  <r>
    <s v="23GO12I14"/>
    <x v="14"/>
    <n v="1356.7089425689976"/>
    <n v="0.11688357792514165"/>
    <n v="0.15857699541049997"/>
    <n v="13"/>
    <x v="2"/>
    <n v="2.0615009403364996E-3"/>
    <x v="5"/>
  </r>
  <r>
    <s v="23GO12I14"/>
    <x v="15"/>
    <n v="20350.634138534966"/>
    <n v="0.17578625884045021"/>
    <n v="3.5773618402438099"/>
    <n v="13"/>
    <x v="2"/>
    <n v="4.6505703923169529E-2"/>
    <x v="6"/>
  </r>
  <r>
    <s v="23GO12I14"/>
    <x v="16"/>
    <n v="678.3544712844988"/>
    <n v="3.6713999999999997E-2"/>
    <n v="2.4905106058739086E-2"/>
    <n v="13"/>
    <x v="2"/>
    <n v="3.2376637876360817E-4"/>
    <x v="7"/>
  </r>
  <r>
    <s v="23GO12I14"/>
    <x v="17"/>
    <n v="16958.861782112472"/>
    <n v="1.6219134E-2"/>
    <n v="0.27505805173156095"/>
    <n v="13"/>
    <x v="2"/>
    <n v="3.5757546725102922E-3"/>
    <x v="7"/>
  </r>
  <r>
    <s v="23GO12I14"/>
    <x v="18"/>
    <n v="678.3544712844988"/>
    <n v="4.0728804138750005"/>
    <n v="2.7628566397591667"/>
    <n v="13"/>
    <x v="2"/>
    <n v="3.5917136316869165E-2"/>
    <x v="7"/>
  </r>
  <r>
    <s v="23GO12I14"/>
    <x v="19"/>
    <n v="678.3544712844988"/>
    <n v="3.0884396967450001"/>
    <n v="2.0950568775795122"/>
    <n v="13"/>
    <x v="2"/>
    <n v="2.7235739408533657E-2"/>
    <x v="7"/>
  </r>
  <r>
    <s v="23GO12I14"/>
    <x v="20"/>
    <n v="4070.126827706993"/>
    <n v="2.0129265E-2"/>
    <n v="8.1928661498523417E-2"/>
    <n v="13"/>
    <x v="2"/>
    <n v="1.0650725994808044E-3"/>
    <x v="7"/>
  </r>
  <r>
    <s v="23GO12I14"/>
    <x v="21"/>
    <n v="37648.673156289682"/>
    <n v="1.5981633200000005E-2"/>
    <n v="0.60168728485050815"/>
    <n v="13"/>
    <x v="2"/>
    <n v="7.8219347030566051E-3"/>
    <x v="7"/>
  </r>
  <r>
    <s v="23GO12I14"/>
    <x v="22"/>
    <n v="14923.798368258975"/>
    <n v="2.3407846E-2"/>
    <n v="0.34933397393925736"/>
    <n v="13"/>
    <x v="2"/>
    <n v="4.541341661210346E-3"/>
    <x v="7"/>
  </r>
  <r>
    <s v="23GO12I14"/>
    <x v="23"/>
    <n v="14923.798368258975"/>
    <n v="1.2770750705999997E-2"/>
    <n v="0.19058810854764491"/>
    <n v="13"/>
    <x v="2"/>
    <n v="2.4776454111193839E-3"/>
    <x v="7"/>
  </r>
  <r>
    <s v="23GO12I14"/>
    <x v="24"/>
    <n v="7461.8991841294874"/>
    <n v="1.8395290000000001E-3"/>
    <n v="1.3726379944282533E-2"/>
    <n v="13"/>
    <x v="2"/>
    <n v="1.7844293927567293E-4"/>
    <x v="7"/>
  </r>
  <r>
    <s v="23GO12I14"/>
    <x v="25"/>
    <n v="1017.5317069267483"/>
    <n v="2.5545833333333336E-3"/>
    <n v="2.5993695396532893E-3"/>
    <n v="13"/>
    <x v="2"/>
    <n v="3.3791804015492763E-5"/>
    <x v="7"/>
  </r>
  <r>
    <s v="23GO12I14"/>
    <x v="26"/>
    <n v="6105.1902415604891"/>
    <n v="4.5800769999999992E-3"/>
    <n v="2.7962241405995635E-2"/>
    <n v="13"/>
    <x v="2"/>
    <n v="3.6350913827794322E-4"/>
    <x v="7"/>
  </r>
  <r>
    <s v="23GO12I14"/>
    <x v="27"/>
    <n v="1695.8861782112469"/>
    <n v="1.7265924000000002E-3"/>
    <n v="2.9281041865645849E-3"/>
    <n v="13"/>
    <x v="2"/>
    <n v="3.8065354425339604E-5"/>
    <x v="7"/>
  </r>
  <r>
    <s v="23GO12I14"/>
    <x v="29"/>
    <n v="2374.2406494957459"/>
    <n v="0.18475111428571431"/>
    <n v="0.43864360557677712"/>
    <n v="13"/>
    <x v="2"/>
    <n v="5.7023668724981028E-3"/>
    <x v="7"/>
  </r>
  <r>
    <s v="23GO12I14"/>
    <x v="31"/>
    <n v="1695.8861782112469"/>
    <n v="4.243187256E-2"/>
    <n v="7.1959626190125081E-2"/>
    <n v="13"/>
    <x v="2"/>
    <n v="9.3547514047162604E-4"/>
    <x v="7"/>
  </r>
  <r>
    <s v="23GO12I14"/>
    <x v="32"/>
    <n v="5766.0130059182402"/>
    <n v="4.7420283317647069E-2"/>
    <n v="0.27342597035388078"/>
    <n v="13"/>
    <x v="2"/>
    <n v="3.5545376146004499E-3"/>
    <x v="7"/>
  </r>
  <r>
    <s v="23GO12I14"/>
    <x v="34"/>
    <n v="39683.736570143177"/>
    <n v="1.7367030499999998E-2"/>
    <n v="0.68918866336764184"/>
    <n v="13"/>
    <x v="2"/>
    <n v="8.9594526237793438E-3"/>
    <x v="7"/>
  </r>
  <r>
    <s v="23GO12I14"/>
    <x v="35"/>
    <n v="2035.0634138534965"/>
    <n v="1.1786965995999999E-2"/>
    <n v="2.3987223258794838E-2"/>
    <n v="13"/>
    <x v="2"/>
    <n v="3.1183390236433291E-4"/>
    <x v="7"/>
  </r>
  <r>
    <s v="23GO12I14"/>
    <x v="36"/>
    <n v="1017.5317069267483"/>
    <n v="0.15695818028800002"/>
    <n v="0.15970992510456494"/>
    <n v="13"/>
    <x v="2"/>
    <n v="2.0762290263593441E-3"/>
    <x v="7"/>
  </r>
  <r>
    <s v="23GO12I34"/>
    <x v="0"/>
    <n v="4416.0876080620874"/>
    <n v="1.1289691514204145"/>
    <n v="4.9856266794720634"/>
    <n v="20"/>
    <x v="3"/>
    <n v="9.9712533589441266E-2"/>
    <x v="0"/>
  </r>
  <r>
    <s v="23GO12I34"/>
    <x v="1"/>
    <n v="17.250342218992529"/>
    <n v="25.204132255699143"/>
    <n v="0.43477990674355832"/>
    <n v="20"/>
    <x v="3"/>
    <n v="8.6955981348711669E-3"/>
    <x v="1"/>
  </r>
  <r>
    <s v="23GO12I34"/>
    <x v="3"/>
    <n v="1682.3190887855569"/>
    <n v="0.16122091786946396"/>
    <n v="0.27122502764332773"/>
    <n v="20"/>
    <x v="3"/>
    <n v="5.4245005528665543E-3"/>
    <x v="2"/>
  </r>
  <r>
    <s v="23GO12I34"/>
    <x v="39"/>
    <n v="4416.0876080620874"/>
    <n v="2.0484484219823846"/>
    <n v="9.0461276920707459"/>
    <n v="20"/>
    <x v="3"/>
    <n v="0.18092255384141492"/>
    <x v="3"/>
  </r>
  <r>
    <s v="23GO12I34"/>
    <x v="5"/>
    <n v="420.57977219638923"/>
    <n v="1.0934180984162742"/>
    <n v="0.45986953474732573"/>
    <n v="20"/>
    <x v="3"/>
    <n v="9.197390694946515E-3"/>
    <x v="4"/>
  </r>
  <r>
    <s v="23GO12I34"/>
    <x v="6"/>
    <n v="280.38651479759284"/>
    <n v="4.4126713569042701"/>
    <n v="1.2372535427095532"/>
    <n v="20"/>
    <x v="3"/>
    <n v="2.4745070854191063E-2"/>
    <x v="2"/>
  </r>
  <r>
    <s v="23GO12I34"/>
    <x v="8"/>
    <n v="1401.9325739879639"/>
    <n v="1.3960960955799102"/>
    <n v="1.95723259281089"/>
    <n v="20"/>
    <x v="3"/>
    <n v="3.9144651856217801E-2"/>
    <x v="0"/>
  </r>
  <r>
    <s v="23GO12I34"/>
    <x v="9"/>
    <n v="4416.0876080620874"/>
    <n v="1.7751707590370018"/>
    <n v="7.8393095911774733"/>
    <n v="20"/>
    <x v="3"/>
    <n v="0.15678619182354947"/>
    <x v="0"/>
  </r>
  <r>
    <s v="23GO12I34"/>
    <x v="12"/>
    <n v="150.20706149871043"/>
    <n v="9.171013055337049"/>
    <n v="1.3775509220084885"/>
    <n v="20"/>
    <x v="3"/>
    <n v="2.7551018440169769E-2"/>
    <x v="1"/>
  </r>
  <r>
    <s v="23GO12I34"/>
    <x v="43"/>
    <n v="4416.0876080620874"/>
    <n v="4.9633790616902944"/>
    <n v="21.918716768445343"/>
    <n v="20"/>
    <x v="3"/>
    <n v="0.43837433536890685"/>
    <x v="1"/>
  </r>
  <r>
    <s v="23GO12I34"/>
    <x v="13"/>
    <n v="140.19325739879642"/>
    <n v="6.5310941522602439"/>
    <n v="0.91561536358359441"/>
    <n v="20"/>
    <x v="3"/>
    <n v="1.8312307271671886E-2"/>
    <x v="4"/>
  </r>
  <r>
    <s v="23GO12I34"/>
    <x v="14"/>
    <n v="81106.18044449744"/>
    <n v="0.10232042920425224"/>
    <n v="8.2988191941985079"/>
    <n v="20"/>
    <x v="3"/>
    <n v="0.16597638388397015"/>
    <x v="5"/>
  </r>
  <r>
    <s v="23GO12I34"/>
    <x v="15"/>
    <n v="467553.27550357347"/>
    <n v="0.22189466837442962"/>
    <n v="103.74757901524376"/>
    <n v="20"/>
    <x v="3"/>
    <n v="2.0749515803048753"/>
    <x v="6"/>
  </r>
  <r>
    <s v="23GO12I34"/>
    <x v="17"/>
    <n v="22264.441690646356"/>
    <n v="1.3422860571428575E-2"/>
    <n v="0.29885249651424756"/>
    <n v="20"/>
    <x v="3"/>
    <n v="5.9770499302849514E-3"/>
    <x v="7"/>
  </r>
  <r>
    <s v="23GO12I34"/>
    <x v="19"/>
    <n v="4770.9517908527905"/>
    <n v="1.6740001951399999"/>
    <n v="7.9865742288911035"/>
    <n v="20"/>
    <x v="3"/>
    <n v="0.15973148457782207"/>
    <x v="7"/>
  </r>
  <r>
    <s v="23GO12I34"/>
    <x v="20"/>
    <n v="7951.5863180879842"/>
    <n v="1.0785384E-2"/>
    <n v="8.5760911849725063E-2"/>
    <n v="20"/>
    <x v="3"/>
    <n v="1.7152182369945012E-3"/>
    <x v="7"/>
  </r>
  <r>
    <s v="23GO12I34"/>
    <x v="21"/>
    <n v="200379.97521581719"/>
    <n v="1.4191183500000001E-2"/>
    <n v="2.8436289980131142"/>
    <n v="20"/>
    <x v="3"/>
    <n v="5.6872579960262286E-2"/>
    <x v="7"/>
  </r>
  <r>
    <s v="23GO12I34"/>
    <x v="22"/>
    <n v="9541.903581705581"/>
    <n v="2.2810520000000001E-2"/>
    <n v="0.21765578248856679"/>
    <n v="20"/>
    <x v="3"/>
    <n v="4.353115649771336E-3"/>
    <x v="7"/>
  </r>
  <r>
    <s v="23GO12I34"/>
    <x v="23"/>
    <n v="151080.14004367171"/>
    <n v="1.2024781429499998E-2"/>
    <n v="1.8167056623634026"/>
    <n v="20"/>
    <x v="3"/>
    <n v="3.6334113247268048E-2"/>
    <x v="7"/>
  </r>
  <r>
    <s v="23GO12I34"/>
    <x v="24"/>
    <n v="163802.67815261247"/>
    <n v="1.8567199999999999E-3"/>
    <n v="0.3041357085795186"/>
    <n v="20"/>
    <x v="3"/>
    <n v="6.0827141715903725E-3"/>
    <x v="7"/>
  </r>
  <r>
    <s v="23GO12I34"/>
    <x v="25"/>
    <n v="1590.3172636175968"/>
    <n v="2.1224160000000002E-3"/>
    <n v="3.3753148053782059E-3"/>
    <n v="20"/>
    <x v="3"/>
    <n v="6.7506296107564114E-5"/>
    <x v="7"/>
  </r>
  <r>
    <s v="23GO12I34"/>
    <x v="26"/>
    <n v="20674.124427028757"/>
    <n v="4.2536264615384619E-3"/>
    <n v="8.7940002731948214E-2"/>
    <n v="20"/>
    <x v="3"/>
    <n v="1.7588000546389644E-3"/>
    <x v="7"/>
  </r>
  <r>
    <s v="23GO12I34"/>
    <x v="28"/>
    <n v="15903.172636175968"/>
    <n v="9.4896537120000013E-2"/>
    <n v="1.5091560123946413"/>
    <n v="20"/>
    <x v="3"/>
    <n v="3.0183120247892822E-2"/>
    <x v="7"/>
  </r>
  <r>
    <s v="23GO12I34"/>
    <x v="29"/>
    <n v="4770.9517908527905"/>
    <n v="0.35394970999999997"/>
    <n v="1.6886770027963258"/>
    <n v="20"/>
    <x v="3"/>
    <n v="3.3773540055926518E-2"/>
    <x v="7"/>
  </r>
  <r>
    <s v="23GO12I34"/>
    <x v="32"/>
    <n v="3180.6345272351937"/>
    <n v="2.0684125000000005E-2"/>
    <n v="6.5788642140648668E-2"/>
    <n v="20"/>
    <x v="3"/>
    <n v="1.3157728428129733E-3"/>
    <x v="7"/>
  </r>
  <r>
    <s v="23GO12I34"/>
    <x v="34"/>
    <n v="6361.2690544703873"/>
    <n v="5.7038400000000003E-2"/>
    <n v="0.36283660883650376"/>
    <n v="20"/>
    <x v="3"/>
    <n v="7.2567321767300751E-3"/>
    <x v="7"/>
  </r>
  <r>
    <s v="23GO12I34"/>
    <x v="35"/>
    <n v="49299.835172145504"/>
    <n v="0.121465822244"/>
    <n v="5.9882450156783253"/>
    <n v="20"/>
    <x v="3"/>
    <n v="0.1197649003135665"/>
    <x v="7"/>
  </r>
  <r>
    <s v="23GO12I54"/>
    <x v="0"/>
    <n v="1814.2656839844242"/>
    <n v="1.461930273118933"/>
    <n v="2.6523299268976572"/>
    <n v="16"/>
    <x v="4"/>
    <n v="4.2437278830362517E-2"/>
    <x v="0"/>
  </r>
  <r>
    <s v="23GO12I54"/>
    <x v="1"/>
    <n v="2.2549466952931407"/>
    <n v="83.291666415064384"/>
    <n v="0.1878182679281081"/>
    <n v="16"/>
    <x v="4"/>
    <n v="3.0050922868497297E-3"/>
    <x v="1"/>
  </r>
  <r>
    <s v="23GO12I54"/>
    <x v="2"/>
    <n v="10.630462992096236"/>
    <n v="1.6684511691869024"/>
    <n v="1.7736408408161063E-2"/>
    <n v="16"/>
    <x v="4"/>
    <n v="2.8378253453057703E-4"/>
    <x v="1"/>
  </r>
  <r>
    <s v="23GO12I54"/>
    <x v="3"/>
    <n v="137.44436999882001"/>
    <n v="0.76343762520354208"/>
    <n v="0.10493020342949612"/>
    <n v="16"/>
    <x v="4"/>
    <n v="1.6788832548719379E-3"/>
    <x v="2"/>
  </r>
  <r>
    <s v="23GO12I54"/>
    <x v="4"/>
    <n v="439.82198399622405"/>
    <n v="2.8967811139447548"/>
    <n v="1.2740680167379739"/>
    <n v="16"/>
    <x v="4"/>
    <n v="2.0385088267807581E-2"/>
    <x v="3"/>
  </r>
  <r>
    <s v="23GO12I54"/>
    <x v="5"/>
    <n v="109.95549599905601"/>
    <n v="1.1849143073354143"/>
    <n v="0.13028784037944335"/>
    <n v="16"/>
    <x v="4"/>
    <n v="2.0846054460710935E-3"/>
    <x v="4"/>
  </r>
  <r>
    <s v="23GO12I54"/>
    <x v="37"/>
    <n v="54.977747999528006"/>
    <n v="0.91688574082550789"/>
    <n v="5.0408313203465317E-2"/>
    <n v="16"/>
    <x v="4"/>
    <n v="8.0653301125544505E-4"/>
    <x v="0"/>
  </r>
  <r>
    <s v="23GO12I54"/>
    <x v="6"/>
    <n v="54.977747999528006"/>
    <n v="5.5360287650909834"/>
    <n v="0.30435839436531031"/>
    <n v="16"/>
    <x v="4"/>
    <n v="4.8697343098449654E-3"/>
    <x v="2"/>
  </r>
  <r>
    <s v="23GO12I54"/>
    <x v="8"/>
    <n v="302.37761399740401"/>
    <n v="1.7088885108851124"/>
    <n v="0.5167296305090171"/>
    <n v="16"/>
    <x v="4"/>
    <n v="8.267674088144274E-3"/>
    <x v="0"/>
  </r>
  <r>
    <s v="23GO12I54"/>
    <x v="9"/>
    <n v="1814.2656839844242"/>
    <n v="1.3542602010948113"/>
    <n v="2.4569878100321616"/>
    <n v="16"/>
    <x v="4"/>
    <n v="3.9311804960514583E-2"/>
    <x v="0"/>
  </r>
  <r>
    <s v="23GO12I54"/>
    <x v="11"/>
    <n v="82.466621999292016"/>
    <n v="4.3875024244472787"/>
    <n v="0.36182250395787097"/>
    <n v="16"/>
    <x v="4"/>
    <n v="5.7891600633259354E-3"/>
    <x v="4"/>
  </r>
  <r>
    <s v="23GO12I54"/>
    <x v="12"/>
    <n v="47.123783999595432"/>
    <n v="2.5899904687504947"/>
    <n v="0.12205015141040923"/>
    <n v="16"/>
    <x v="4"/>
    <n v="1.9528024225665477E-3"/>
    <x v="1"/>
  </r>
  <r>
    <s v="23GO12I54"/>
    <x v="13"/>
    <n v="54.977747999528006"/>
    <n v="4.7031142741236636"/>
    <n v="0.25856663137575386"/>
    <n v="16"/>
    <x v="4"/>
    <n v="4.137066102012062E-3"/>
    <x v="4"/>
  </r>
  <r>
    <s v="23GO12I54"/>
    <x v="14"/>
    <n v="1267.9243132391148"/>
    <n v="9.3863086580423472E-2"/>
    <n v="0.119011289590987"/>
    <n v="16"/>
    <x v="4"/>
    <n v="1.9041806334557921E-3"/>
    <x v="5"/>
  </r>
  <r>
    <s v="23GO12I54"/>
    <x v="15"/>
    <n v="18701.883620276942"/>
    <n v="0.29805446051388707"/>
    <n v="5.5741798330351449"/>
    <n v="16"/>
    <x v="4"/>
    <n v="8.9186877328562314E-2"/>
    <x v="6"/>
  </r>
  <r>
    <s v="23GO12I54"/>
    <x v="16"/>
    <n v="633.96215661955739"/>
    <n v="3.6498965999999994E-2"/>
    <n v="2.3138963199743894E-2"/>
    <n v="16"/>
    <x v="4"/>
    <n v="3.7022341119590229E-4"/>
    <x v="7"/>
  </r>
  <r>
    <s v="23GO12I54"/>
    <x v="17"/>
    <n v="9509.4323492933599"/>
    <n v="1.0938432600000001E-2"/>
    <n v="0.10401828481700508"/>
    <n v="16"/>
    <x v="4"/>
    <n v="1.6642925570720813E-3"/>
    <x v="7"/>
  </r>
  <r>
    <s v="23GO12I54"/>
    <x v="18"/>
    <n v="633.96215661955739"/>
    <n v="3.2192197537499996"/>
    <n v="2.0408634977196303"/>
    <n v="16"/>
    <x v="4"/>
    <n v="3.2653815963514084E-2"/>
    <x v="7"/>
  </r>
  <r>
    <s v="23GO12I54"/>
    <x v="19"/>
    <n v="1267.9243132391148"/>
    <n v="2.3825310265574999"/>
    <n v="3.0208690156188012"/>
    <n v="16"/>
    <x v="4"/>
    <n v="4.8333904249900819E-2"/>
    <x v="7"/>
  </r>
  <r>
    <s v="23GO12I54"/>
    <x v="20"/>
    <n v="1267.9243132391148"/>
    <n v="2.0993894999999999E-2"/>
    <n v="2.6618669900089084E-2"/>
    <n v="16"/>
    <x v="4"/>
    <n v="4.2589871840142534E-4"/>
    <x v="7"/>
  </r>
  <r>
    <s v="23GO12I54"/>
    <x v="21"/>
    <n v="87803.758691808689"/>
    <n v="1.2024498200000001E-2"/>
    <n v="1.055796138342888"/>
    <n v="16"/>
    <x v="4"/>
    <n v="1.6892738213486209E-2"/>
    <x v="7"/>
  </r>
  <r>
    <s v="23GO12I54"/>
    <x v="22"/>
    <n v="5071.6972529564591"/>
    <n v="2.3393892499999999E-2"/>
    <n v="0.11864674032820871"/>
    <n v="16"/>
    <x v="4"/>
    <n v="1.8983478452513393E-3"/>
    <x v="7"/>
  </r>
  <r>
    <s v="23GO12I54"/>
    <x v="23"/>
    <n v="10777.356662532475"/>
    <n v="7.8587282917499997E-3"/>
    <n v="8.4696317714124322E-2"/>
    <n v="16"/>
    <x v="4"/>
    <n v="1.3551410834259892E-3"/>
    <x v="7"/>
  </r>
  <r>
    <s v="23GO12I54"/>
    <x v="24"/>
    <n v="2852.8297047880078"/>
    <n v="1.3593584444444445E-3"/>
    <n v="3.8780181497655303E-3"/>
    <n v="16"/>
    <x v="4"/>
    <n v="6.2048290396248484E-5"/>
    <x v="7"/>
  </r>
  <r>
    <s v="23GO12I54"/>
    <x v="25"/>
    <n v="316.9810783097787"/>
    <n v="1.940598E-3"/>
    <n v="6.151328466057999E-4"/>
    <n v="16"/>
    <x v="4"/>
    <n v="9.8421255456927992E-6"/>
    <x v="7"/>
  </r>
  <r>
    <s v="23GO12I54"/>
    <x v="26"/>
    <n v="12362.262054081368"/>
    <n v="3.5384665999999994E-3"/>
    <n v="4.3743451378814309E-2"/>
    <n v="16"/>
    <x v="4"/>
    <n v="6.9989522206102893E-4"/>
    <x v="7"/>
  </r>
  <r>
    <s v="23GO12I54"/>
    <x v="27"/>
    <n v="633.96215661955739"/>
    <n v="2.1170870000000001E-3"/>
    <n v="1.3421530402712289E-3"/>
    <n v="16"/>
    <x v="4"/>
    <n v="2.1474448644339661E-5"/>
    <x v="7"/>
  </r>
  <r>
    <s v="23GO12I54"/>
    <x v="29"/>
    <n v="1584.9053915488932"/>
    <n v="0.34526056399999999"/>
    <n v="0.54720532937281163"/>
    <n v="16"/>
    <x v="4"/>
    <n v="8.7552852699649859E-3"/>
    <x v="7"/>
  </r>
  <r>
    <s v="23GO12I54"/>
    <x v="44"/>
    <n v="316.9810783097787"/>
    <n v="5.4517759999999998E-2"/>
    <n v="1.728109835183372E-2"/>
    <n v="16"/>
    <x v="4"/>
    <n v="2.7649757362933951E-4"/>
    <x v="7"/>
  </r>
  <r>
    <s v="23GO12I54"/>
    <x v="30"/>
    <n v="633.96215661955739"/>
    <n v="1.8891730000000002E-2"/>
    <n v="1.1976641893074392E-2"/>
    <n v="16"/>
    <x v="4"/>
    <n v="1.9162627028919028E-4"/>
    <x v="7"/>
  </r>
  <r>
    <s v="23GO12I54"/>
    <x v="34"/>
    <n v="3486.7918614075652"/>
    <n v="3.512899545454546E-2"/>
    <n v="0.12248749545033245"/>
    <n v="16"/>
    <x v="4"/>
    <n v="1.9597999272053194E-3"/>
    <x v="7"/>
  </r>
  <r>
    <s v="23GO12I54"/>
    <x v="36"/>
    <n v="11728.299897461811"/>
    <n v="0.1069242266456"/>
    <n v="1.2540393964037739"/>
    <n v="16"/>
    <x v="4"/>
    <n v="2.0064630342460383E-2"/>
    <x v="7"/>
  </r>
  <r>
    <s v="23GO12I74"/>
    <x v="0"/>
    <n v="88.471473115745297"/>
    <n v="1.1166907644187907"/>
    <n v="9.879527694287811E-2"/>
    <n v="20"/>
    <x v="5"/>
    <n v="1.9759055388575623E-3"/>
    <x v="0"/>
  </r>
  <r>
    <s v="23GO12I74"/>
    <x v="1"/>
    <n v="6.6991620267932142"/>
    <n v="129.25253023323538"/>
    <n v="0.86588364240543225"/>
    <n v="20"/>
    <x v="5"/>
    <n v="1.7317672848108645E-2"/>
    <x v="1"/>
  </r>
  <r>
    <s v="23GO12I74"/>
    <x v="2"/>
    <n v="0.95702314668474486"/>
    <n v="9.04205868606285"/>
    <n v="8.6534594562439997E-3"/>
    <n v="20"/>
    <x v="5"/>
    <n v="1.7306918912488002E-4"/>
    <x v="1"/>
  </r>
  <r>
    <s v="23GO12I74"/>
    <x v="45"/>
    <n v="27.22199172792163"/>
    <n v="1.567448837304017"/>
    <n v="4.2669079283030327E-2"/>
    <n v="20"/>
    <x v="5"/>
    <n v="8.5338158566060655E-4"/>
    <x v="0"/>
  </r>
  <r>
    <s v="23GO12I74"/>
    <x v="3"/>
    <n v="34.027489659902038"/>
    <n v="1.1308534783927733"/>
    <n v="3.8480105042874344E-2"/>
    <n v="20"/>
    <x v="5"/>
    <n v="7.6960210085748695E-4"/>
    <x v="2"/>
  </r>
  <r>
    <s v="23GO12I74"/>
    <x v="4"/>
    <n v="74.860477251784488"/>
    <n v="2.2175390865519433"/>
    <n v="0.16600603434376471"/>
    <n v="20"/>
    <x v="5"/>
    <n v="3.3201206868752942E-3"/>
    <x v="3"/>
  </r>
  <r>
    <s v="23GO12I74"/>
    <x v="5"/>
    <n v="612.49481387823676"/>
    <n v="1.804859606855193"/>
    <n v="1.1054671489771191"/>
    <n v="20"/>
    <x v="5"/>
    <n v="2.2109342979542382E-2"/>
    <x v="4"/>
  </r>
  <r>
    <s v="23GO12I74"/>
    <x v="37"/>
    <n v="13.610995863960815"/>
    <n v="0.52073013543403379"/>
    <n v="7.0876557196323893E-3"/>
    <n v="20"/>
    <x v="5"/>
    <n v="1.4175311439264778E-4"/>
    <x v="0"/>
  </r>
  <r>
    <s v="23GO12I74"/>
    <x v="6"/>
    <n v="20.416493795941225"/>
    <n v="4.6038094819450723"/>
    <n v="9.3993647725826954E-2"/>
    <n v="20"/>
    <x v="5"/>
    <n v="1.879872954516539E-3"/>
    <x v="2"/>
  </r>
  <r>
    <s v="23GO12I74"/>
    <x v="40"/>
    <n v="156.52645243554937"/>
    <n v="1.2613934763730352"/>
    <n v="0.19744144598201618"/>
    <n v="20"/>
    <x v="5"/>
    <n v="3.9488289196403237E-3"/>
    <x v="4"/>
  </r>
  <r>
    <s v="23GO12I74"/>
    <x v="7"/>
    <n v="17.499851825092477"/>
    <n v="19.388846757203911"/>
    <n v="0.33930194531049324"/>
    <n v="20"/>
    <x v="5"/>
    <n v="6.7860389062098653E-3"/>
    <x v="4"/>
  </r>
  <r>
    <s v="23GO12I74"/>
    <x v="8"/>
    <n v="13.610995863960815"/>
    <n v="1.8652460737612824"/>
    <n v="2.5387856595233963E-2"/>
    <n v="20"/>
    <x v="5"/>
    <n v="5.077571319046793E-4"/>
    <x v="0"/>
  </r>
  <r>
    <s v="23GO12I74"/>
    <x v="41"/>
    <n v="13.610995863960815"/>
    <n v="0.62709995900955084"/>
    <n v="8.5354549483689941E-3"/>
    <n v="20"/>
    <x v="5"/>
    <n v="1.7070909896737987E-4"/>
    <x v="8"/>
  </r>
  <r>
    <s v="23GO12I74"/>
    <x v="11"/>
    <n v="592.07832008229548"/>
    <n v="3.9054992471935472"/>
    <n v="2.312361433361025"/>
    <n v="20"/>
    <x v="5"/>
    <n v="4.6247228667220495E-2"/>
    <x v="4"/>
  </r>
  <r>
    <s v="23GO12I74"/>
    <x v="46"/>
    <n v="40.83298759188245"/>
    <n v="6.7323409793079181"/>
    <n v="0.27490159567240197"/>
    <n v="20"/>
    <x v="5"/>
    <n v="5.498031913448039E-3"/>
    <x v="4"/>
  </r>
  <r>
    <s v="23GO12I74"/>
    <x v="12"/>
    <n v="469.57935730664815"/>
    <n v="2.0245216095664746"/>
    <n v="0.95067355627364603"/>
    <n v="20"/>
    <x v="5"/>
    <n v="1.9013471125472921E-2"/>
    <x v="1"/>
  </r>
  <r>
    <s v="23GO12I74"/>
    <x v="13"/>
    <n v="251.80342348327508"/>
    <n v="7.7031668280688947"/>
    <n v="1.9396837789705488"/>
    <n v="20"/>
    <x v="5"/>
    <n v="3.879367557941097E-2"/>
    <x v="4"/>
  </r>
  <r>
    <s v="23GO12I74"/>
    <x v="47"/>
    <n v="20.416493795941225"/>
    <n v="0.36475909525052558"/>
    <n v="7.4471018051954895E-3"/>
    <n v="20"/>
    <x v="5"/>
    <n v="1.4894203610390979E-4"/>
    <x v="2"/>
  </r>
  <r>
    <s v="23GO12I74"/>
    <x v="14"/>
    <n v="22662.308113494761"/>
    <n v="0.15791870603595948"/>
    <n v="3.5788023730713183"/>
    <n v="20"/>
    <x v="5"/>
    <n v="7.1576047461426373E-2"/>
    <x v="5"/>
  </r>
  <r>
    <s v="23GO12I74"/>
    <x v="15"/>
    <n v="7554.1027044982529"/>
    <n v="0.1436805805566036"/>
    <n v="1.0853778621665182"/>
    <n v="20"/>
    <x v="5"/>
    <n v="2.1707557243330365E-2"/>
    <x v="6"/>
  </r>
  <r>
    <s v="23GO12I74"/>
    <x v="16"/>
    <n v="755.41027044982536"/>
    <n v="5.267711999999999E-3"/>
    <n v="3.9792837465717898E-3"/>
    <n v="20"/>
    <x v="5"/>
    <n v="7.9585674931435804E-5"/>
    <x v="7"/>
  </r>
  <r>
    <s v="23GO12I74"/>
    <x v="17"/>
    <n v="5287.8718931487774"/>
    <n v="1.5591514285714283E-2"/>
    <n v="8.2445930163056194E-2"/>
    <n v="20"/>
    <x v="5"/>
    <n v="1.6489186032611239E-3"/>
    <x v="7"/>
  </r>
  <r>
    <s v="23GO12I74"/>
    <x v="19"/>
    <n v="755.41027044982536"/>
    <n v="2.3957971564799996"/>
    <n v="1.8098097779194791"/>
    <n v="20"/>
    <x v="5"/>
    <n v="3.6196195558389585E-2"/>
    <x v="7"/>
  </r>
  <r>
    <s v="23GO12I74"/>
    <x v="20"/>
    <n v="3777.0513522491265"/>
    <n v="7.0998480000000015E-3"/>
    <n v="2.681649048916326E-2"/>
    <n v="20"/>
    <x v="5"/>
    <n v="5.3632980978326518E-4"/>
    <x v="7"/>
  </r>
  <r>
    <s v="23GO12I74"/>
    <x v="21"/>
    <n v="177521.41355570895"/>
    <n v="1.2575874999999997E-2"/>
    <n v="2.2324871066999008"/>
    <n v="20"/>
    <x v="5"/>
    <n v="4.464974213399802E-2"/>
    <x v="7"/>
  </r>
  <r>
    <s v="23GO12I74"/>
    <x v="22"/>
    <n v="4532.4616226989519"/>
    <n v="3.1738296666666672E-2"/>
    <n v="0.14385261161150079"/>
    <n v="20"/>
    <x v="5"/>
    <n v="2.8770522322300158E-3"/>
    <x v="7"/>
  </r>
  <r>
    <s v="23GO12I74"/>
    <x v="23"/>
    <n v="3021.6410817993014"/>
    <n v="9.1331219962500002E-3"/>
    <n v="2.7597016628953846E-2"/>
    <n v="20"/>
    <x v="5"/>
    <n v="5.5194033257907691E-4"/>
    <x v="7"/>
  </r>
  <r>
    <s v="23GO12I74"/>
    <x v="24"/>
    <n v="14352.79513854668"/>
    <n v="1.7104640000000001E-3"/>
    <n v="2.4549939383859111E-2"/>
    <n v="20"/>
    <x v="5"/>
    <n v="4.9099878767718225E-4"/>
    <x v="7"/>
  </r>
  <r>
    <s v="23GO12I74"/>
    <x v="25"/>
    <n v="755.41027044982536"/>
    <n v="2.1854539999999999E-3"/>
    <n v="1.6509143971956525E-3"/>
    <n v="20"/>
    <x v="5"/>
    <n v="3.3018287943913052E-5"/>
    <x v="7"/>
  </r>
  <r>
    <s v="23GO12I74"/>
    <x v="26"/>
    <n v="27194.76973619371"/>
    <n v="3.9513876E-3"/>
    <n v="0.10745707592045109"/>
    <n v="20"/>
    <x v="5"/>
    <n v="2.1491415184090217E-3"/>
    <x v="7"/>
  </r>
  <r>
    <s v="23GO12I74"/>
    <x v="29"/>
    <n v="755.41027044982536"/>
    <n v="0.19683"/>
    <n v="0.14868740353263915"/>
    <n v="20"/>
    <x v="5"/>
    <n v="2.9737480706527827E-3"/>
    <x v="7"/>
  </r>
  <r>
    <s v="23GO12I74"/>
    <x v="30"/>
    <n v="2266.230811349476"/>
    <n v="1.0669680000000001E-2"/>
    <n v="2.4179957563239277E-2"/>
    <n v="20"/>
    <x v="5"/>
    <n v="4.8359915126478556E-4"/>
    <x v="7"/>
  </r>
  <r>
    <s v="23GO12I74"/>
    <x v="31"/>
    <n v="3777.0513522491265"/>
    <n v="2.5452682640000002E-2"/>
    <n v="9.6136089383779877E-2"/>
    <n v="20"/>
    <x v="5"/>
    <n v="1.9227217876755976E-3"/>
    <x v="7"/>
  </r>
  <r>
    <s v="23GO12I74"/>
    <x v="32"/>
    <n v="10575.743786297555"/>
    <n v="3.6994768800000008E-2"/>
    <n v="0.39124719626211474"/>
    <n v="20"/>
    <x v="5"/>
    <n v="7.8249439252422951E-3"/>
    <x v="7"/>
  </r>
  <r>
    <s v="23GO12I74"/>
    <x v="34"/>
    <n v="1510.8205408996507"/>
    <n v="3.4011359999999997E-2"/>
    <n v="5.1385061311932739E-2"/>
    <n v="20"/>
    <x v="5"/>
    <n v="1.027701226238655E-3"/>
    <x v="7"/>
  </r>
  <r>
    <s v="23GO12I74"/>
    <x v="36"/>
    <n v="3021.6410817993014"/>
    <n v="1.9500514254000002E-2"/>
    <n v="5.8923554986099261E-2"/>
    <n v="20"/>
    <x v="5"/>
    <n v="1.1784710997219852E-3"/>
    <x v="7"/>
  </r>
  <r>
    <s v="23GO12I74"/>
    <x v="48"/>
    <n v="755.41027044982536"/>
    <n v="1.9500514254000002E-2"/>
    <n v="1.4730888746524815E-2"/>
    <n v="20"/>
    <x v="5"/>
    <n v="2.9461777493049629E-4"/>
    <x v="7"/>
  </r>
  <r>
    <s v="23GO12I94"/>
    <x v="0"/>
    <n v="2078.1588743821585"/>
    <n v="0.62034654646282539"/>
    <n v="1.2891786807240446"/>
    <n v="20"/>
    <x v="6"/>
    <n v="2.5783573614480894E-2"/>
    <x v="0"/>
  </r>
  <r>
    <s v="23GO12I94"/>
    <x v="1"/>
    <n v="8.1178081030553066"/>
    <n v="111.75905783141759"/>
    <n v="0.90723858525370837"/>
    <n v="20"/>
    <x v="6"/>
    <n v="1.8144771705074166E-2"/>
    <x v="1"/>
  </r>
  <r>
    <s v="23GO12I94"/>
    <x v="3"/>
    <n v="2078.1588743821585"/>
    <n v="0.63222521303169144"/>
    <n v="1.3138644370699604"/>
    <n v="20"/>
    <x v="6"/>
    <n v="2.6277288741399209E-2"/>
    <x v="2"/>
  </r>
  <r>
    <s v="23GO12I94"/>
    <x v="4"/>
    <n v="626.7463271946192"/>
    <n v="2.669938286759665"/>
    <n v="1.6733740150629139"/>
    <n v="20"/>
    <x v="6"/>
    <n v="3.3467480301258276E-2"/>
    <x v="3"/>
  </r>
  <r>
    <s v="23GO12I94"/>
    <x v="5"/>
    <n v="2078.1588743821585"/>
    <n v="1.2128289802606687"/>
    <n v="2.5204513084365723"/>
    <n v="20"/>
    <x v="6"/>
    <n v="5.0409026168731441E-2"/>
    <x v="4"/>
  </r>
  <r>
    <s v="23GO12I94"/>
    <x v="6"/>
    <n v="758.69292239348636"/>
    <n v="2.4900722776527884"/>
    <n v="1.8892002133033989"/>
    <n v="20"/>
    <x v="6"/>
    <n v="3.7784004266067983E-2"/>
    <x v="2"/>
  </r>
  <r>
    <s v="23GO12I94"/>
    <x v="40"/>
    <n v="197.91989279830079"/>
    <n v="3.825239176159553"/>
    <n v="0.75709092767335917"/>
    <n v="20"/>
    <x v="6"/>
    <n v="1.5141818553467183E-2"/>
    <x v="4"/>
  </r>
  <r>
    <s v="23GO12I94"/>
    <x v="7"/>
    <n v="70.685675999393141"/>
    <n v="10.239778631603309"/>
    <n v="0.72380567465902079"/>
    <n v="20"/>
    <x v="6"/>
    <n v="1.4476113493180415E-2"/>
    <x v="4"/>
  </r>
  <r>
    <s v="23GO12I94"/>
    <x v="9"/>
    <n v="42.411405599635884"/>
    <n v="1.0488961347517116"/>
    <n v="4.4485159402845177E-2"/>
    <n v="20"/>
    <x v="6"/>
    <n v="8.8970318805690353E-4"/>
    <x v="0"/>
  </r>
  <r>
    <s v="23GO12I94"/>
    <x v="11"/>
    <n v="824.66621999291988"/>
    <n v="3.4002302532357236"/>
    <n v="2.8040550300414728"/>
    <n v="20"/>
    <x v="6"/>
    <n v="5.6081100600829457E-2"/>
    <x v="4"/>
  </r>
  <r>
    <s v="23GO12I94"/>
    <x v="12"/>
    <n v="692.71962479405283"/>
    <n v="4.2011242780910862"/>
    <n v="2.9102012336324434"/>
    <n v="20"/>
    <x v="6"/>
    <n v="5.8204024672648867E-2"/>
    <x v="1"/>
  </r>
  <r>
    <s v="23GO12I94"/>
    <x v="43"/>
    <n v="42.411405599635884"/>
    <n v="3.8986031814601456"/>
    <n v="0.1653452408009371"/>
    <n v="20"/>
    <x v="6"/>
    <n v="3.3069048160187416E-3"/>
    <x v="1"/>
  </r>
  <r>
    <s v="23GO12I94"/>
    <x v="13"/>
    <n v="131.94659519886719"/>
    <n v="6.955610575622539"/>
    <n v="0.91776913298262675"/>
    <n v="20"/>
    <x v="6"/>
    <n v="1.8355382659652534E-2"/>
    <x v="4"/>
  </r>
  <r>
    <s v="23GO12I94"/>
    <x v="14"/>
    <n v="12122.593433895925"/>
    <n v="9.9349042665410114E-2"/>
    <n v="1.2043680522795468"/>
    <n v="20"/>
    <x v="6"/>
    <n v="2.4087361045590935E-2"/>
    <x v="5"/>
  </r>
  <r>
    <s v="23GO12I94"/>
    <x v="15"/>
    <n v="45719.495236407485"/>
    <n v="0.16974615716480451"/>
    <n v="7.7607086238947556"/>
    <n v="20"/>
    <x v="6"/>
    <n v="0.15521417247789512"/>
    <x v="6"/>
  </r>
  <r>
    <s v="23GO12I94"/>
    <x v="17"/>
    <n v="1385.4392495881057"/>
    <n v="1.1305166999999998E-2"/>
    <n v="1.5662622084948213E-2"/>
    <n v="20"/>
    <x v="6"/>
    <n v="3.1325244169896427E-4"/>
    <x v="7"/>
  </r>
  <r>
    <s v="23GO12I94"/>
    <x v="19"/>
    <n v="2770.8784991762113"/>
    <n v="3.0458789439"/>
    <n v="8.4397604767460557"/>
    <n v="20"/>
    <x v="6"/>
    <n v="0.16879520953492114"/>
    <x v="7"/>
  </r>
  <r>
    <s v="23GO12I94"/>
    <x v="20"/>
    <n v="2424.5186867791849"/>
    <n v="7.4409428571428574E-3"/>
    <n v="1.8040705004398958E-2"/>
    <n v="20"/>
    <x v="6"/>
    <n v="3.6081410008797913E-4"/>
    <x v="7"/>
  </r>
  <r>
    <s v="23GO12I94"/>
    <x v="21"/>
    <n v="55071.210171127197"/>
    <n v="1.4119816100000002E-2"/>
    <n v="0.77759536002076557"/>
    <n v="20"/>
    <x v="6"/>
    <n v="1.5551907200415311E-2"/>
    <x v="7"/>
  </r>
  <r>
    <s v="23GO12I94"/>
    <x v="22"/>
    <n v="1039.0794371910793"/>
    <n v="2.2387660000000004E-2"/>
    <n v="2.3262557152825242E-2"/>
    <n v="20"/>
    <x v="6"/>
    <n v="4.6525114305650481E-4"/>
    <x v="7"/>
  </r>
  <r>
    <s v="23GO12I94"/>
    <x v="23"/>
    <n v="4156.317748764317"/>
    <n v="8.6436882349999987E-3"/>
    <n v="3.5925914825915804E-2"/>
    <n v="20"/>
    <x v="6"/>
    <n v="7.1851829651831611E-4"/>
    <x v="7"/>
  </r>
  <r>
    <s v="23GO12I94"/>
    <x v="24"/>
    <n v="19396.149494233479"/>
    <n v="1.6525180000000004E-3"/>
    <n v="3.2052486169911729E-2"/>
    <n v="20"/>
    <x v="6"/>
    <n v="6.4104972339823463E-4"/>
    <x v="7"/>
  </r>
  <r>
    <s v="23GO12I94"/>
    <x v="25"/>
    <n v="2424.5186867791849"/>
    <n v="1.8500274285714287E-3"/>
    <n v="4.4854260716254727E-3"/>
    <n v="20"/>
    <x v="6"/>
    <n v="8.9708521432509464E-5"/>
    <x v="7"/>
  </r>
  <r>
    <s v="23GO12I94"/>
    <x v="26"/>
    <n v="9005.3551223226859"/>
    <n v="3.8766187999999995E-3"/>
    <n v="3.4910328967872419E-2"/>
    <n v="20"/>
    <x v="6"/>
    <n v="6.9820657935744834E-4"/>
    <x v="7"/>
  </r>
  <r>
    <s v="23GO12I94"/>
    <x v="30"/>
    <n v="1385.4392495881057"/>
    <n v="2.5943644999999998E-2"/>
    <n v="3.5943344060380203E-2"/>
    <n v="20"/>
    <x v="6"/>
    <n v="7.1886688120760404E-4"/>
    <x v="7"/>
  </r>
  <r>
    <s v="23GO12I94"/>
    <x v="32"/>
    <n v="20088.869119027531"/>
    <n v="3.4492236240000015E-2"/>
    <n v="0.69291001944793862"/>
    <n v="20"/>
    <x v="6"/>
    <n v="1.3858200388958773E-2"/>
    <x v="7"/>
  </r>
  <r>
    <s v="23GO12I94"/>
    <x v="34"/>
    <n v="2770.8784991762113"/>
    <n v="2.5618470000000001E-2"/>
    <n v="7.0985667704790797E-2"/>
    <n v="20"/>
    <x v="6"/>
    <n v="1.419713354095816E-3"/>
    <x v="7"/>
  </r>
  <r>
    <s v="23GO12I94"/>
    <x v="35"/>
    <n v="692.71962479405283"/>
    <n v="7.1397823952000006E-2"/>
    <n v="4.9458673819141284E-2"/>
    <n v="20"/>
    <x v="6"/>
    <n v="9.8917347638282564E-4"/>
    <x v="7"/>
  </r>
  <r>
    <s v="23GO12I94"/>
    <x v="48"/>
    <n v="692.71962479405283"/>
    <n v="7.1397823952000006E-2"/>
    <n v="4.9458673819141284E-2"/>
    <n v="20"/>
    <x v="6"/>
    <n v="9.8917347638282564E-4"/>
    <x v="7"/>
  </r>
  <r>
    <s v="23GO13I14"/>
    <x v="0"/>
    <n v="386.74002041047288"/>
    <n v="0.54070762324681643"/>
    <n v="0.20911327725057205"/>
    <n v="20"/>
    <x v="7"/>
    <n v="4.1822655450114415E-3"/>
    <x v="0"/>
  </r>
  <r>
    <s v="23GO13I14"/>
    <x v="1"/>
    <n v="4.5321096141852291"/>
    <n v="109.96429429186539"/>
    <n v="0.498370235377257"/>
    <n v="20"/>
    <x v="7"/>
    <n v="9.9674047075451397E-3"/>
    <x v="1"/>
  </r>
  <r>
    <s v="23GO13I14"/>
    <x v="3"/>
    <n v="1305.247568885346"/>
    <n v="0.79732520767195547"/>
    <n v="1.0407067889248236"/>
    <n v="20"/>
    <x v="7"/>
    <n v="2.081413577849647E-2"/>
    <x v="2"/>
  </r>
  <r>
    <s v="23GO13I14"/>
    <x v="4"/>
    <n v="338.39751785916377"/>
    <n v="2.7680878208322035"/>
    <n v="0.93671404778579925"/>
    <n v="20"/>
    <x v="7"/>
    <n v="1.8734280955715985E-2"/>
    <x v="3"/>
  </r>
  <r>
    <s v="23GO13I14"/>
    <x v="39"/>
    <n v="96.68500510261822"/>
    <n v="3.4541403503745562"/>
    <n v="0.33396357740112348"/>
    <n v="20"/>
    <x v="7"/>
    <n v="6.6792715480224699E-3"/>
    <x v="3"/>
  </r>
  <r>
    <s v="23GO13I14"/>
    <x v="5"/>
    <n v="354.51168537626683"/>
    <n v="1.7776397238731385"/>
    <n v="0.630194054502068"/>
    <n v="20"/>
    <x v="7"/>
    <n v="1.2603881090041361E-2"/>
    <x v="4"/>
  </r>
  <r>
    <s v="23GO13I14"/>
    <x v="6"/>
    <n v="435.08252296178199"/>
    <n v="3.2700743571227471"/>
    <n v="1.4227522015695919"/>
    <n v="20"/>
    <x v="7"/>
    <n v="2.8455044031391839E-2"/>
    <x v="2"/>
  </r>
  <r>
    <s v="23GO13I14"/>
    <x v="7"/>
    <n v="27.624287172176633"/>
    <n v="13.388792598120331"/>
    <n v="0.36985585161918894"/>
    <n v="20"/>
    <x v="7"/>
    <n v="7.3971170323837787E-3"/>
    <x v="4"/>
  </r>
  <r>
    <s v="23GO13I14"/>
    <x v="8"/>
    <n v="338.39751785916377"/>
    <n v="1.4064451226634005"/>
    <n v="0.47593753851442189"/>
    <n v="20"/>
    <x v="7"/>
    <n v="9.5187507702884384E-3"/>
    <x v="0"/>
  </r>
  <r>
    <s v="23GO13I14"/>
    <x v="9"/>
    <n v="1063.5350561288005"/>
    <n v="2.0718631362538216"/>
    <n v="2.2034990769069007"/>
    <n v="20"/>
    <x v="7"/>
    <n v="4.4069981538138014E-2"/>
    <x v="0"/>
  </r>
  <r>
    <s v="23GO13I14"/>
    <x v="11"/>
    <n v="338.39751785916377"/>
    <n v="4.1373036138108148"/>
    <n v="1.400053273543328"/>
    <n v="20"/>
    <x v="7"/>
    <n v="2.800106547086656E-2"/>
    <x v="4"/>
  </r>
  <r>
    <s v="23GO13I14"/>
    <x v="12"/>
    <n v="165.74572303305982"/>
    <n v="4.5921659398622667"/>
    <n v="0.76113186399026211"/>
    <n v="20"/>
    <x v="7"/>
    <n v="1.5222637279805242E-2"/>
    <x v="1"/>
  </r>
  <r>
    <s v="23GO13I14"/>
    <x v="13"/>
    <n v="193.37001020523644"/>
    <n v="6.7481623775794608"/>
    <n v="1.3048922278191331"/>
    <n v="20"/>
    <x v="7"/>
    <n v="2.6097844556382661E-2"/>
    <x v="4"/>
  </r>
  <r>
    <s v="23GO13I14"/>
    <x v="14"/>
    <n v="1849.1007225875735"/>
    <n v="0.13110648416745477"/>
    <n v="0.24242909460995687"/>
    <n v="20"/>
    <x v="7"/>
    <n v="4.8485818921991369E-3"/>
    <x v="5"/>
  </r>
  <r>
    <s v="23GO13I14"/>
    <x v="15"/>
    <n v="12943.705058113015"/>
    <n v="0.19357120648445253"/>
    <n v="2.5055286044778473"/>
    <n v="20"/>
    <x v="7"/>
    <n v="5.0110572089556944E-2"/>
    <x v="6"/>
  </r>
  <r>
    <s v="23GO13I14"/>
    <x v="16"/>
    <n v="410.91127168612746"/>
    <n v="1.7411813999999998E-2"/>
    <n v="7.154710633102317E-3"/>
    <n v="20"/>
    <x v="7"/>
    <n v="1.4309421266204633E-4"/>
    <x v="7"/>
  </r>
  <r>
    <s v="23GO13I14"/>
    <x v="17"/>
    <n v="1643.6450867445099"/>
    <n v="1.11242475E-2"/>
    <n v="1.8284314747104898E-2"/>
    <n v="20"/>
    <x v="7"/>
    <n v="3.6568629494209797E-4"/>
    <x v="7"/>
  </r>
  <r>
    <s v="23GO13I14"/>
    <x v="19"/>
    <n v="410.91127168612746"/>
    <n v="1.724909584125"/>
    <n v="0.708784790756393"/>
    <n v="20"/>
    <x v="7"/>
    <n v="1.417569581512786E-2"/>
    <x v="7"/>
  </r>
  <r>
    <s v="23GO13I14"/>
    <x v="20"/>
    <n v="1438.1894509014462"/>
    <n v="9.9416571428571458E-3"/>
    <n v="1.429798642733616E-2"/>
    <n v="20"/>
    <x v="7"/>
    <n v="2.8595972854672318E-4"/>
    <x v="7"/>
  </r>
  <r>
    <s v="23GO13I14"/>
    <x v="21"/>
    <n v="19518.285405091054"/>
    <n v="1.2051475799999999E-2"/>
    <n v="0.23522414421694801"/>
    <n v="20"/>
    <x v="7"/>
    <n v="4.70448288433896E-3"/>
    <x v="7"/>
  </r>
  <r>
    <s v="23GO13I14"/>
    <x v="22"/>
    <n v="3081.8345376459561"/>
    <n v="1.8405084000000002E-2"/>
    <n v="5.6721423539474992E-2"/>
    <n v="20"/>
    <x v="7"/>
    <n v="1.1344284707894999E-3"/>
    <x v="7"/>
  </r>
  <r>
    <s v="23GO13I14"/>
    <x v="23"/>
    <n v="5136.390896076593"/>
    <n v="7.0232931090000008E-3"/>
    <n v="3.6074378785545071E-2"/>
    <n v="20"/>
    <x v="7"/>
    <n v="7.2148757571090141E-4"/>
    <x v="7"/>
  </r>
  <r>
    <s v="23GO13I14"/>
    <x v="24"/>
    <n v="11710.971243054633"/>
    <n v="1.2958672000000003E-3"/>
    <n v="1.5175863514017731E-2"/>
    <n v="20"/>
    <x v="7"/>
    <n v="3.0351727028035463E-4"/>
    <x v="7"/>
  </r>
  <r>
    <s v="23GO13I14"/>
    <x v="26"/>
    <n v="7807.3141620364213"/>
    <n v="3.4860185000000002E-3"/>
    <n v="2.7216441604170964E-2"/>
    <n v="20"/>
    <x v="7"/>
    <n v="5.4432883208341927E-4"/>
    <x v="7"/>
  </r>
  <r>
    <s v="23GO13I14"/>
    <x v="27"/>
    <n v="1438.1894509014462"/>
    <n v="2.2410751428571427E-3"/>
    <n v="3.2230906291345943E-3"/>
    <n v="20"/>
    <x v="7"/>
    <n v="6.4461812582691894E-5"/>
    <x v="7"/>
  </r>
  <r>
    <s v="23GO13I14"/>
    <x v="29"/>
    <n v="410.91127168612746"/>
    <n v="0.34661624000000002"/>
    <n v="0.14242851996546399"/>
    <n v="20"/>
    <x v="7"/>
    <n v="2.84857039930928E-3"/>
    <x v="7"/>
  </r>
  <r>
    <s v="23GO13I14"/>
    <x v="44"/>
    <n v="1232.7338150583823"/>
    <n v="6.6933838333333343E-2"/>
    <n v="8.251160588515101E-2"/>
    <n v="20"/>
    <x v="7"/>
    <n v="1.6502321177030202E-3"/>
    <x v="7"/>
  </r>
  <r>
    <s v="23GO13I14"/>
    <x v="30"/>
    <n v="6574.5803469780394"/>
    <n v="1.7570931499999998E-2"/>
    <n v="0.11552150091799734"/>
    <n v="20"/>
    <x v="7"/>
    <n v="2.3104300183599468E-3"/>
    <x v="7"/>
  </r>
  <r>
    <s v="23GO13I14"/>
    <x v="32"/>
    <n v="4109.1127168612747"/>
    <n v="3.1724540539999999E-2"/>
    <n v="0.13035971296949503"/>
    <n v="20"/>
    <x v="7"/>
    <n v="2.6071942593899004E-3"/>
    <x v="7"/>
  </r>
  <r>
    <s v="23GO13I14"/>
    <x v="33"/>
    <n v="1232.7338150583823"/>
    <n v="4.6289124933333342E-2"/>
    <n v="5.70621695747821E-2"/>
    <n v="20"/>
    <x v="7"/>
    <n v="1.141243391495642E-3"/>
    <x v="7"/>
  </r>
  <r>
    <s v="23GO13I14"/>
    <x v="34"/>
    <n v="6369.1247111349758"/>
    <n v="2.7099097499999995E-2"/>
    <n v="0.17259753153670601"/>
    <n v="20"/>
    <x v="7"/>
    <n v="3.45195063073412E-3"/>
    <x v="7"/>
  </r>
  <r>
    <s v="23GO13I14"/>
    <x v="35"/>
    <n v="4725.4796243904657"/>
    <n v="9.59309330824E-2"/>
    <n v="0.45331966962964648"/>
    <n v="20"/>
    <x v="7"/>
    <n v="9.0663933925929311E-3"/>
    <x v="7"/>
  </r>
  <r>
    <s v="23GO13I14"/>
    <x v="36"/>
    <n v="1027.2781792153187"/>
    <n v="9.1614518257600003E-2"/>
    <n v="9.4113595505355904E-2"/>
    <n v="20"/>
    <x v="7"/>
    <n v="1.8822719101071182E-3"/>
    <x v="7"/>
  </r>
  <r>
    <s v="23GO13I34"/>
    <x v="0"/>
    <n v="308.4251662773521"/>
    <n v="1.0851719682265857"/>
    <n v="0.33469434473980614"/>
    <n v="20"/>
    <x v="8"/>
    <n v="6.6938868947961222E-3"/>
    <x v="0"/>
  </r>
  <r>
    <s v="23GO13I34"/>
    <x v="1"/>
    <n v="6.9001368875970108"/>
    <n v="134.28356637678948"/>
    <n v="0.92657498975456676"/>
    <n v="20"/>
    <x v="8"/>
    <n v="1.8531499795091336E-2"/>
    <x v="1"/>
  </r>
  <r>
    <s v="23GO13I34"/>
    <x v="3"/>
    <n v="1219.6813393695288"/>
    <n v="0.44132942955593923"/>
    <n v="0.53828126974397805"/>
    <n v="20"/>
    <x v="8"/>
    <n v="1.076562539487956E-2"/>
    <x v="2"/>
  </r>
  <r>
    <s v="23GO13I34"/>
    <x v="4"/>
    <n v="168.23190887855571"/>
    <n v="5.4586001809720246"/>
    <n v="0.91831072824975346"/>
    <n v="20"/>
    <x v="8"/>
    <n v="1.836621456499507E-2"/>
    <x v="3"/>
  </r>
  <r>
    <s v="23GO13I34"/>
    <x v="5"/>
    <n v="967.33347605169524"/>
    <n v="1.3546579544999586"/>
    <n v="1.3104059879875243"/>
    <n v="20"/>
    <x v="8"/>
    <n v="2.6208119759750483E-2"/>
    <x v="4"/>
  </r>
  <r>
    <s v="23GO13I34"/>
    <x v="6"/>
    <n v="308.4251662773521"/>
    <n v="4.5916660269167595"/>
    <n v="1.4161853578418702"/>
    <n v="20"/>
    <x v="8"/>
    <n v="2.8323707156837404E-2"/>
    <x v="2"/>
  </r>
  <r>
    <s v="23GO13I34"/>
    <x v="40"/>
    <n v="238.32853757795388"/>
    <n v="2.7837974925809053"/>
    <n v="0.66345838531998214"/>
    <n v="20"/>
    <x v="8"/>
    <n v="1.3269167706399642E-2"/>
    <x v="4"/>
  </r>
  <r>
    <s v="23GO13I34"/>
    <x v="7"/>
    <n v="30.041412299742085"/>
    <n v="14.618168760830832"/>
    <n v="0.43915043481132887"/>
    <n v="20"/>
    <x v="8"/>
    <n v="8.7830086962265783E-3"/>
    <x v="4"/>
  </r>
  <r>
    <s v="23GO13I34"/>
    <x v="11"/>
    <n v="1135.565384930251"/>
    <n v="4.1634956648745689"/>
    <n v="4.7279215573387212"/>
    <n v="20"/>
    <x v="8"/>
    <n v="9.4558431146774424E-2"/>
    <x v="4"/>
  </r>
  <r>
    <s v="23GO13I34"/>
    <x v="12"/>
    <n v="925.27549883205631"/>
    <n v="9.1239449017993675"/>
    <n v="8.4421626703286066"/>
    <n v="20"/>
    <x v="8"/>
    <n v="0.16884325340657214"/>
    <x v="1"/>
  </r>
  <r>
    <s v="23GO13I34"/>
    <x v="42"/>
    <n v="28.038651479759281"/>
    <n v="0.38031911643132343"/>
    <n v="1.0663635156707868E-2"/>
    <n v="20"/>
    <x v="8"/>
    <n v="2.1327270313415737E-4"/>
    <x v="2"/>
  </r>
  <r>
    <s v="23GO13I34"/>
    <x v="13"/>
    <n v="182.25123461843532"/>
    <n v="6.5680988584684661"/>
    <n v="1.1970441260518137"/>
    <n v="20"/>
    <x v="8"/>
    <n v="2.3940882521036273E-2"/>
    <x v="4"/>
  </r>
  <r>
    <s v="23GO13I34"/>
    <x v="47"/>
    <n v="28.038651479759281"/>
    <n v="0.1934622989059851"/>
    <n v="5.424421973497932E-3"/>
    <n v="20"/>
    <x v="8"/>
    <n v="1.0848843946995864E-4"/>
    <x v="2"/>
  </r>
  <r>
    <s v="23GO13I34"/>
    <x v="14"/>
    <n v="8706.0012844652574"/>
    <n v="0.15273626363331205"/>
    <n v="1.3297221073760388"/>
    <n v="20"/>
    <x v="8"/>
    <n v="2.6594442147520776E-2"/>
    <x v="5"/>
  </r>
  <r>
    <s v="23GO13I34"/>
    <x v="15"/>
    <n v="39660.672518119507"/>
    <n v="0.22344748189347374"/>
    <n v="8.8620774043755013"/>
    <n v="20"/>
    <x v="8"/>
    <n v="0.17724154808751"/>
    <x v="6"/>
  </r>
  <r>
    <s v="23GO13I34"/>
    <x v="17"/>
    <n v="7255.0010703877142"/>
    <n v="1.3986580000000002E-2"/>
    <n v="0.1014726528710634"/>
    <n v="20"/>
    <x v="8"/>
    <n v="2.0294530574212679E-3"/>
    <x v="7"/>
  </r>
  <r>
    <s v="23GO13I34"/>
    <x v="19"/>
    <n v="2902.000428155086"/>
    <n v="1.8492350877650001"/>
    <n v="5.366481016453438"/>
    <n v="20"/>
    <x v="8"/>
    <n v="0.10732962032906876"/>
    <x v="7"/>
  </r>
  <r>
    <s v="23GO13I34"/>
    <x v="20"/>
    <n v="4353.0006422326287"/>
    <n v="1.2488260000000003E-2"/>
    <n v="5.4361403800368059E-2"/>
    <n v="20"/>
    <x v="8"/>
    <n v="1.0872280760073612E-3"/>
    <x v="7"/>
  </r>
  <r>
    <s v="23GO13I34"/>
    <x v="21"/>
    <n v="65778.676371515277"/>
    <n v="1.6221207600000002E-2"/>
    <n v="1.0670095650755642"/>
    <n v="20"/>
    <x v="8"/>
    <n v="2.1340191301511283E-2"/>
    <x v="7"/>
  </r>
  <r>
    <s v="23GO13I34"/>
    <x v="22"/>
    <n v="4836.6673802584764"/>
    <n v="2.2153042000000001E-2"/>
    <n v="0.10714689561489601"/>
    <n v="20"/>
    <x v="8"/>
    <n v="2.1429379122979201E-3"/>
    <x v="7"/>
  </r>
  <r>
    <s v="23GO13I34"/>
    <x v="23"/>
    <n v="3869.333904206781"/>
    <n v="6.3636202743749988E-3"/>
    <n v="2.4622971681136838E-2"/>
    <n v="20"/>
    <x v="8"/>
    <n v="4.9245943362273678E-4"/>
    <x v="7"/>
  </r>
  <r>
    <s v="23GO13I34"/>
    <x v="24"/>
    <n v="20797.669735111449"/>
    <n v="1.8357885000000005E-3"/>
    <n v="3.8180122926515653E-2"/>
    <n v="20"/>
    <x v="8"/>
    <n v="7.6360245853031306E-4"/>
    <x v="7"/>
  </r>
  <r>
    <s v="23GO13I34"/>
    <x v="25"/>
    <n v="483.66673802584762"/>
    <n v="3.2032260000000004E-3"/>
    <n v="1.5492938705795841E-3"/>
    <n v="20"/>
    <x v="8"/>
    <n v="3.0985877411591681E-5"/>
    <x v="7"/>
  </r>
  <r>
    <s v="23GO13I34"/>
    <x v="26"/>
    <n v="17895.669306956363"/>
    <n v="4.1123686000000001E-3"/>
    <n v="7.3593588533911097E-2"/>
    <n v="20"/>
    <x v="8"/>
    <n v="1.4718717706782218E-3"/>
    <x v="7"/>
  </r>
  <r>
    <s v="23GO13I34"/>
    <x v="27"/>
    <n v="7738.6678084135619"/>
    <n v="2.017703875E-3"/>
    <n v="1.5614340024373801E-2"/>
    <n v="20"/>
    <x v="8"/>
    <n v="3.1228680048747605E-4"/>
    <x v="7"/>
  </r>
  <r>
    <s v="23GO13I34"/>
    <x v="29"/>
    <n v="967.33347605169524"/>
    <n v="5.1860210000000004E-2"/>
    <n v="5.016611720807089E-2"/>
    <n v="20"/>
    <x v="8"/>
    <n v="1.0033223441614177E-3"/>
    <x v="7"/>
  </r>
  <r>
    <s v="23GO13I34"/>
    <x v="30"/>
    <n v="10157.001498542801"/>
    <n v="2.3693007000000006E-2"/>
    <n v="0.24064990760398514"/>
    <n v="20"/>
    <x v="8"/>
    <n v="4.8129981520797028E-3"/>
    <x v="7"/>
  </r>
  <r>
    <s v="23GO13I34"/>
    <x v="31"/>
    <n v="14993.668878801276"/>
    <n v="2.9873428200000003E-2"/>
    <n v="0.44791229070544447"/>
    <n v="20"/>
    <x v="8"/>
    <n v="8.958245814108888E-3"/>
    <x v="7"/>
  </r>
  <r>
    <s v="23GO13I34"/>
    <x v="32"/>
    <n v="19346.669521033906"/>
    <n v="3.4026771240000003E-2"/>
    <n v="0.65830469804810121"/>
    <n v="20"/>
    <x v="8"/>
    <n v="1.3166093960962025E-2"/>
    <x v="7"/>
  </r>
  <r>
    <s v="23GO13I34"/>
    <x v="34"/>
    <n v="2418.3336901292382"/>
    <n v="3.6161214000000004E-2"/>
    <n v="8.7449882092173081E-2"/>
    <n v="20"/>
    <x v="8"/>
    <n v="1.7489976418434616E-3"/>
    <x v="7"/>
  </r>
  <r>
    <s v="23GO13I34"/>
    <x v="35"/>
    <n v="1934.6669521033905"/>
    <n v="0.10104956027400001"/>
    <n v="0.19549724478668745"/>
    <n v="20"/>
    <x v="8"/>
    <n v="3.9099448957337487E-3"/>
    <x v="7"/>
  </r>
  <r>
    <s v="23GO13I34"/>
    <x v="36"/>
    <n v="7255.0010703877142"/>
    <n v="7.7760748734933341E-2"/>
    <n v="0.5641543153060915"/>
    <n v="20"/>
    <x v="8"/>
    <n v="1.128308630612183E-2"/>
    <x v="7"/>
  </r>
  <r>
    <s v="23GO13I54"/>
    <x v="0"/>
    <n v="3154.3482914729193"/>
    <n v="1.6989732785975822"/>
    <n v="5.3591534586024272"/>
    <n v="20"/>
    <x v="9"/>
    <n v="0.10718306917204855"/>
    <x v="0"/>
  </r>
  <r>
    <s v="23GO13I54"/>
    <x v="1"/>
    <n v="0.29337316698966887"/>
    <n v="44.138847778588001"/>
    <n v="1.2949153560079273E-2"/>
    <n v="20"/>
    <x v="9"/>
    <n v="2.5898307120158549E-4"/>
    <x v="1"/>
  </r>
  <r>
    <s v="23GO13I54"/>
    <x v="2"/>
    <n v="6.1608365067830455"/>
    <n v="2.675710687971542"/>
    <n v="1.6484616088044652E-2"/>
    <n v="20"/>
    <x v="9"/>
    <n v="3.2969232176089302E-4"/>
    <x v="1"/>
  </r>
  <r>
    <s v="23GO13I54"/>
    <x v="45"/>
    <n v="100.1380409991403"/>
    <n v="0.86575424158281145"/>
    <n v="8.669493373879919E-2"/>
    <n v="20"/>
    <x v="9"/>
    <n v="1.733898674775984E-3"/>
    <x v="0"/>
  </r>
  <r>
    <s v="23GO13I54"/>
    <x v="3"/>
    <n v="3454.7624144703404"/>
    <n v="0.73347340781222514"/>
    <n v="2.5339763613231518"/>
    <n v="20"/>
    <x v="9"/>
    <n v="5.0679527226463038E-2"/>
    <x v="2"/>
  </r>
  <r>
    <s v="23GO13I54"/>
    <x v="4"/>
    <n v="3004.1412299742092"/>
    <n v="2.2982204245754869"/>
    <n v="6.9041787330360522"/>
    <n v="20"/>
    <x v="9"/>
    <n v="0.13808357466072105"/>
    <x v="3"/>
  </r>
  <r>
    <s v="23GO13I54"/>
    <x v="39"/>
    <n v="3004.1412299742092"/>
    <n v="2.5215812312365649"/>
    <n v="7.5751861414868946"/>
    <n v="20"/>
    <x v="9"/>
    <n v="0.15150372282973787"/>
    <x v="3"/>
  </r>
  <r>
    <s v="23GO13I54"/>
    <x v="5"/>
    <n v="1301.7945329888239"/>
    <n v="2.0909278485508476"/>
    <n v="2.7219584421175766"/>
    <n v="20"/>
    <x v="9"/>
    <n v="5.4439168842351532E-2"/>
    <x v="4"/>
  </r>
  <r>
    <s v="23GO13I54"/>
    <x v="6"/>
    <n v="3454.7624144703404"/>
    <n v="2.9869060251336608"/>
    <n v="10.319050671186773"/>
    <n v="20"/>
    <x v="9"/>
    <n v="0.20638101342373547"/>
    <x v="2"/>
  </r>
  <r>
    <s v="23GO13I54"/>
    <x v="9"/>
    <n v="3004.1412299742092"/>
    <n v="1.2295119145157867"/>
    <n v="3.6936274351414"/>
    <n v="20"/>
    <x v="9"/>
    <n v="7.3872548702828E-2"/>
    <x v="0"/>
  </r>
  <r>
    <s v="23GO13I54"/>
    <x v="11"/>
    <n v="200.2760819982806"/>
    <n v="3.9370107385283966"/>
    <n v="0.78848908549762442"/>
    <n v="20"/>
    <x v="9"/>
    <n v="1.5769781709952489E-2"/>
    <x v="4"/>
  </r>
  <r>
    <s v="23GO13I54"/>
    <x v="12"/>
    <n v="107.2907582133646"/>
    <n v="7.2845399337771877"/>
    <n v="0.78156381273048714"/>
    <n v="20"/>
    <x v="9"/>
    <n v="1.5631276254609743E-2"/>
    <x v="1"/>
  </r>
  <r>
    <s v="23GO13I54"/>
    <x v="43"/>
    <n v="300.41412299742092"/>
    <n v="5.2241388980113257"/>
    <n v="1.5694051054627853"/>
    <n v="20"/>
    <x v="9"/>
    <n v="3.1388102109255703E-2"/>
    <x v="1"/>
  </r>
  <r>
    <s v="23GO13I54"/>
    <x v="13"/>
    <n v="150.20706149871046"/>
    <n v="7.945556194019666"/>
    <n v="1.1934786478765718"/>
    <n v="20"/>
    <x v="9"/>
    <n v="2.3869572957531435E-2"/>
    <x v="4"/>
  </r>
  <r>
    <s v="23GO13I54"/>
    <x v="14"/>
    <n v="65340.071751939045"/>
    <n v="8.760195880778282E-2"/>
    <n v="5.7239182741109378"/>
    <n v="20"/>
    <x v="9"/>
    <n v="0.11447836548221875"/>
    <x v="5"/>
  </r>
  <r>
    <s v="23GO13I54"/>
    <x v="15"/>
    <n v="66973.573545737527"/>
    <n v="0.16062870523494416"/>
    <n v="10.757878403609128"/>
    <n v="20"/>
    <x v="9"/>
    <n v="0.21515756807218256"/>
    <x v="6"/>
  </r>
  <r>
    <s v="23GO13I54"/>
    <x v="17"/>
    <n v="3811.5041855297777"/>
    <n v="1.6682482285714284E-2"/>
    <n v="6.3585351057026368E-2"/>
    <n v="20"/>
    <x v="9"/>
    <n v="1.2717070211405272E-3"/>
    <x v="7"/>
  </r>
  <r>
    <s v="23GO13I54"/>
    <x v="19"/>
    <n v="544.50059793282537"/>
    <n v="2.53223473152"/>
    <n v="1.3788033254189074"/>
    <n v="20"/>
    <x v="9"/>
    <n v="2.7576066508378148E-2"/>
    <x v="7"/>
  </r>
  <r>
    <s v="23GO13I54"/>
    <x v="20"/>
    <n v="2178.0023917313015"/>
    <n v="7.0125750000000018E-3"/>
    <n v="1.5273405122195136E-2"/>
    <n v="20"/>
    <x v="9"/>
    <n v="3.0546810244390274E-4"/>
    <x v="7"/>
  </r>
  <r>
    <s v="23GO13I54"/>
    <x v="21"/>
    <n v="13612.514948320635"/>
    <n v="1.4670451899999996E-2"/>
    <n v="0.1997017457873688"/>
    <n v="20"/>
    <x v="9"/>
    <n v="3.994034915747376E-3"/>
    <x v="7"/>
  </r>
  <r>
    <s v="23GO13I54"/>
    <x v="22"/>
    <n v="544.50059793282537"/>
    <n v="2.1854540000000002E-2"/>
    <n v="1.1899810097546851E-2"/>
    <n v="20"/>
    <x v="9"/>
    <n v="2.3799620195093701E-4"/>
    <x v="7"/>
  </r>
  <r>
    <s v="23GO13I54"/>
    <x v="23"/>
    <n v="14701.516144186286"/>
    <n v="8.8343459872499992E-3"/>
    <n v="0.12987828015488317"/>
    <n v="20"/>
    <x v="9"/>
    <n v="2.5975656030976639E-3"/>
    <x v="7"/>
  </r>
  <r>
    <s v="23GO13I54"/>
    <x v="24"/>
    <n v="56628.062185013841"/>
    <n v="1.6652588999999998E-3"/>
    <n v="9.4300384543347729E-2"/>
    <n v="20"/>
    <x v="9"/>
    <n v="1.8860076908669544E-3"/>
    <x v="7"/>
  </r>
  <r>
    <s v="23GO13I54"/>
    <x v="25"/>
    <n v="8167.5089689923807"/>
    <n v="2.0344952000000008E-3"/>
    <n v="1.6616757793371954E-2"/>
    <n v="20"/>
    <x v="9"/>
    <n v="3.3233515586743914E-4"/>
    <x v="7"/>
  </r>
  <r>
    <s v="23GO13I54"/>
    <x v="26"/>
    <n v="6534.0071751939049"/>
    <n v="3.4540980000000005E-3"/>
    <n v="2.2569101115822922E-2"/>
    <n v="20"/>
    <x v="9"/>
    <n v="4.5138202231645842E-4"/>
    <x v="7"/>
  </r>
  <r>
    <s v="23GO13I54"/>
    <x v="28"/>
    <n v="544.50059793282537"/>
    <n v="9.1113607200000016E-2"/>
    <n v="4.9611413600216592E-2"/>
    <n v="20"/>
    <x v="9"/>
    <n v="9.9222827200433177E-4"/>
    <x v="7"/>
  </r>
  <r>
    <s v="23GO13I54"/>
    <x v="29"/>
    <n v="544.50059793282537"/>
    <n v="0.25672374999999997"/>
    <n v="0.13978623537855717"/>
    <n v="20"/>
    <x v="9"/>
    <n v="2.7957247075711435E-3"/>
    <x v="7"/>
  </r>
  <r>
    <s v="23GO13I54"/>
    <x v="30"/>
    <n v="544.50059793282537"/>
    <n v="1.1248640000000001E-2"/>
    <n v="6.1248912059310972E-3"/>
    <n v="20"/>
    <x v="9"/>
    <n v="1.2249782411862195E-4"/>
    <x v="7"/>
  </r>
  <r>
    <s v="23GO13I54"/>
    <x v="32"/>
    <n v="544.50059793282537"/>
    <n v="6.0156249999999994E-2"/>
    <n v="3.2755114094396527E-2"/>
    <n v="20"/>
    <x v="9"/>
    <n v="6.551022818879305E-4"/>
    <x v="7"/>
  </r>
  <r>
    <s v="23GO13I54"/>
    <x v="34"/>
    <n v="544.50059793282537"/>
    <n v="4.2515280000000003E-2"/>
    <n v="2.3149595381281494E-2"/>
    <n v="20"/>
    <x v="9"/>
    <n v="4.6299190762562993E-4"/>
    <x v="7"/>
  </r>
  <r>
    <s v="23GO13I54"/>
    <x v="48"/>
    <n v="2722.5029896641267"/>
    <n v="0.09"/>
    <n v="0.2450252690697714"/>
    <n v="20"/>
    <x v="9"/>
    <n v="4.9005053813954277E-3"/>
    <x v="7"/>
  </r>
  <r>
    <s v="23GO15I14"/>
    <x v="0"/>
    <n v="1766.4350432248348"/>
    <n v="0.9526311346128532"/>
    <n v="1.6827610194471787"/>
    <n v="20"/>
    <x v="10"/>
    <n v="3.3655220388943578E-2"/>
    <x v="0"/>
  </r>
  <r>
    <s v="23GO15I14"/>
    <x v="1"/>
    <n v="6.9001368875970108"/>
    <n v="116.64744861071844"/>
    <n v="0.80488336300289509"/>
    <n v="20"/>
    <x v="10"/>
    <n v="1.6097667260057905E-2"/>
    <x v="1"/>
  </r>
  <r>
    <s v="23GO15I14"/>
    <x v="2"/>
    <n v="3.61435741731272"/>
    <n v="3.6884913138328219"/>
    <n v="1.33315259388452E-2"/>
    <n v="20"/>
    <x v="10"/>
    <n v="2.6663051877690404E-4"/>
    <x v="1"/>
  </r>
  <r>
    <s v="23GO15I14"/>
    <x v="45"/>
    <n v="56.077302959518562"/>
    <n v="1.0295682059997973"/>
    <n v="5.7735408205338651E-2"/>
    <n v="20"/>
    <x v="10"/>
    <n v="1.1547081641067728E-3"/>
    <x v="0"/>
  </r>
  <r>
    <s v="23GO15I14"/>
    <x v="3"/>
    <n v="1766.4350432248348"/>
    <n v="0.61623222935721189"/>
    <n v="1.0885342047011428"/>
    <n v="20"/>
    <x v="10"/>
    <n v="2.1770684094022854E-2"/>
    <x v="2"/>
  </r>
  <r>
    <s v="23GO15I14"/>
    <x v="4"/>
    <n v="616.85033255470421"/>
    <n v="4.2437957651678797"/>
    <n v="2.6177868290380522"/>
    <n v="20"/>
    <x v="10"/>
    <n v="5.2355736580761043E-2"/>
    <x v="3"/>
  </r>
  <r>
    <s v="23GO15I14"/>
    <x v="5"/>
    <n v="1766.4350432248348"/>
    <n v="1.1925955386713947"/>
    <n v="2.1066425519027501"/>
    <n v="20"/>
    <x v="10"/>
    <n v="4.2132851038055003E-2"/>
    <x v="4"/>
  </r>
  <r>
    <s v="23GO15I14"/>
    <x v="37"/>
    <n v="56.077302959518562"/>
    <n v="1.613842123107559"/>
    <n v="9.0499913666335252E-2"/>
    <n v="20"/>
    <x v="10"/>
    <n v="1.809998273326705E-3"/>
    <x v="0"/>
  </r>
  <r>
    <s v="23GO15I14"/>
    <x v="6"/>
    <n v="616.85033255470421"/>
    <n v="3.16485683356419"/>
    <n v="1.9522429902720988"/>
    <n v="20"/>
    <x v="10"/>
    <n v="3.9044859805441971E-2"/>
    <x v="2"/>
  </r>
  <r>
    <s v="23GO15I14"/>
    <x v="40"/>
    <n v="168.23190887855571"/>
    <n v="3.8097154954878123"/>
    <n v="0.64091571009012738"/>
    <n v="20"/>
    <x v="10"/>
    <n v="1.2818314201802548E-2"/>
    <x v="4"/>
  </r>
  <r>
    <s v="23GO15I14"/>
    <x v="7"/>
    <n v="72.099389519381006"/>
    <n v="13.928754444071053"/>
    <n v="1.0042546921828881"/>
    <n v="20"/>
    <x v="10"/>
    <n v="2.0085093843657763E-2"/>
    <x v="4"/>
  </r>
  <r>
    <s v="23GO15I14"/>
    <x v="9"/>
    <n v="56.077302959518562"/>
    <n v="1.6522097591244622"/>
    <n v="9.2651467215095651E-2"/>
    <n v="20"/>
    <x v="10"/>
    <n v="1.8530293443019131E-3"/>
    <x v="0"/>
  </r>
  <r>
    <s v="23GO15I14"/>
    <x v="11"/>
    <n v="1850.5509976641126"/>
    <n v="3.4065955971286579"/>
    <n v="6.304078880904612"/>
    <n v="20"/>
    <x v="10"/>
    <n v="0.12608157761809224"/>
    <x v="4"/>
  </r>
  <r>
    <s v="23GO15I14"/>
    <x v="12"/>
    <n v="672.92763551422286"/>
    <n v="2.5936556339498433"/>
    <n v="1.7453425530920108"/>
    <n v="20"/>
    <x v="10"/>
    <n v="3.4906851061840216E-2"/>
    <x v="1"/>
  </r>
  <r>
    <s v="23GO15I14"/>
    <x v="13"/>
    <n v="168.23190887855571"/>
    <n v="6.5829339001693192"/>
    <n v="1.1074595360468402"/>
    <n v="20"/>
    <x v="10"/>
    <n v="2.2149190720936806E-2"/>
    <x v="4"/>
  </r>
  <r>
    <s v="23GO15I14"/>
    <x v="14"/>
    <n v="5719.8849018708943"/>
    <n v="0.15798214854539833"/>
    <n v="0.90363970622994871"/>
    <n v="20"/>
    <x v="10"/>
    <n v="1.8072794124598973E-2"/>
    <x v="5"/>
  </r>
  <r>
    <s v="23GO15I14"/>
    <x v="15"/>
    <n v="34140.5630080419"/>
    <n v="0.14169849299560594"/>
    <n v="4.8376663282610677"/>
    <n v="20"/>
    <x v="10"/>
    <n v="9.6753326565221356E-2"/>
    <x v="6"/>
  </r>
  <r>
    <s v="23GO15I14"/>
    <x v="17"/>
    <n v="357.49280636693089"/>
    <n v="1.0616832E-2"/>
    <n v="3.7954410664062356E-3"/>
    <n v="20"/>
    <x v="10"/>
    <n v="7.5908821328124712E-5"/>
    <x v="7"/>
  </r>
  <r>
    <s v="23GO15I14"/>
    <x v="19"/>
    <n v="357.49280636693089"/>
    <n v="3.9798067968749997"/>
    <n v="1.4227523006130298"/>
    <n v="20"/>
    <x v="10"/>
    <n v="2.8455046012260597E-2"/>
    <x v="7"/>
  </r>
  <r>
    <s v="23GO15I14"/>
    <x v="20"/>
    <n v="2144.956838201585"/>
    <n v="9.1814850000000014E-3"/>
    <n v="1.9693889035595283E-2"/>
    <n v="20"/>
    <x v="10"/>
    <n v="3.9387778071190566E-4"/>
    <x v="7"/>
  </r>
  <r>
    <s v="23GO15I14"/>
    <x v="21"/>
    <n v="23058.286010667041"/>
    <n v="1.7791277400000003E-2"/>
    <n v="0.4102363627843168"/>
    <n v="20"/>
    <x v="10"/>
    <n v="8.2047272556863369E-3"/>
    <x v="7"/>
  </r>
  <r>
    <s v="23GO15I14"/>
    <x v="22"/>
    <n v="1966.2104350181198"/>
    <n v="1.5166707272727275E-2"/>
    <n v="2.9820938104501576E-2"/>
    <n v="20"/>
    <x v="10"/>
    <n v="5.9641876209003152E-4"/>
    <x v="7"/>
  </r>
  <r>
    <s v="23GO15I14"/>
    <x v="23"/>
    <n v="2323.7032413850507"/>
    <n v="9.1020374065384612E-3"/>
    <n v="2.1150433824781403E-2"/>
    <n v="20"/>
    <x v="10"/>
    <n v="4.2300867649562807E-4"/>
    <x v="7"/>
  </r>
  <r>
    <s v="23GO15I14"/>
    <x v="24"/>
    <n v="13942.219448310303"/>
    <n v="1.4911894000000001E-3"/>
    <n v="2.0790489853794173E-2"/>
    <n v="20"/>
    <x v="10"/>
    <n v="4.1580979707588344E-4"/>
    <x v="7"/>
  </r>
  <r>
    <s v="23GO15I14"/>
    <x v="26"/>
    <n v="4289.91367640317"/>
    <n v="4.2734065000000002E-3"/>
    <n v="1.8332544989180202E-2"/>
    <n v="20"/>
    <x v="10"/>
    <n v="3.6665089978360406E-4"/>
    <x v="7"/>
  </r>
  <r>
    <s v="23GO15I14"/>
    <x v="29"/>
    <n v="178.74640318346545"/>
    <n v="0.13997521000000002"/>
    <n v="2.5020065322350248E-2"/>
    <n v="20"/>
    <x v="10"/>
    <n v="5.0040130644700496E-4"/>
    <x v="7"/>
  </r>
  <r>
    <s v="23GO15I14"/>
    <x v="30"/>
    <n v="357.49280636693089"/>
    <n v="3.6866875E-2"/>
    <n v="1.3179642605728846E-2"/>
    <n v="20"/>
    <x v="10"/>
    <n v="2.6359285211457692E-4"/>
    <x v="7"/>
  </r>
  <r>
    <s v="23GO15I14"/>
    <x v="32"/>
    <n v="20913.329172465455"/>
    <n v="3.6815050580000008E-2"/>
    <n v="0.76992527128050547"/>
    <n v="20"/>
    <x v="10"/>
    <n v="1.5398505425610109E-2"/>
    <x v="7"/>
  </r>
  <r>
    <s v="23GO15I14"/>
    <x v="34"/>
    <n v="1429.9712254677236"/>
    <n v="3.4433351250000001E-2"/>
    <n v="4.9238701483923071E-2"/>
    <n v="20"/>
    <x v="10"/>
    <n v="9.847740296784614E-4"/>
    <x v="7"/>
  </r>
  <r>
    <s v="23GO15I14"/>
    <x v="35"/>
    <n v="178.74640318346545"/>
    <n v="0.09"/>
    <n v="1.6087176286511892E-2"/>
    <n v="20"/>
    <x v="10"/>
    <n v="3.2174352573023787E-4"/>
    <x v="7"/>
  </r>
  <r>
    <s v="23GO15I14"/>
    <x v="48"/>
    <n v="1608.717628651189"/>
    <n v="0.09"/>
    <n v="0.14478458657860699"/>
    <n v="20"/>
    <x v="10"/>
    <n v="2.8956917315721398E-3"/>
    <x v="7"/>
  </r>
  <r>
    <s v="23GO15I74"/>
    <x v="0"/>
    <n v="2867.5893558844723"/>
    <n v="1.3589296327516915"/>
    <n v="3.896852150274746"/>
    <n v="16"/>
    <x v="11"/>
    <n v="6.2349634404395934E-2"/>
    <x v="0"/>
  </r>
  <r>
    <s v="23GO15I74"/>
    <x v="2"/>
    <n v="7.8410646449966031"/>
    <n v="2.5447407290129584"/>
    <n v="1.9953476560946388E-2"/>
    <n v="16"/>
    <x v="11"/>
    <n v="3.1925562497514223E-4"/>
    <x v="1"/>
  </r>
  <r>
    <s v="23GO15I74"/>
    <x v="45"/>
    <n v="63.724207908543825"/>
    <n v="0.44827254079329065"/>
    <n v="2.8565812589202846E-2"/>
    <n v="16"/>
    <x v="11"/>
    <n v="4.5705300142724555E-4"/>
    <x v="0"/>
  </r>
  <r>
    <s v="23GO15I74"/>
    <x v="3"/>
    <n v="2198.485172844762"/>
    <n v="0.55499954058394363"/>
    <n v="1.2201582609094548"/>
    <n v="16"/>
    <x v="11"/>
    <n v="1.9522532174551275E-2"/>
    <x v="2"/>
  </r>
  <r>
    <s v="23GO15I74"/>
    <x v="4"/>
    <n v="2676.4167321588407"/>
    <n v="3.4399175692238457"/>
    <n v="9.206652939517868"/>
    <n v="16"/>
    <x v="11"/>
    <n v="0.14730644703228588"/>
    <x v="3"/>
  </r>
  <r>
    <s v="23GO15I74"/>
    <x v="5"/>
    <n v="2198.485172844762"/>
    <n v="2.7591166879467552"/>
    <n v="6.0658771285994897"/>
    <n v="16"/>
    <x v="11"/>
    <n v="9.7054034057591831E-2"/>
    <x v="4"/>
  </r>
  <r>
    <s v="23GO15I74"/>
    <x v="6"/>
    <n v="892.13891071961348"/>
    <n v="3.6170650670263091"/>
    <n v="3.2269244888988173"/>
    <n v="16"/>
    <x v="11"/>
    <n v="5.1630791822381075E-2"/>
    <x v="2"/>
  </r>
  <r>
    <s v="23GO15I74"/>
    <x v="40"/>
    <n v="127.44841581708765"/>
    <n v="3.4497316286305915"/>
    <n v="0.43966283106307058"/>
    <n v="16"/>
    <x v="11"/>
    <n v="7.0346052970091293E-3"/>
    <x v="4"/>
  </r>
  <r>
    <s v="23GO15I74"/>
    <x v="7"/>
    <n v="40.96556222692103"/>
    <n v="19.000117649578016"/>
    <n v="0.77835050189260868"/>
    <n v="16"/>
    <x v="11"/>
    <n v="1.2453608030281739E-2"/>
    <x v="4"/>
  </r>
  <r>
    <s v="23GO15I74"/>
    <x v="8"/>
    <n v="191.17262372563147"/>
    <n v="2.1538507275073866"/>
    <n v="0.41175729469094724"/>
    <n v="16"/>
    <x v="11"/>
    <n v="6.5881167150551555E-3"/>
    <x v="0"/>
  </r>
  <r>
    <s v="23GO15I74"/>
    <x v="11"/>
    <n v="637.24207908543815"/>
    <n v="4.419593400950224"/>
    <n v="2.8163508875338032"/>
    <n v="16"/>
    <x v="11"/>
    <n v="4.5061614200540855E-2"/>
    <x v="4"/>
  </r>
  <r>
    <s v="23GO15I74"/>
    <x v="12"/>
    <n v="54.620749635894704"/>
    <n v="2.0981256535768793"/>
    <n v="0.11460119602867067"/>
    <n v="16"/>
    <x v="11"/>
    <n v="1.8336191364587307E-3"/>
    <x v="1"/>
  </r>
  <r>
    <s v="23GO15I74"/>
    <x v="13"/>
    <n v="95.586311862815734"/>
    <n v="5.7741021930152234"/>
    <n v="0.55192513294932144"/>
    <n v="16"/>
    <x v="11"/>
    <n v="8.8308021271891433E-3"/>
    <x v="4"/>
  </r>
  <r>
    <s v="23GO15I74"/>
    <x v="14"/>
    <n v="32230.50953124318"/>
    <n v="6.0343868815147653E-2"/>
    <n v="1.9449136389987045"/>
    <n v="16"/>
    <x v="11"/>
    <n v="3.1118618223979273E-2"/>
    <x v="5"/>
  </r>
  <r>
    <s v="23GO15I74"/>
    <x v="15"/>
    <n v="71450.768117454762"/>
    <n v="0.18255700623495158"/>
    <n v="13.043838320710268"/>
    <n v="16"/>
    <x v="11"/>
    <n v="0.20870141313136428"/>
    <x v="6"/>
  </r>
  <r>
    <s v="23GO15I74"/>
    <x v="17"/>
    <n v="3106.5551355415114"/>
    <n v="1.73653665E-2"/>
    <n v="5.3946468481135518E-2"/>
    <n v="16"/>
    <x v="11"/>
    <n v="8.631434956981683E-4"/>
    <x v="7"/>
  </r>
  <r>
    <s v="23GO15I74"/>
    <x v="19"/>
    <n v="388.31939194268892"/>
    <n v="1.35823234989"/>
    <n v="0.52742796022617422"/>
    <n v="16"/>
    <x v="11"/>
    <n v="8.4388473636187872E-3"/>
    <x v="7"/>
  </r>
  <r>
    <s v="23GO15I74"/>
    <x v="20"/>
    <n v="1164.9581758280667"/>
    <n v="1.2479520000000003E-2"/>
    <n v="1.4538118854409879E-2"/>
    <n v="16"/>
    <x v="11"/>
    <n v="2.3260990167055806E-4"/>
    <x v="7"/>
  </r>
  <r>
    <s v="23GO15I74"/>
    <x v="21"/>
    <n v="13591.178717994113"/>
    <n v="2.0535095100000005E-2"/>
    <n v="0.27909614749510525"/>
    <n v="16"/>
    <x v="11"/>
    <n v="4.4655383599216843E-3"/>
    <x v="7"/>
  </r>
  <r>
    <s v="23GO15I74"/>
    <x v="22"/>
    <n v="1941.5969597134447"/>
    <n v="1.9752260000000001E-2"/>
    <n v="3.8350927963469485E-2"/>
    <n v="16"/>
    <x v="11"/>
    <n v="6.1361484741551174E-4"/>
    <x v="7"/>
  </r>
  <r>
    <s v="23GO15I74"/>
    <x v="23"/>
    <n v="18639.330813249067"/>
    <n v="1.1886867593999999E-2"/>
    <n v="0.22156325741785599"/>
    <n v="16"/>
    <x v="11"/>
    <n v="3.545012118685696E-3"/>
    <x v="7"/>
  </r>
  <r>
    <s v="23GO15I74"/>
    <x v="24"/>
    <n v="37666.981018440827"/>
    <n v="2.4829778000000002E-3"/>
    <n v="9.3526277661809973E-2"/>
    <n v="16"/>
    <x v="11"/>
    <n v="1.4964204425889597E-3"/>
    <x v="7"/>
  </r>
  <r>
    <s v="23GO15I74"/>
    <x v="25"/>
    <n v="10872.94297439529"/>
    <n v="2.5439171000000002E-3"/>
    <n v="2.765986555988904E-2"/>
    <n v="16"/>
    <x v="11"/>
    <n v="4.4255784895822463E-4"/>
    <x v="7"/>
  </r>
  <r>
    <s v="23GO15I74"/>
    <x v="26"/>
    <n v="7766.3878388537787"/>
    <n v="4.1193736999999998E-3"/>
    <n v="3.1992653807374094E-2"/>
    <n v="16"/>
    <x v="11"/>
    <n v="5.1188246091798549E-4"/>
    <x v="7"/>
  </r>
  <r>
    <s v="23GO15I74"/>
    <x v="27"/>
    <n v="3494.8745274842004"/>
    <n v="2.2064795555555555E-3"/>
    <n v="7.7113691941257702E-3"/>
    <n v="16"/>
    <x v="11"/>
    <n v="1.2338190710601231E-4"/>
    <x v="7"/>
  </r>
  <r>
    <s v="23GO15I74"/>
    <x v="44"/>
    <n v="776.63878388537785"/>
    <n v="2.5434045000000002E-2"/>
    <n v="1.9753065778085974E-2"/>
    <n v="16"/>
    <x v="11"/>
    <n v="3.1604905244937557E-4"/>
    <x v="7"/>
  </r>
  <r>
    <s v="23GO15I74"/>
    <x v="30"/>
    <n v="7378.0684469110902"/>
    <n v="2.4981571052631574E-2"/>
    <n v="0.1843157411376885"/>
    <n v="16"/>
    <x v="11"/>
    <n v="2.9490518582030159E-3"/>
    <x v="7"/>
  </r>
  <r>
    <s v="23GO15I74"/>
    <x v="31"/>
    <n v="1164.9581758280667"/>
    <n v="1.8703074133333334E-2"/>
    <n v="2.17882991247451E-2"/>
    <n v="16"/>
    <x v="11"/>
    <n v="3.486127859959216E-4"/>
    <x v="7"/>
  </r>
  <r>
    <s v="23GO15I74"/>
    <x v="32"/>
    <n v="3106.5551355415114"/>
    <n v="2.3904688500000007E-2"/>
    <n v="7.4261232823195134E-2"/>
    <n v="16"/>
    <x v="11"/>
    <n v="1.1881797251711221E-3"/>
    <x v="7"/>
  </r>
  <r>
    <s v="23GO15I74"/>
    <x v="34"/>
    <n v="7378.0684469110902"/>
    <n v="1.7745948947368424E-2"/>
    <n v="0.13093082598907405"/>
    <n v="16"/>
    <x v="11"/>
    <n v="2.0948932158251846E-3"/>
    <x v="7"/>
  </r>
  <r>
    <s v="23GO15I74"/>
    <x v="36"/>
    <n v="388.31939194268892"/>
    <n v="0.09"/>
    <n v="3.4948745274842007E-2"/>
    <n v="16"/>
    <x v="11"/>
    <n v="5.5917992439747212E-4"/>
    <x v="7"/>
  </r>
  <r>
    <s v="23GO15I94"/>
    <x v="0"/>
    <n v="329.55877672105129"/>
    <n v="0.92063424082422274"/>
    <n v="0.30340309421354461"/>
    <n v="11"/>
    <x v="12"/>
    <n v="3.3374340363489905E-3"/>
    <x v="0"/>
  </r>
  <r>
    <s v="23GO15I94"/>
    <x v="1"/>
    <n v="0.49041484631108823"/>
    <n v="70.050110863607216"/>
    <n v="3.4353614353250628E-2"/>
    <n v="11"/>
    <x v="12"/>
    <n v="3.7788975788575688E-4"/>
    <x v="1"/>
  </r>
  <r>
    <s v="23GO15I94"/>
    <x v="2"/>
    <n v="10.298711772532853"/>
    <n v="2.4803311648951798"/>
    <n v="2.5544215767686111E-2"/>
    <n v="11"/>
    <x v="12"/>
    <n v="2.8098637344454725E-4"/>
    <x v="1"/>
  </r>
  <r>
    <s v="23GO15I94"/>
    <x v="3"/>
    <n v="115.0840172676687"/>
    <n v="0.66568845445389724"/>
    <n v="7.6610101587260004E-2"/>
    <n v="11"/>
    <x v="12"/>
    <n v="8.4271111745986009E-4"/>
    <x v="2"/>
  </r>
  <r>
    <s v="23GO15I94"/>
    <x v="4"/>
    <n v="313.86550163909646"/>
    <n v="2.5268476683632137"/>
    <n v="0.79309031099640126"/>
    <n v="11"/>
    <x v="12"/>
    <n v="8.7239934209604134E-3"/>
    <x v="3"/>
  </r>
  <r>
    <s v="23GO15I94"/>
    <x v="5"/>
    <n v="41.848733551879526"/>
    <n v="3.0095337103059148"/>
    <n v="0.12594517435799163"/>
    <n v="11"/>
    <x v="12"/>
    <n v="1.3853969179379081E-3"/>
    <x v="4"/>
  </r>
  <r>
    <s v="23GO15I94"/>
    <x v="37"/>
    <n v="10.462183387969882"/>
    <n v="0.47141687387345149"/>
    <n v="4.9320497866475171E-3"/>
    <n v="11"/>
    <x v="12"/>
    <n v="5.4252547653122689E-5"/>
    <x v="0"/>
  </r>
  <r>
    <s v="23GO15I94"/>
    <x v="6"/>
    <n v="73.235283715789166"/>
    <n v="3.2873576511449456"/>
    <n v="0.24075057025687036"/>
    <n v="11"/>
    <x v="12"/>
    <n v="2.6482562728255741E-3"/>
    <x v="2"/>
  </r>
  <r>
    <s v="23GO15I94"/>
    <x v="40"/>
    <n v="10.462183387969882"/>
    <n v="4.1546417175615193"/>
    <n v="4.3466623560438782E-2"/>
    <n v="11"/>
    <x v="12"/>
    <n v="4.7813285916482661E-4"/>
    <x v="4"/>
  </r>
  <r>
    <s v="23GO15I94"/>
    <x v="8"/>
    <n v="68.004192021804229"/>
    <n v="1.5368142788840191"/>
    <n v="0.10450981332307943"/>
    <n v="11"/>
    <x v="12"/>
    <n v="1.1496079465538737E-3"/>
    <x v="0"/>
  </r>
  <r>
    <s v="23GO15I94"/>
    <x v="41"/>
    <n v="20.924366775939763"/>
    <n v="0.19932570509340042"/>
    <n v="4.170764161247115E-3"/>
    <n v="11"/>
    <x v="12"/>
    <n v="4.5878405773718266E-5"/>
    <x v="8"/>
  </r>
  <r>
    <s v="23GO15I94"/>
    <x v="49"/>
    <n v="20.924366775939763"/>
    <n v="1.1487189712043993"/>
    <n v="2.4036217075961038E-2"/>
    <n v="11"/>
    <x v="12"/>
    <n v="2.6439838783557138E-4"/>
    <x v="8"/>
  </r>
  <r>
    <s v="23GO15I94"/>
    <x v="9"/>
    <n v="329.55877672105129"/>
    <n v="1.5874181420088973"/>
    <n v="0.52314758102525627"/>
    <n v="11"/>
    <x v="12"/>
    <n v="5.7546233912778187E-3"/>
    <x v="0"/>
  </r>
  <r>
    <s v="23GO15I94"/>
    <x v="11"/>
    <n v="52.310916939849406"/>
    <n v="5.3394104401771978"/>
    <n v="0.27930945604387414"/>
    <n v="11"/>
    <x v="12"/>
    <n v="3.0724040164826156E-3"/>
    <x v="4"/>
  </r>
  <r>
    <s v="23GO15I94"/>
    <x v="12"/>
    <n v="24.660860843071866"/>
    <n v="8.51078707229542"/>
    <n v="0.20988333565489237"/>
    <n v="11"/>
    <x v="12"/>
    <n v="2.3087166922038161E-3"/>
    <x v="1"/>
  </r>
  <r>
    <s v="23GO15I94"/>
    <x v="43"/>
    <n v="360.94532688496093"/>
    <n v="3.9142739955386929"/>
    <n v="1.4128389068370157"/>
    <n v="11"/>
    <x v="12"/>
    <n v="1.5541227975207173E-2"/>
    <x v="1"/>
  </r>
  <r>
    <s v="23GO15I94"/>
    <x v="13"/>
    <n v="20.924366775939763"/>
    <n v="6.98840977594128"/>
    <n v="0.14622804933235836"/>
    <n v="11"/>
    <x v="12"/>
    <n v="1.6085085426559419E-3"/>
    <x v="4"/>
  </r>
  <r>
    <s v="23GO15I94"/>
    <x v="50"/>
    <n v="10.462183387969882"/>
    <n v="5.8429505449105221"/>
    <n v="6.1130020127692433E-2"/>
    <n v="11"/>
    <x v="12"/>
    <n v="6.7243022140461677E-4"/>
    <x v="4"/>
  </r>
  <r>
    <s v="23GO15I94"/>
    <x v="14"/>
    <n v="494.33816508157696"/>
    <n v="8.9234171616680416E-2"/>
    <n v="4.4111856659564332E-2"/>
    <n v="11"/>
    <x v="12"/>
    <n v="4.8523042325520764E-4"/>
    <x v="5"/>
  </r>
  <r>
    <s v="23GO15I94"/>
    <x v="15"/>
    <n v="7662.2415587644427"/>
    <n v="0.17119940700552502"/>
    <n v="1.3117712111935622"/>
    <n v="11"/>
    <x v="12"/>
    <n v="1.4429483323129185E-2"/>
    <x v="6"/>
  </r>
  <r>
    <s v="23GO15I94"/>
    <x v="17"/>
    <n v="659.11755344210258"/>
    <n v="1.1385277499999999E-2"/>
    <n v="7.5042362510594172E-3"/>
    <n v="11"/>
    <x v="12"/>
    <n v="8.2546598761653586E-5"/>
    <x v="7"/>
  </r>
  <r>
    <s v="23GO15I94"/>
    <x v="19"/>
    <n v="247.16908254078848"/>
    <n v="2.3523970613"/>
    <n v="0.58143982341316791"/>
    <n v="11"/>
    <x v="12"/>
    <n v="6.3958380575448465E-3"/>
    <x v="7"/>
  </r>
  <r>
    <s v="23GO15I94"/>
    <x v="20"/>
    <n v="659.11755344210258"/>
    <n v="1.3593217500000003E-2"/>
    <n v="8.9595282620063763E-3"/>
    <n v="11"/>
    <x v="12"/>
    <n v="9.8554810882070127E-5"/>
    <x v="7"/>
  </r>
  <r>
    <s v="23GO15I94"/>
    <x v="21"/>
    <n v="22986.724676293328"/>
    <n v="1.99328766E-2"/>
    <n v="0.45819154641072984"/>
    <n v="11"/>
    <x v="12"/>
    <n v="5.0401070105180277E-3"/>
    <x v="7"/>
  </r>
  <r>
    <s v="23GO15I94"/>
    <x v="22"/>
    <n v="4201.8744031934039"/>
    <n v="1.7018785714285715E-2"/>
    <n v="7.1510800066290708E-2"/>
    <n v="11"/>
    <x v="12"/>
    <n v="7.8661880072919779E-4"/>
    <x v="7"/>
  </r>
  <r>
    <s v="23GO15I94"/>
    <x v="23"/>
    <n v="4366.6537915539293"/>
    <n v="1.0675521528E-2"/>
    <n v="4.6616306557056793E-2"/>
    <n v="11"/>
    <x v="12"/>
    <n v="5.1277937212762471E-4"/>
    <x v="7"/>
  </r>
  <r>
    <s v="23GO15I94"/>
    <x v="24"/>
    <n v="3048.4186846697244"/>
    <n v="2.0955694054054061E-3"/>
    <n v="6.3881729304600642E-3"/>
    <n v="11"/>
    <x v="12"/>
    <n v="7.0269902235060698E-5"/>
    <x v="7"/>
  </r>
  <r>
    <s v="23GO15I94"/>
    <x v="26"/>
    <n v="1071.0660243434168"/>
    <n v="4.4043144615384614E-3"/>
    <n v="4.7173115802782162E-3"/>
    <n v="11"/>
    <x v="12"/>
    <n v="5.1890427383060379E-5"/>
    <x v="7"/>
  </r>
  <r>
    <s v="23GO15I94"/>
    <x v="29"/>
    <n v="329.55877672105129"/>
    <n v="0.39776791750000001"/>
    <n v="0.13108790831018005"/>
    <n v="11"/>
    <x v="12"/>
    <n v="1.4419669914119805E-3"/>
    <x v="7"/>
  </r>
  <r>
    <s v="23GO15I94"/>
    <x v="30"/>
    <n v="329.55877672105129"/>
    <n v="4.3184677500000004E-2"/>
    <n v="1.4231889489993108E-2"/>
    <n v="11"/>
    <x v="12"/>
    <n v="1.5655078438992417E-4"/>
    <x v="7"/>
  </r>
  <r>
    <s v="23GO15I94"/>
    <x v="32"/>
    <n v="1977.3526603263078"/>
    <n v="2.8986203399999997E-2"/>
    <n v="5.7315946405749461E-2"/>
    <n v="11"/>
    <x v="12"/>
    <n v="6.3047541046324404E-4"/>
    <x v="7"/>
  </r>
  <r>
    <s v="23GO15I94"/>
    <x v="33"/>
    <n v="82.389694180262822"/>
    <n v="1.4061216400000002E-2"/>
    <n v="1.1584993189984961E-3"/>
    <n v="11"/>
    <x v="12"/>
    <n v="1.2743492508983459E-5"/>
    <x v="7"/>
  </r>
  <r>
    <s v="23GO15I94"/>
    <x v="34"/>
    <n v="3295.587767210513"/>
    <n v="1.9234458500000003E-2"/>
    <n v="6.3388846141518282E-2"/>
    <n v="11"/>
    <x v="12"/>
    <n v="6.9727730755670119E-4"/>
    <x v="7"/>
  </r>
  <r>
    <s v="23GO15I94"/>
    <x v="36"/>
    <n v="82.389694180262822"/>
    <n v="0.09"/>
    <n v="7.4150724762236534E-3"/>
    <n v="11"/>
    <x v="12"/>
    <n v="8.1565797238460194E-5"/>
    <x v="7"/>
  </r>
  <r>
    <s v="23GO15I94"/>
    <x v="48"/>
    <n v="164.77938836052564"/>
    <n v="0.09"/>
    <n v="1.4830144952447307E-2"/>
    <n v="11"/>
    <x v="12"/>
    <n v="1.6313159447692039E-4"/>
    <x v="7"/>
  </r>
  <r>
    <m/>
    <x v="51"/>
    <m/>
    <m/>
    <m/>
    <m/>
    <x v="13"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F9175-BF6D-CF48-A553-9B221349CD16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67" firstHeaderRow="1" firstDataRow="2" firstDataCol="1"/>
  <pivotFields count="9">
    <pivotField showAll="0"/>
    <pivotField axis="axisRow" showAll="0">
      <items count="53">
        <item x="38"/>
        <item x="16"/>
        <item x="17"/>
        <item x="18"/>
        <item x="19"/>
        <item x="0"/>
        <item x="1"/>
        <item x="2"/>
        <item x="45"/>
        <item x="20"/>
        <item x="21"/>
        <item x="14"/>
        <item x="3"/>
        <item x="4"/>
        <item x="39"/>
        <item x="5"/>
        <item x="37"/>
        <item x="6"/>
        <item x="15"/>
        <item x="40"/>
        <item x="7"/>
        <item x="8"/>
        <item x="22"/>
        <item x="41"/>
        <item x="49"/>
        <item x="9"/>
        <item x="23"/>
        <item x="24"/>
        <item x="25"/>
        <item x="26"/>
        <item x="27"/>
        <item x="28"/>
        <item x="10"/>
        <item x="11"/>
        <item x="46"/>
        <item x="12"/>
        <item x="42"/>
        <item x="29"/>
        <item x="44"/>
        <item x="30"/>
        <item x="31"/>
        <item x="32"/>
        <item x="33"/>
        <item x="43"/>
        <item x="13"/>
        <item x="50"/>
        <item x="34"/>
        <item x="35"/>
        <item x="36"/>
        <item x="48"/>
        <item x="47"/>
        <item x="51"/>
        <item t="default"/>
      </items>
    </pivotField>
    <pivotField showAll="0"/>
    <pivotField showAll="0"/>
    <pivotField dataField="1" showAll="0"/>
    <pivotField showAll="0"/>
    <pivotField axis="axisCol" showAll="0">
      <items count="15">
        <item x="12"/>
        <item x="9"/>
        <item x="4"/>
        <item x="11"/>
        <item x="5"/>
        <item x="10"/>
        <item x="7"/>
        <item x="8"/>
        <item x="6"/>
        <item x="0"/>
        <item x="3"/>
        <item x="1"/>
        <item x="2"/>
        <item x="13"/>
        <item t="default"/>
      </items>
    </pivotField>
    <pivotField showAll="0"/>
    <pivotField axis="axisRow" showAll="0">
      <items count="11">
        <item x="4"/>
        <item x="2"/>
        <item x="3"/>
        <item x="6"/>
        <item x="8"/>
        <item x="5"/>
        <item x="0"/>
        <item x="1"/>
        <item x="7"/>
        <item x="9"/>
        <item t="default"/>
      </items>
    </pivotField>
  </pivotFields>
  <rowFields count="2">
    <field x="8"/>
    <field x="1"/>
  </rowFields>
  <rowItems count="63">
    <i>
      <x/>
    </i>
    <i r="1">
      <x v="15"/>
    </i>
    <i r="1">
      <x v="19"/>
    </i>
    <i r="1">
      <x v="20"/>
    </i>
    <i r="1">
      <x v="32"/>
    </i>
    <i r="1">
      <x v="33"/>
    </i>
    <i r="1">
      <x v="34"/>
    </i>
    <i r="1">
      <x v="44"/>
    </i>
    <i r="1">
      <x v="45"/>
    </i>
    <i>
      <x v="1"/>
    </i>
    <i r="1">
      <x v="12"/>
    </i>
    <i r="1">
      <x v="17"/>
    </i>
    <i r="1">
      <x v="36"/>
    </i>
    <i r="1">
      <x v="50"/>
    </i>
    <i>
      <x v="2"/>
    </i>
    <i r="1">
      <x v="13"/>
    </i>
    <i r="1">
      <x v="14"/>
    </i>
    <i>
      <x v="3"/>
    </i>
    <i r="1">
      <x v="18"/>
    </i>
    <i>
      <x v="4"/>
    </i>
    <i r="1">
      <x v="23"/>
    </i>
    <i r="1">
      <x v="24"/>
    </i>
    <i>
      <x v="5"/>
    </i>
    <i r="1">
      <x v="11"/>
    </i>
    <i>
      <x v="6"/>
    </i>
    <i r="1">
      <x/>
    </i>
    <i r="1">
      <x v="5"/>
    </i>
    <i r="1">
      <x v="8"/>
    </i>
    <i r="1">
      <x v="16"/>
    </i>
    <i r="1">
      <x v="21"/>
    </i>
    <i r="1">
      <x v="25"/>
    </i>
    <i>
      <x v="7"/>
    </i>
    <i r="1">
      <x v="6"/>
    </i>
    <i r="1">
      <x v="7"/>
    </i>
    <i r="1">
      <x v="35"/>
    </i>
    <i r="1">
      <x v="43"/>
    </i>
    <i>
      <x v="8"/>
    </i>
    <i r="1">
      <x v="1"/>
    </i>
    <i r="1">
      <x v="2"/>
    </i>
    <i r="1">
      <x v="3"/>
    </i>
    <i r="1">
      <x v="4"/>
    </i>
    <i r="1">
      <x v="9"/>
    </i>
    <i r="1">
      <x v="10"/>
    </i>
    <i r="1">
      <x v="22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6"/>
    </i>
    <i r="1">
      <x v="47"/>
    </i>
    <i r="1">
      <x v="48"/>
    </i>
    <i r="1">
      <x v="49"/>
    </i>
    <i>
      <x v="9"/>
    </i>
    <i r="1">
      <x v="51"/>
    </i>
    <i t="grand">
      <x/>
    </i>
  </rowItems>
  <colFields count="1">
    <field x="6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Biomass mg m3" fld="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9B703-39F0-9846-93CF-331A802AE429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67" firstHeaderRow="1" firstDataRow="2" firstDataCol="1"/>
  <pivotFields count="9">
    <pivotField showAll="0"/>
    <pivotField axis="axisRow" showAll="0">
      <items count="53">
        <item x="38"/>
        <item x="16"/>
        <item x="17"/>
        <item x="18"/>
        <item x="19"/>
        <item x="0"/>
        <item x="1"/>
        <item x="2"/>
        <item x="45"/>
        <item x="20"/>
        <item x="21"/>
        <item x="14"/>
        <item x="3"/>
        <item x="4"/>
        <item x="39"/>
        <item x="5"/>
        <item x="37"/>
        <item x="6"/>
        <item x="15"/>
        <item x="40"/>
        <item x="7"/>
        <item x="8"/>
        <item x="22"/>
        <item x="41"/>
        <item x="49"/>
        <item x="9"/>
        <item x="23"/>
        <item x="24"/>
        <item x="25"/>
        <item x="26"/>
        <item x="27"/>
        <item x="28"/>
        <item x="10"/>
        <item x="11"/>
        <item x="46"/>
        <item x="12"/>
        <item x="42"/>
        <item x="29"/>
        <item x="44"/>
        <item x="30"/>
        <item x="31"/>
        <item x="32"/>
        <item x="33"/>
        <item x="43"/>
        <item x="13"/>
        <item x="50"/>
        <item x="34"/>
        <item x="35"/>
        <item x="36"/>
        <item x="48"/>
        <item x="47"/>
        <item x="51"/>
        <item t="default"/>
      </items>
    </pivotField>
    <pivotField showAll="0"/>
    <pivotField dataField="1" showAll="0"/>
    <pivotField showAll="0"/>
    <pivotField showAll="0"/>
    <pivotField axis="axisCol" showAll="0">
      <items count="15">
        <item x="12"/>
        <item x="9"/>
        <item x="4"/>
        <item x="11"/>
        <item x="5"/>
        <item x="10"/>
        <item x="7"/>
        <item x="8"/>
        <item x="6"/>
        <item x="0"/>
        <item x="3"/>
        <item x="1"/>
        <item x="2"/>
        <item x="13"/>
        <item t="default"/>
      </items>
    </pivotField>
    <pivotField showAll="0"/>
    <pivotField axis="axisRow" showAll="0">
      <items count="11">
        <item x="4"/>
        <item x="2"/>
        <item x="3"/>
        <item x="6"/>
        <item x="8"/>
        <item x="5"/>
        <item x="0"/>
        <item x="1"/>
        <item x="7"/>
        <item x="9"/>
        <item t="default"/>
      </items>
    </pivotField>
  </pivotFields>
  <rowFields count="2">
    <field x="8"/>
    <field x="1"/>
  </rowFields>
  <rowItems count="63">
    <i>
      <x/>
    </i>
    <i r="1">
      <x v="15"/>
    </i>
    <i r="1">
      <x v="19"/>
    </i>
    <i r="1">
      <x v="20"/>
    </i>
    <i r="1">
      <x v="32"/>
    </i>
    <i r="1">
      <x v="33"/>
    </i>
    <i r="1">
      <x v="34"/>
    </i>
    <i r="1">
      <x v="44"/>
    </i>
    <i r="1">
      <x v="45"/>
    </i>
    <i>
      <x v="1"/>
    </i>
    <i r="1">
      <x v="12"/>
    </i>
    <i r="1">
      <x v="17"/>
    </i>
    <i r="1">
      <x v="36"/>
    </i>
    <i r="1">
      <x v="50"/>
    </i>
    <i>
      <x v="2"/>
    </i>
    <i r="1">
      <x v="13"/>
    </i>
    <i r="1">
      <x v="14"/>
    </i>
    <i>
      <x v="3"/>
    </i>
    <i r="1">
      <x v="18"/>
    </i>
    <i>
      <x v="4"/>
    </i>
    <i r="1">
      <x v="23"/>
    </i>
    <i r="1">
      <x v="24"/>
    </i>
    <i>
      <x v="5"/>
    </i>
    <i r="1">
      <x v="11"/>
    </i>
    <i>
      <x v="6"/>
    </i>
    <i r="1">
      <x/>
    </i>
    <i r="1">
      <x v="5"/>
    </i>
    <i r="1">
      <x v="8"/>
    </i>
    <i r="1">
      <x v="16"/>
    </i>
    <i r="1">
      <x v="21"/>
    </i>
    <i r="1">
      <x v="25"/>
    </i>
    <i>
      <x v="7"/>
    </i>
    <i r="1">
      <x v="6"/>
    </i>
    <i r="1">
      <x v="7"/>
    </i>
    <i r="1">
      <x v="35"/>
    </i>
    <i r="1">
      <x v="43"/>
    </i>
    <i>
      <x v="8"/>
    </i>
    <i r="1">
      <x v="1"/>
    </i>
    <i r="1">
      <x v="2"/>
    </i>
    <i r="1">
      <x v="3"/>
    </i>
    <i r="1">
      <x v="4"/>
    </i>
    <i r="1">
      <x v="9"/>
    </i>
    <i r="1">
      <x v="10"/>
    </i>
    <i r="1">
      <x v="22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6"/>
    </i>
    <i r="1">
      <x v="47"/>
    </i>
    <i r="1">
      <x v="48"/>
    </i>
    <i r="1">
      <x v="49"/>
    </i>
    <i>
      <x v="9"/>
    </i>
    <i r="1">
      <x v="51"/>
    </i>
    <i t="grand">
      <x/>
    </i>
  </rowItems>
  <colFields count="1">
    <field x="6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Average of Avg Ind Wt" fld="3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F764-FF2B-004A-8B56-B351B5919169}">
  <dimension ref="A3:P67"/>
  <sheetViews>
    <sheetView workbookViewId="0">
      <selection activeCell="D20" sqref="D20"/>
    </sheetView>
  </sheetViews>
  <sheetFormatPr defaultColWidth="11" defaultRowHeight="15.75" x14ac:dyDescent="0.25"/>
  <cols>
    <col min="1" max="1" width="20.625" bestFit="1" customWidth="1"/>
    <col min="2" max="2" width="16" bestFit="1" customWidth="1"/>
    <col min="3" max="10" width="8.125" bestFit="1" customWidth="1"/>
    <col min="11" max="14" width="7.125" bestFit="1" customWidth="1"/>
    <col min="15" max="15" width="7" bestFit="1" customWidth="1"/>
    <col min="16" max="16" width="10.5" bestFit="1" customWidth="1"/>
  </cols>
  <sheetData>
    <row r="3" spans="1:16" x14ac:dyDescent="0.25">
      <c r="A3" s="4" t="s">
        <v>95</v>
      </c>
      <c r="B3" s="4" t="s">
        <v>91</v>
      </c>
    </row>
    <row r="4" spans="1:16" x14ac:dyDescent="0.25">
      <c r="A4" s="4" t="s">
        <v>94</v>
      </c>
      <c r="B4" t="s">
        <v>90</v>
      </c>
      <c r="C4" t="s">
        <v>87</v>
      </c>
      <c r="D4" t="s">
        <v>82</v>
      </c>
      <c r="E4" t="s">
        <v>89</v>
      </c>
      <c r="F4" t="s">
        <v>83</v>
      </c>
      <c r="G4" t="s">
        <v>88</v>
      </c>
      <c r="H4" t="s">
        <v>85</v>
      </c>
      <c r="I4" t="s">
        <v>86</v>
      </c>
      <c r="J4" t="s">
        <v>84</v>
      </c>
      <c r="K4" t="s">
        <v>72</v>
      </c>
      <c r="L4" t="s">
        <v>81</v>
      </c>
      <c r="M4" t="s">
        <v>78</v>
      </c>
      <c r="N4" t="s">
        <v>79</v>
      </c>
      <c r="O4" t="s">
        <v>92</v>
      </c>
      <c r="P4" t="s">
        <v>93</v>
      </c>
    </row>
    <row r="5" spans="1:16" x14ac:dyDescent="0.25">
      <c r="A5" s="5" t="s">
        <v>77</v>
      </c>
      <c r="B5" s="2">
        <v>0.65607932342235531</v>
      </c>
      <c r="C5" s="2">
        <v>4.7039261754917732</v>
      </c>
      <c r="D5" s="2">
        <v>0.75067697571306824</v>
      </c>
      <c r="E5" s="2">
        <v>10.652166482038293</v>
      </c>
      <c r="F5" s="2">
        <v>6.1691573482736048</v>
      </c>
      <c r="G5" s="2">
        <v>11.163351371127217</v>
      </c>
      <c r="H5" s="2">
        <v>3.7049954074837181</v>
      </c>
      <c r="I5" s="2">
        <v>8.33798049150937</v>
      </c>
      <c r="J5" s="2">
        <v>7.7231720737930525</v>
      </c>
      <c r="K5" s="2">
        <v>5.3579907150968324</v>
      </c>
      <c r="L5" s="2">
        <v>1.37548489833092</v>
      </c>
      <c r="M5" s="2">
        <v>1.043464701216567</v>
      </c>
      <c r="N5" s="2">
        <v>0.12743760236132284</v>
      </c>
      <c r="O5" s="2"/>
      <c r="P5" s="2">
        <v>61.765883565858104</v>
      </c>
    </row>
    <row r="6" spans="1:16" x14ac:dyDescent="0.25">
      <c r="A6" s="1" t="s">
        <v>11</v>
      </c>
      <c r="B6" s="2">
        <v>0.12594517435799163</v>
      </c>
      <c r="C6" s="2">
        <v>2.7219584421175766</v>
      </c>
      <c r="D6" s="2">
        <v>0.13028784037944335</v>
      </c>
      <c r="E6" s="2">
        <v>6.0658771285994897</v>
      </c>
      <c r="F6" s="2">
        <v>1.1054671489771191</v>
      </c>
      <c r="G6" s="2">
        <v>2.1066425519027501</v>
      </c>
      <c r="H6" s="2">
        <v>0.630194054502068</v>
      </c>
      <c r="I6" s="2">
        <v>1.3104059879875243</v>
      </c>
      <c r="J6" s="2">
        <v>2.5204513084365723</v>
      </c>
      <c r="K6" s="2">
        <v>1.84625706269354</v>
      </c>
      <c r="L6" s="2">
        <v>0.45986953474732573</v>
      </c>
      <c r="M6" s="2">
        <v>0.69235690165981245</v>
      </c>
      <c r="N6" s="2">
        <v>8.3970348180016641E-2</v>
      </c>
      <c r="O6" s="2"/>
      <c r="P6" s="2">
        <v>19.799683484541234</v>
      </c>
    </row>
    <row r="7" spans="1:16" x14ac:dyDescent="0.25">
      <c r="A7" s="1" t="s">
        <v>25</v>
      </c>
      <c r="B7" s="2">
        <v>4.3466623560438782E-2</v>
      </c>
      <c r="C7" s="2"/>
      <c r="D7" s="2"/>
      <c r="E7" s="2">
        <v>0.43966283106307058</v>
      </c>
      <c r="F7" s="2">
        <v>0.19744144598201618</v>
      </c>
      <c r="G7" s="2">
        <v>0.64091571009012738</v>
      </c>
      <c r="H7" s="2"/>
      <c r="I7" s="2">
        <v>0.66345838531998214</v>
      </c>
      <c r="J7" s="2">
        <v>0.75709092767335917</v>
      </c>
      <c r="K7" s="2"/>
      <c r="L7" s="2"/>
      <c r="M7" s="2"/>
      <c r="N7" s="2">
        <v>7.8445334610117573E-3</v>
      </c>
      <c r="O7" s="2"/>
      <c r="P7" s="2">
        <v>2.749880457150006</v>
      </c>
    </row>
    <row r="8" spans="1:16" x14ac:dyDescent="0.25">
      <c r="A8" s="1" t="s">
        <v>13</v>
      </c>
      <c r="B8" s="2"/>
      <c r="C8" s="2"/>
      <c r="D8" s="2"/>
      <c r="E8" s="2">
        <v>0.77835050189260868</v>
      </c>
      <c r="F8" s="2">
        <v>0.33930194531049324</v>
      </c>
      <c r="G8" s="2">
        <v>1.0042546921828881</v>
      </c>
      <c r="H8" s="2">
        <v>0.36985585161918894</v>
      </c>
      <c r="I8" s="2">
        <v>0.43915043481132887</v>
      </c>
      <c r="J8" s="2">
        <v>0.72380567465902079</v>
      </c>
      <c r="K8" s="2">
        <v>1.3150226793514168</v>
      </c>
      <c r="L8" s="2"/>
      <c r="M8" s="2"/>
      <c r="N8" s="2"/>
      <c r="O8" s="2"/>
      <c r="P8" s="2">
        <v>4.9697417798269452</v>
      </c>
    </row>
    <row r="9" spans="1:16" x14ac:dyDescent="0.25">
      <c r="A9" s="1" t="s">
        <v>16</v>
      </c>
      <c r="B9" s="2"/>
      <c r="C9" s="2"/>
      <c r="D9" s="2"/>
      <c r="E9" s="2"/>
      <c r="F9" s="2"/>
      <c r="G9" s="2"/>
      <c r="H9" s="2"/>
      <c r="I9" s="2"/>
      <c r="J9" s="2"/>
      <c r="K9" s="2">
        <v>0.30075913061562293</v>
      </c>
      <c r="L9" s="2"/>
      <c r="M9" s="2">
        <v>0.19844463084182254</v>
      </c>
      <c r="N9" s="2"/>
      <c r="O9" s="2"/>
      <c r="P9" s="2">
        <v>0.49920376145744549</v>
      </c>
    </row>
    <row r="10" spans="1:16" x14ac:dyDescent="0.25">
      <c r="A10" s="1" t="s">
        <v>17</v>
      </c>
      <c r="B10" s="2">
        <v>0.27930945604387414</v>
      </c>
      <c r="C10" s="2">
        <v>0.78848908549762442</v>
      </c>
      <c r="D10" s="2">
        <v>0.36182250395787097</v>
      </c>
      <c r="E10" s="2">
        <v>2.8163508875338032</v>
      </c>
      <c r="F10" s="2">
        <v>2.312361433361025</v>
      </c>
      <c r="G10" s="2">
        <v>6.304078880904612</v>
      </c>
      <c r="H10" s="2">
        <v>1.400053273543328</v>
      </c>
      <c r="I10" s="2">
        <v>4.7279215573387212</v>
      </c>
      <c r="J10" s="2">
        <v>2.8040550300414728</v>
      </c>
      <c r="K10" s="2">
        <v>1.4883065406671361</v>
      </c>
      <c r="L10" s="2"/>
      <c r="M10" s="2"/>
      <c r="N10" s="2">
        <v>3.5622720720294453E-2</v>
      </c>
      <c r="O10" s="2"/>
      <c r="P10" s="2">
        <v>23.318371369609761</v>
      </c>
    </row>
    <row r="11" spans="1:16" x14ac:dyDescent="0.25">
      <c r="A11" s="1" t="s">
        <v>33</v>
      </c>
      <c r="B11" s="2"/>
      <c r="C11" s="2"/>
      <c r="D11" s="2"/>
      <c r="E11" s="2"/>
      <c r="F11" s="2">
        <v>0.27490159567240197</v>
      </c>
      <c r="G11" s="2"/>
      <c r="H11" s="2"/>
      <c r="I11" s="2"/>
      <c r="J11" s="2"/>
      <c r="K11" s="2"/>
      <c r="L11" s="2"/>
      <c r="M11" s="2"/>
      <c r="N11" s="2"/>
      <c r="O11" s="2"/>
      <c r="P11" s="2">
        <v>0.27490159567240197</v>
      </c>
    </row>
    <row r="12" spans="1:16" x14ac:dyDescent="0.25">
      <c r="A12" s="1" t="s">
        <v>19</v>
      </c>
      <c r="B12" s="2">
        <v>0.14622804933235836</v>
      </c>
      <c r="C12" s="2">
        <v>1.1934786478765718</v>
      </c>
      <c r="D12" s="2">
        <v>0.25856663137575386</v>
      </c>
      <c r="E12" s="2">
        <v>0.55192513294932144</v>
      </c>
      <c r="F12" s="2">
        <v>1.9396837789705488</v>
      </c>
      <c r="G12" s="2">
        <v>1.1074595360468402</v>
      </c>
      <c r="H12" s="2">
        <v>1.3048922278191331</v>
      </c>
      <c r="I12" s="2">
        <v>1.1970441260518137</v>
      </c>
      <c r="J12" s="2">
        <v>0.91776913298262675</v>
      </c>
      <c r="K12" s="2">
        <v>0.4076453017691169</v>
      </c>
      <c r="L12" s="2">
        <v>0.91561536358359441</v>
      </c>
      <c r="M12" s="2">
        <v>0.15266316871493199</v>
      </c>
      <c r="N12" s="2"/>
      <c r="O12" s="2"/>
      <c r="P12" s="2">
        <v>10.092971097472612</v>
      </c>
    </row>
    <row r="13" spans="1:16" x14ac:dyDescent="0.25">
      <c r="A13" s="1" t="s">
        <v>43</v>
      </c>
      <c r="B13" s="2">
        <v>6.1130020127692433E-2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>
        <v>6.1130020127692433E-2</v>
      </c>
    </row>
    <row r="14" spans="1:16" x14ac:dyDescent="0.25">
      <c r="A14" s="5" t="s">
        <v>75</v>
      </c>
      <c r="B14" s="2">
        <v>0.31736067184413036</v>
      </c>
      <c r="C14" s="2">
        <v>12.853027032509925</v>
      </c>
      <c r="D14" s="2">
        <v>0.40928859779480642</v>
      </c>
      <c r="E14" s="2">
        <v>4.4470827498082723</v>
      </c>
      <c r="F14" s="2">
        <v>0.13992085457389677</v>
      </c>
      <c r="G14" s="2">
        <v>3.0407771949732414</v>
      </c>
      <c r="H14" s="2">
        <v>2.4634589904944155</v>
      </c>
      <c r="I14" s="2">
        <v>1.970554684716054</v>
      </c>
      <c r="J14" s="2">
        <v>3.2030646503733591</v>
      </c>
      <c r="K14" s="2">
        <v>1.8425010568856952</v>
      </c>
      <c r="L14" s="2">
        <v>1.5084785703528809</v>
      </c>
      <c r="M14" s="2">
        <v>6.3651518319402429</v>
      </c>
      <c r="N14" s="2">
        <v>6.8351675146376092E-2</v>
      </c>
      <c r="O14" s="2"/>
      <c r="P14" s="2">
        <v>38.629018561413289</v>
      </c>
    </row>
    <row r="15" spans="1:16" x14ac:dyDescent="0.25">
      <c r="A15" s="1" t="s">
        <v>9</v>
      </c>
      <c r="B15" s="2">
        <v>7.6610101587260004E-2</v>
      </c>
      <c r="C15" s="2">
        <v>2.5339763613231518</v>
      </c>
      <c r="D15" s="2">
        <v>0.10493020342949612</v>
      </c>
      <c r="E15" s="2">
        <v>1.2201582609094548</v>
      </c>
      <c r="F15" s="2">
        <v>3.8480105042874344E-2</v>
      </c>
      <c r="G15" s="2">
        <v>1.0885342047011428</v>
      </c>
      <c r="H15" s="2">
        <v>1.0407067889248236</v>
      </c>
      <c r="I15" s="2">
        <v>0.53828126974397805</v>
      </c>
      <c r="J15" s="2">
        <v>1.3138644370699604</v>
      </c>
      <c r="K15" s="2">
        <v>1.0406784111591487</v>
      </c>
      <c r="L15" s="2">
        <v>0.27122502764332773</v>
      </c>
      <c r="M15" s="2">
        <v>1.197220089868086</v>
      </c>
      <c r="N15" s="2">
        <v>4.4673466934351383E-2</v>
      </c>
      <c r="O15" s="2"/>
      <c r="P15" s="2">
        <v>10.509338728337056</v>
      </c>
    </row>
    <row r="16" spans="1:16" x14ac:dyDescent="0.25">
      <c r="A16" s="1" t="s">
        <v>12</v>
      </c>
      <c r="B16" s="2">
        <v>0.24075057025687036</v>
      </c>
      <c r="C16" s="2">
        <v>10.319050671186773</v>
      </c>
      <c r="D16" s="2">
        <v>0.30435839436531031</v>
      </c>
      <c r="E16" s="2">
        <v>3.2269244888988173</v>
      </c>
      <c r="F16" s="2">
        <v>9.3993647725826954E-2</v>
      </c>
      <c r="G16" s="2">
        <v>1.9522429902720988</v>
      </c>
      <c r="H16" s="2">
        <v>1.4227522015695919</v>
      </c>
      <c r="I16" s="2">
        <v>1.4161853578418702</v>
      </c>
      <c r="J16" s="2">
        <v>1.8892002133033989</v>
      </c>
      <c r="K16" s="2">
        <v>0.80182264572654649</v>
      </c>
      <c r="L16" s="2">
        <v>1.2372535427095532</v>
      </c>
      <c r="M16" s="2">
        <v>5.1679317420721569</v>
      </c>
      <c r="N16" s="2"/>
      <c r="O16" s="2"/>
      <c r="P16" s="2">
        <v>28.072466465928809</v>
      </c>
    </row>
    <row r="17" spans="1:16" x14ac:dyDescent="0.25">
      <c r="A17" s="1" t="s">
        <v>27</v>
      </c>
      <c r="B17" s="2"/>
      <c r="C17" s="2"/>
      <c r="D17" s="2"/>
      <c r="E17" s="2"/>
      <c r="F17" s="2"/>
      <c r="G17" s="2"/>
      <c r="H17" s="2"/>
      <c r="I17" s="2">
        <v>1.0663635156707868E-2</v>
      </c>
      <c r="J17" s="2"/>
      <c r="K17" s="2"/>
      <c r="L17" s="2"/>
      <c r="M17" s="2"/>
      <c r="N17" s="2">
        <v>2.3678208212024706E-2</v>
      </c>
      <c r="O17" s="2"/>
      <c r="P17" s="2">
        <v>3.4341843368732576E-2</v>
      </c>
    </row>
    <row r="18" spans="1:16" x14ac:dyDescent="0.25">
      <c r="A18" s="1" t="s">
        <v>34</v>
      </c>
      <c r="B18" s="2"/>
      <c r="C18" s="2"/>
      <c r="D18" s="2"/>
      <c r="E18" s="2"/>
      <c r="F18" s="2">
        <v>7.4471018051954895E-3</v>
      </c>
      <c r="G18" s="2"/>
      <c r="H18" s="2"/>
      <c r="I18" s="2">
        <v>5.424421973497932E-3</v>
      </c>
      <c r="J18" s="2"/>
      <c r="K18" s="2"/>
      <c r="L18" s="2"/>
      <c r="M18" s="2"/>
      <c r="N18" s="2"/>
      <c r="O18" s="2"/>
      <c r="P18" s="2">
        <v>1.2871523778693422E-2</v>
      </c>
    </row>
    <row r="19" spans="1:16" x14ac:dyDescent="0.25">
      <c r="A19" s="5" t="s">
        <v>76</v>
      </c>
      <c r="B19" s="2">
        <v>0.79309031099640126</v>
      </c>
      <c r="C19" s="2">
        <v>14.479364874522947</v>
      </c>
      <c r="D19" s="2">
        <v>1.2740680167379739</v>
      </c>
      <c r="E19" s="2">
        <v>9.206652939517868</v>
      </c>
      <c r="F19" s="2">
        <v>0.16600603434376471</v>
      </c>
      <c r="G19" s="2">
        <v>2.6177868290380522</v>
      </c>
      <c r="H19" s="2">
        <v>1.2706776251869227</v>
      </c>
      <c r="I19" s="2">
        <v>0.91831072824975346</v>
      </c>
      <c r="J19" s="2">
        <v>1.6733740150629139</v>
      </c>
      <c r="K19" s="2">
        <v>2.2046644755965694</v>
      </c>
      <c r="L19" s="2">
        <v>9.0461276920707459</v>
      </c>
      <c r="M19" s="2">
        <v>9.8704801464059546</v>
      </c>
      <c r="N19" s="2">
        <v>0.71001303793757697</v>
      </c>
      <c r="O19" s="2"/>
      <c r="P19" s="2">
        <v>54.230616725667453</v>
      </c>
    </row>
    <row r="20" spans="1:16" x14ac:dyDescent="0.25">
      <c r="A20" s="1" t="s">
        <v>10</v>
      </c>
      <c r="B20" s="2">
        <v>0.79309031099640126</v>
      </c>
      <c r="C20" s="2">
        <v>6.9041787330360522</v>
      </c>
      <c r="D20" s="2">
        <v>1.2740680167379739</v>
      </c>
      <c r="E20" s="2">
        <v>9.206652939517868</v>
      </c>
      <c r="F20" s="2">
        <v>0.16600603434376471</v>
      </c>
      <c r="G20" s="2">
        <v>2.6177868290380522</v>
      </c>
      <c r="H20" s="2">
        <v>0.93671404778579925</v>
      </c>
      <c r="I20" s="2">
        <v>0.91831072824975346</v>
      </c>
      <c r="J20" s="2">
        <v>1.6733740150629139</v>
      </c>
      <c r="K20" s="2">
        <v>2.2046644755965694</v>
      </c>
      <c r="L20" s="2"/>
      <c r="M20" s="2">
        <v>9.8704801464059546</v>
      </c>
      <c r="N20" s="2">
        <v>0.59527174454183263</v>
      </c>
      <c r="O20" s="2"/>
      <c r="P20" s="2">
        <v>37.160598021312943</v>
      </c>
    </row>
    <row r="21" spans="1:16" x14ac:dyDescent="0.25">
      <c r="A21" s="1" t="s">
        <v>24</v>
      </c>
      <c r="B21" s="2"/>
      <c r="C21" s="2">
        <v>7.5751861414868946</v>
      </c>
      <c r="D21" s="2"/>
      <c r="E21" s="2"/>
      <c r="F21" s="2"/>
      <c r="G21" s="2"/>
      <c r="H21" s="2">
        <v>0.33396357740112348</v>
      </c>
      <c r="I21" s="2"/>
      <c r="J21" s="2"/>
      <c r="K21" s="2"/>
      <c r="L21" s="2">
        <v>9.0461276920707459</v>
      </c>
      <c r="M21" s="2"/>
      <c r="N21" s="2">
        <v>0.11474129339574435</v>
      </c>
      <c r="O21" s="2"/>
      <c r="P21" s="2">
        <v>17.07001870435451</v>
      </c>
    </row>
    <row r="22" spans="1:16" x14ac:dyDescent="0.25">
      <c r="A22" s="5" t="s">
        <v>54</v>
      </c>
      <c r="B22" s="2">
        <v>1.3117712111935622</v>
      </c>
      <c r="C22" s="2">
        <v>10.757878403609128</v>
      </c>
      <c r="D22" s="2">
        <v>5.5741798330351449</v>
      </c>
      <c r="E22" s="2">
        <v>13.043838320710268</v>
      </c>
      <c r="F22" s="2">
        <v>1.0853778621665182</v>
      </c>
      <c r="G22" s="2">
        <v>4.8376663282610677</v>
      </c>
      <c r="H22" s="2">
        <v>2.5055286044778473</v>
      </c>
      <c r="I22" s="2">
        <v>8.8620774043755013</v>
      </c>
      <c r="J22" s="2">
        <v>7.7607086238947556</v>
      </c>
      <c r="K22" s="2">
        <v>2.4565930551311554</v>
      </c>
      <c r="L22" s="2">
        <v>103.74757901524376</v>
      </c>
      <c r="M22" s="2">
        <v>1.341273264530618</v>
      </c>
      <c r="N22" s="2">
        <v>3.5773618402438099</v>
      </c>
      <c r="O22" s="2"/>
      <c r="P22" s="2">
        <v>166.86183376687313</v>
      </c>
    </row>
    <row r="23" spans="1:16" x14ac:dyDescent="0.25">
      <c r="A23" s="1" t="s">
        <v>53</v>
      </c>
      <c r="B23" s="2">
        <v>1.3117712111935622</v>
      </c>
      <c r="C23" s="2">
        <v>10.757878403609128</v>
      </c>
      <c r="D23" s="2">
        <v>5.5741798330351449</v>
      </c>
      <c r="E23" s="2">
        <v>13.043838320710268</v>
      </c>
      <c r="F23" s="2">
        <v>1.0853778621665182</v>
      </c>
      <c r="G23" s="2">
        <v>4.8376663282610677</v>
      </c>
      <c r="H23" s="2">
        <v>2.5055286044778473</v>
      </c>
      <c r="I23" s="2">
        <v>8.8620774043755013</v>
      </c>
      <c r="J23" s="2">
        <v>7.7607086238947556</v>
      </c>
      <c r="K23" s="2">
        <v>2.4565930551311554</v>
      </c>
      <c r="L23" s="2">
        <v>103.74757901524376</v>
      </c>
      <c r="M23" s="2">
        <v>1.341273264530618</v>
      </c>
      <c r="N23" s="2">
        <v>3.5773618402438099</v>
      </c>
      <c r="O23" s="2"/>
      <c r="P23" s="2">
        <v>166.86183376687313</v>
      </c>
    </row>
    <row r="24" spans="1:16" x14ac:dyDescent="0.25">
      <c r="A24" s="5" t="s">
        <v>80</v>
      </c>
      <c r="B24" s="2">
        <v>2.8206981237208155E-2</v>
      </c>
      <c r="C24" s="2"/>
      <c r="D24" s="2"/>
      <c r="E24" s="2"/>
      <c r="F24" s="2">
        <v>8.5354549483689941E-3</v>
      </c>
      <c r="G24" s="2"/>
      <c r="H24" s="2"/>
      <c r="I24" s="2"/>
      <c r="J24" s="2"/>
      <c r="K24" s="2"/>
      <c r="L24" s="2"/>
      <c r="M24" s="2"/>
      <c r="N24" s="2">
        <v>3.5378962589693537E-2</v>
      </c>
      <c r="O24" s="2"/>
      <c r="P24" s="2">
        <v>7.2121398775270684E-2</v>
      </c>
    </row>
    <row r="25" spans="1:16" x14ac:dyDescent="0.25">
      <c r="A25" s="1" t="s">
        <v>26</v>
      </c>
      <c r="B25" s="2">
        <v>4.170764161247115E-3</v>
      </c>
      <c r="C25" s="2"/>
      <c r="D25" s="2"/>
      <c r="E25" s="2"/>
      <c r="F25" s="2">
        <v>8.5354549483689941E-3</v>
      </c>
      <c r="G25" s="2"/>
      <c r="H25" s="2"/>
      <c r="I25" s="2"/>
      <c r="J25" s="2"/>
      <c r="K25" s="2"/>
      <c r="L25" s="2"/>
      <c r="M25" s="2"/>
      <c r="N25" s="2">
        <v>3.5378962589693537E-2</v>
      </c>
      <c r="O25" s="2"/>
      <c r="P25" s="2">
        <v>4.8085181699309643E-2</v>
      </c>
    </row>
    <row r="26" spans="1:16" x14ac:dyDescent="0.25">
      <c r="A26" s="1" t="s">
        <v>42</v>
      </c>
      <c r="B26" s="2">
        <v>2.4036217075961038E-2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v>2.4036217075961038E-2</v>
      </c>
    </row>
    <row r="27" spans="1:16" x14ac:dyDescent="0.25">
      <c r="A27" s="5" t="s">
        <v>52</v>
      </c>
      <c r="B27" s="2">
        <v>4.4111856659564332E-2</v>
      </c>
      <c r="C27" s="2">
        <v>5.7239182741109378</v>
      </c>
      <c r="D27" s="2">
        <v>0.119011289590987</v>
      </c>
      <c r="E27" s="2">
        <v>1.9449136389987045</v>
      </c>
      <c r="F27" s="2">
        <v>3.5788023730713183</v>
      </c>
      <c r="G27" s="2">
        <v>0.90363970622994871</v>
      </c>
      <c r="H27" s="2">
        <v>0.24242909460995687</v>
      </c>
      <c r="I27" s="2">
        <v>1.3297221073760388</v>
      </c>
      <c r="J27" s="2">
        <v>1.2043680522795468</v>
      </c>
      <c r="K27" s="2">
        <v>1.5858554717444191</v>
      </c>
      <c r="L27" s="2">
        <v>8.2988191941985079</v>
      </c>
      <c r="M27" s="2">
        <v>1.6963710462203849</v>
      </c>
      <c r="N27" s="2">
        <v>0.15857699541049997</v>
      </c>
      <c r="O27" s="2"/>
      <c r="P27" s="2">
        <v>26.830539100500815</v>
      </c>
    </row>
    <row r="28" spans="1:16" x14ac:dyDescent="0.25">
      <c r="A28" s="1" t="s">
        <v>51</v>
      </c>
      <c r="B28" s="2">
        <v>4.4111856659564332E-2</v>
      </c>
      <c r="C28" s="2">
        <v>5.7239182741109378</v>
      </c>
      <c r="D28" s="2">
        <v>0.119011289590987</v>
      </c>
      <c r="E28" s="2">
        <v>1.9449136389987045</v>
      </c>
      <c r="F28" s="2">
        <v>3.5788023730713183</v>
      </c>
      <c r="G28" s="2">
        <v>0.90363970622994871</v>
      </c>
      <c r="H28" s="2">
        <v>0.24242909460995687</v>
      </c>
      <c r="I28" s="2">
        <v>1.3297221073760388</v>
      </c>
      <c r="J28" s="2">
        <v>1.2043680522795468</v>
      </c>
      <c r="K28" s="2">
        <v>1.5858554717444191</v>
      </c>
      <c r="L28" s="2">
        <v>8.2988191941985079</v>
      </c>
      <c r="M28" s="2">
        <v>1.6963710462203849</v>
      </c>
      <c r="N28" s="2">
        <v>0.15857699541049997</v>
      </c>
      <c r="O28" s="2"/>
      <c r="P28" s="2">
        <v>26.830539100500815</v>
      </c>
    </row>
    <row r="29" spans="1:16" x14ac:dyDescent="0.25">
      <c r="A29" s="5" t="s">
        <v>73</v>
      </c>
      <c r="B29" s="2">
        <v>0.9359925383485278</v>
      </c>
      <c r="C29" s="2">
        <v>9.1394758274826255</v>
      </c>
      <c r="D29" s="2">
        <v>5.6764556806423014</v>
      </c>
      <c r="E29" s="2">
        <v>4.3371752575548959</v>
      </c>
      <c r="F29" s="2">
        <v>0.17393986854077478</v>
      </c>
      <c r="G29" s="2">
        <v>1.9236478085339481</v>
      </c>
      <c r="H29" s="2">
        <v>2.8885498926718949</v>
      </c>
      <c r="I29" s="2">
        <v>0.33469434473980614</v>
      </c>
      <c r="J29" s="2">
        <v>1.3336638401268899</v>
      </c>
      <c r="K29" s="2">
        <v>8.993140282886845</v>
      </c>
      <c r="L29" s="2">
        <v>14.782168863460427</v>
      </c>
      <c r="M29" s="2">
        <v>2.9644592683464817</v>
      </c>
      <c r="N29" s="2">
        <v>1.0725414848188954</v>
      </c>
      <c r="O29" s="2"/>
      <c r="P29" s="2">
        <v>54.555904958154308</v>
      </c>
    </row>
    <row r="30" spans="1:16" x14ac:dyDescent="0.25">
      <c r="A30" s="1" t="s">
        <v>23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>
        <v>8.8618700536627574E-3</v>
      </c>
      <c r="O30" s="2"/>
      <c r="P30" s="2">
        <v>8.8618700536627574E-3</v>
      </c>
    </row>
    <row r="31" spans="1:16" x14ac:dyDescent="0.25">
      <c r="A31" s="1" t="s">
        <v>6</v>
      </c>
      <c r="B31" s="2">
        <v>0.30340309421354461</v>
      </c>
      <c r="C31" s="2">
        <v>5.3591534586024272</v>
      </c>
      <c r="D31" s="2">
        <v>2.6523299268976572</v>
      </c>
      <c r="E31" s="2">
        <v>3.896852150274746</v>
      </c>
      <c r="F31" s="2">
        <v>9.879527694287811E-2</v>
      </c>
      <c r="G31" s="2">
        <v>1.6827610194471787</v>
      </c>
      <c r="H31" s="2">
        <v>0.20911327725057205</v>
      </c>
      <c r="I31" s="2">
        <v>0.33469434473980614</v>
      </c>
      <c r="J31" s="2">
        <v>1.2891786807240446</v>
      </c>
      <c r="K31" s="2">
        <v>1.7478192521308611</v>
      </c>
      <c r="L31" s="2">
        <v>4.9856266794720634</v>
      </c>
      <c r="M31" s="2">
        <v>1.4294641526580008</v>
      </c>
      <c r="N31" s="2">
        <v>0.43030857411051671</v>
      </c>
      <c r="O31" s="2"/>
      <c r="P31" s="2">
        <v>24.419499887464291</v>
      </c>
    </row>
    <row r="32" spans="1:16" x14ac:dyDescent="0.25">
      <c r="A32" s="1" t="s">
        <v>32</v>
      </c>
      <c r="B32" s="2"/>
      <c r="C32" s="2">
        <v>8.669493373879919E-2</v>
      </c>
      <c r="D32" s="2"/>
      <c r="E32" s="2">
        <v>2.8565812589202846E-2</v>
      </c>
      <c r="F32" s="2">
        <v>4.2669079283030327E-2</v>
      </c>
      <c r="G32" s="2">
        <v>5.7735408205338651E-2</v>
      </c>
      <c r="H32" s="2"/>
      <c r="I32" s="2"/>
      <c r="J32" s="2"/>
      <c r="K32" s="2"/>
      <c r="L32" s="2"/>
      <c r="M32" s="2"/>
      <c r="N32" s="2"/>
      <c r="O32" s="2"/>
      <c r="P32" s="2">
        <v>0.21566523381637101</v>
      </c>
    </row>
    <row r="33" spans="1:16" x14ac:dyDescent="0.25">
      <c r="A33" s="1" t="s">
        <v>21</v>
      </c>
      <c r="B33" s="2">
        <v>4.9320497866475171E-3</v>
      </c>
      <c r="C33" s="2"/>
      <c r="D33" s="2">
        <v>5.0408313203465317E-2</v>
      </c>
      <c r="E33" s="2"/>
      <c r="F33" s="2">
        <v>7.0876557196323893E-3</v>
      </c>
      <c r="G33" s="2">
        <v>9.0499913666335252E-2</v>
      </c>
      <c r="H33" s="2"/>
      <c r="I33" s="2"/>
      <c r="J33" s="2"/>
      <c r="K33" s="2"/>
      <c r="L33" s="2"/>
      <c r="M33" s="2">
        <v>0.30562198524793427</v>
      </c>
      <c r="N33" s="2"/>
      <c r="O33" s="2"/>
      <c r="P33" s="2">
        <v>0.45854991762401476</v>
      </c>
    </row>
    <row r="34" spans="1:16" x14ac:dyDescent="0.25">
      <c r="A34" s="1" t="s">
        <v>14</v>
      </c>
      <c r="B34" s="2">
        <v>0.10450981332307943</v>
      </c>
      <c r="C34" s="2"/>
      <c r="D34" s="2">
        <v>0.5167296305090171</v>
      </c>
      <c r="E34" s="2">
        <v>0.41175729469094724</v>
      </c>
      <c r="F34" s="2">
        <v>2.5387856595233963E-2</v>
      </c>
      <c r="G34" s="2"/>
      <c r="H34" s="2">
        <v>0.47593753851442189</v>
      </c>
      <c r="I34" s="2"/>
      <c r="J34" s="2"/>
      <c r="K34" s="2">
        <v>5.3058434728956848E-2</v>
      </c>
      <c r="L34" s="2">
        <v>1.95723259281089</v>
      </c>
      <c r="M34" s="2">
        <v>4.4493575897350528E-2</v>
      </c>
      <c r="N34" s="2">
        <v>0.11236863585164039</v>
      </c>
      <c r="O34" s="2"/>
      <c r="P34" s="2">
        <v>3.7014753729215371</v>
      </c>
    </row>
    <row r="35" spans="1:16" x14ac:dyDescent="0.25">
      <c r="A35" s="1" t="s">
        <v>15</v>
      </c>
      <c r="B35" s="2">
        <v>0.52314758102525627</v>
      </c>
      <c r="C35" s="2">
        <v>3.6936274351414</v>
      </c>
      <c r="D35" s="2">
        <v>2.4569878100321616</v>
      </c>
      <c r="E35" s="2"/>
      <c r="F35" s="2"/>
      <c r="G35" s="2">
        <v>9.2651467215095651E-2</v>
      </c>
      <c r="H35" s="2">
        <v>2.2034990769069007</v>
      </c>
      <c r="I35" s="2"/>
      <c r="J35" s="2">
        <v>4.4485159402845177E-2</v>
      </c>
      <c r="K35" s="2">
        <v>7.1922625960270272</v>
      </c>
      <c r="L35" s="2">
        <v>7.8393095911774733</v>
      </c>
      <c r="M35" s="2">
        <v>1.1848795545431963</v>
      </c>
      <c r="N35" s="2">
        <v>0.52100240480307547</v>
      </c>
      <c r="O35" s="2"/>
      <c r="P35" s="2">
        <v>25.751852676274432</v>
      </c>
    </row>
    <row r="36" spans="1:16" x14ac:dyDescent="0.25">
      <c r="A36" s="5" t="s">
        <v>74</v>
      </c>
      <c r="B36" s="2">
        <v>1.6826200726128449</v>
      </c>
      <c r="C36" s="2">
        <v>2.3804026878413964</v>
      </c>
      <c r="D36" s="2">
        <v>0.32760482774667843</v>
      </c>
      <c r="E36" s="2">
        <v>0.13455467258961706</v>
      </c>
      <c r="F36" s="2">
        <v>1.8252106581353222</v>
      </c>
      <c r="G36" s="2">
        <v>2.5635574420337512</v>
      </c>
      <c r="H36" s="2">
        <v>1.259502099367519</v>
      </c>
      <c r="I36" s="2">
        <v>9.3687376600831733</v>
      </c>
      <c r="J36" s="2">
        <v>3.9827850596870893</v>
      </c>
      <c r="K36" s="2">
        <v>2.1139314072677591</v>
      </c>
      <c r="L36" s="2">
        <v>23.731047597197389</v>
      </c>
      <c r="M36" s="2">
        <v>1.1211890672723783E-2</v>
      </c>
      <c r="N36" s="2">
        <v>0.49794079296087085</v>
      </c>
      <c r="O36" s="2"/>
      <c r="P36" s="2">
        <v>49.879106868196132</v>
      </c>
    </row>
    <row r="37" spans="1:16" x14ac:dyDescent="0.25">
      <c r="A37" s="1" t="s">
        <v>7</v>
      </c>
      <c r="B37" s="2">
        <v>3.4353614353250628E-2</v>
      </c>
      <c r="C37" s="2">
        <v>1.2949153560079273E-2</v>
      </c>
      <c r="D37" s="2">
        <v>0.1878182679281081</v>
      </c>
      <c r="E37" s="2"/>
      <c r="F37" s="2">
        <v>0.86588364240543225</v>
      </c>
      <c r="G37" s="2">
        <v>0.80488336300289509</v>
      </c>
      <c r="H37" s="2">
        <v>0.498370235377257</v>
      </c>
      <c r="I37" s="2">
        <v>0.92657498975456676</v>
      </c>
      <c r="J37" s="2">
        <v>0.90723858525370837</v>
      </c>
      <c r="K37" s="2">
        <v>1.0022851708857226</v>
      </c>
      <c r="L37" s="2">
        <v>0.43477990674355832</v>
      </c>
      <c r="M37" s="2"/>
      <c r="N37" s="2"/>
      <c r="O37" s="2"/>
      <c r="P37" s="2">
        <v>5.6751369292645775</v>
      </c>
    </row>
    <row r="38" spans="1:16" x14ac:dyDescent="0.25">
      <c r="A38" s="1" t="s">
        <v>8</v>
      </c>
      <c r="B38" s="2">
        <v>2.5544215767686111E-2</v>
      </c>
      <c r="C38" s="2">
        <v>1.6484616088044652E-2</v>
      </c>
      <c r="D38" s="2">
        <v>1.7736408408161063E-2</v>
      </c>
      <c r="E38" s="2">
        <v>1.9953476560946388E-2</v>
      </c>
      <c r="F38" s="2">
        <v>8.6534594562439997E-3</v>
      </c>
      <c r="G38" s="2">
        <v>1.33315259388452E-2</v>
      </c>
      <c r="H38" s="2"/>
      <c r="I38" s="2"/>
      <c r="J38" s="2"/>
      <c r="K38" s="2">
        <v>2.4282508497286373E-2</v>
      </c>
      <c r="L38" s="2"/>
      <c r="M38" s="2">
        <v>5.2458280733223856E-3</v>
      </c>
      <c r="N38" s="2">
        <v>2.6195221815663097E-2</v>
      </c>
      <c r="O38" s="2"/>
      <c r="P38" s="2">
        <v>0.15742726060619927</v>
      </c>
    </row>
    <row r="39" spans="1:16" x14ac:dyDescent="0.25">
      <c r="A39" s="1" t="s">
        <v>18</v>
      </c>
      <c r="B39" s="2">
        <v>0.20988333565489237</v>
      </c>
      <c r="C39" s="2">
        <v>0.78156381273048714</v>
      </c>
      <c r="D39" s="2">
        <v>0.12205015141040923</v>
      </c>
      <c r="E39" s="2">
        <v>0.11460119602867067</v>
      </c>
      <c r="F39" s="2">
        <v>0.95067355627364603</v>
      </c>
      <c r="G39" s="2">
        <v>1.7453425530920108</v>
      </c>
      <c r="H39" s="2">
        <v>0.76113186399026211</v>
      </c>
      <c r="I39" s="2">
        <v>8.4421626703286066</v>
      </c>
      <c r="J39" s="2">
        <v>2.9102012336324434</v>
      </c>
      <c r="K39" s="2">
        <v>1.0873637278847501</v>
      </c>
      <c r="L39" s="2">
        <v>1.3775509220084885</v>
      </c>
      <c r="M39" s="2">
        <v>5.9660625994013977E-3</v>
      </c>
      <c r="N39" s="2"/>
      <c r="O39" s="2"/>
      <c r="P39" s="2">
        <v>18.508491085634066</v>
      </c>
    </row>
    <row r="40" spans="1:16" x14ac:dyDescent="0.25">
      <c r="A40" s="1" t="s">
        <v>28</v>
      </c>
      <c r="B40" s="2">
        <v>1.4128389068370157</v>
      </c>
      <c r="C40" s="2">
        <v>1.5694051054627853</v>
      </c>
      <c r="D40" s="2"/>
      <c r="E40" s="2"/>
      <c r="F40" s="2"/>
      <c r="G40" s="2"/>
      <c r="H40" s="2"/>
      <c r="I40" s="2"/>
      <c r="J40" s="2">
        <v>0.1653452408009371</v>
      </c>
      <c r="K40" s="2"/>
      <c r="L40" s="2">
        <v>21.918716768445343</v>
      </c>
      <c r="M40" s="2"/>
      <c r="N40" s="2">
        <v>0.47174557114520776</v>
      </c>
      <c r="O40" s="2"/>
      <c r="P40" s="2">
        <v>25.538051592691286</v>
      </c>
    </row>
    <row r="41" spans="1:16" x14ac:dyDescent="0.25">
      <c r="A41" s="5" t="s">
        <v>45</v>
      </c>
      <c r="B41" s="2">
        <v>1.4747560325661599</v>
      </c>
      <c r="C41" s="2">
        <v>2.429080679820625</v>
      </c>
      <c r="D41" s="2">
        <v>8.4772163445277737</v>
      </c>
      <c r="E41" s="2">
        <v>1.7618109567889799</v>
      </c>
      <c r="F41" s="2">
        <v>5.2459362987464617</v>
      </c>
      <c r="G41" s="2">
        <v>2.9648078438292327</v>
      </c>
      <c r="H41" s="2">
        <v>2.370071450837826</v>
      </c>
      <c r="I41" s="2">
        <v>9.0941663066024017</v>
      </c>
      <c r="J41" s="2">
        <v>10.280452255895707</v>
      </c>
      <c r="K41" s="2">
        <v>4.0559990064182756</v>
      </c>
      <c r="L41" s="2">
        <v>23.25933238808345</v>
      </c>
      <c r="M41" s="2">
        <v>0.84844465949515402</v>
      </c>
      <c r="N41" s="2">
        <v>8.0855458128931907</v>
      </c>
      <c r="O41" s="2"/>
      <c r="P41" s="2">
        <v>80.347620036505248</v>
      </c>
    </row>
    <row r="42" spans="1:16" x14ac:dyDescent="0.25">
      <c r="A42" s="1" t="s">
        <v>44</v>
      </c>
      <c r="B42" s="2"/>
      <c r="C42" s="2"/>
      <c r="D42" s="2">
        <v>2.3138963199743894E-2</v>
      </c>
      <c r="E42" s="2"/>
      <c r="F42" s="2">
        <v>3.9792837465717898E-3</v>
      </c>
      <c r="G42" s="2"/>
      <c r="H42" s="2">
        <v>7.154710633102317E-3</v>
      </c>
      <c r="I42" s="2"/>
      <c r="J42" s="2"/>
      <c r="K42" s="2">
        <v>3.2428859170793045E-3</v>
      </c>
      <c r="L42" s="2"/>
      <c r="M42" s="2"/>
      <c r="N42" s="2">
        <v>2.4905106058739086E-2</v>
      </c>
      <c r="O42" s="2"/>
      <c r="P42" s="2">
        <v>6.2420949555236388E-2</v>
      </c>
    </row>
    <row r="43" spans="1:16" x14ac:dyDescent="0.25">
      <c r="A43" s="1" t="s">
        <v>46</v>
      </c>
      <c r="B43" s="2">
        <v>7.5042362510594172E-3</v>
      </c>
      <c r="C43" s="2">
        <v>6.3585351057026368E-2</v>
      </c>
      <c r="D43" s="2">
        <v>0.10401828481700508</v>
      </c>
      <c r="E43" s="2">
        <v>5.3946468481135518E-2</v>
      </c>
      <c r="F43" s="2">
        <v>8.2445930163056194E-2</v>
      </c>
      <c r="G43" s="2">
        <v>3.7954410664062356E-3</v>
      </c>
      <c r="H43" s="2">
        <v>1.8284314747104898E-2</v>
      </c>
      <c r="I43" s="2">
        <v>0.1014726528710634</v>
      </c>
      <c r="J43" s="2">
        <v>1.5662622084948213E-2</v>
      </c>
      <c r="K43" s="2">
        <v>2.7593611247265722E-2</v>
      </c>
      <c r="L43" s="2">
        <v>0.29885249651424756</v>
      </c>
      <c r="M43" s="2">
        <v>3.9240571062978867E-2</v>
      </c>
      <c r="N43" s="2">
        <v>0.27505805173156095</v>
      </c>
      <c r="O43" s="2"/>
      <c r="P43" s="2">
        <v>1.0914600320948584</v>
      </c>
    </row>
    <row r="44" spans="1:16" x14ac:dyDescent="0.25">
      <c r="A44" s="1" t="s">
        <v>47</v>
      </c>
      <c r="B44" s="2"/>
      <c r="C44" s="2"/>
      <c r="D44" s="2">
        <v>2.0408634977196303</v>
      </c>
      <c r="E44" s="2"/>
      <c r="F44" s="2"/>
      <c r="G44" s="2"/>
      <c r="H44" s="2"/>
      <c r="I44" s="2"/>
      <c r="J44" s="2"/>
      <c r="K44" s="2">
        <v>1.7717720700329986</v>
      </c>
      <c r="L44" s="2"/>
      <c r="M44" s="2"/>
      <c r="N44" s="2">
        <v>2.7628566397591667</v>
      </c>
      <c r="O44" s="2"/>
      <c r="P44" s="2">
        <v>6.5754922075117959</v>
      </c>
    </row>
    <row r="45" spans="1:16" x14ac:dyDescent="0.25">
      <c r="A45" s="1" t="s">
        <v>48</v>
      </c>
      <c r="B45" s="2">
        <v>0.58143982341316791</v>
      </c>
      <c r="C45" s="2">
        <v>1.3788033254189074</v>
      </c>
      <c r="D45" s="2">
        <v>3.0208690156188012</v>
      </c>
      <c r="E45" s="2">
        <v>0.52742796022617422</v>
      </c>
      <c r="F45" s="2">
        <v>1.8098097779194791</v>
      </c>
      <c r="G45" s="2">
        <v>1.4227523006130298</v>
      </c>
      <c r="H45" s="2">
        <v>0.708784790756393</v>
      </c>
      <c r="I45" s="2">
        <v>5.366481016453438</v>
      </c>
      <c r="J45" s="2">
        <v>8.4397604767460557</v>
      </c>
      <c r="K45" s="2">
        <v>0.25684180983693039</v>
      </c>
      <c r="L45" s="2">
        <v>7.9865742288911035</v>
      </c>
      <c r="M45" s="2"/>
      <c r="N45" s="2">
        <v>2.0950568775795122</v>
      </c>
      <c r="O45" s="2"/>
      <c r="P45" s="2">
        <v>33.594601403472993</v>
      </c>
    </row>
    <row r="46" spans="1:16" x14ac:dyDescent="0.25">
      <c r="A46" s="1" t="s">
        <v>49</v>
      </c>
      <c r="B46" s="2">
        <v>8.9595282620063763E-3</v>
      </c>
      <c r="C46" s="2">
        <v>1.5273405122195136E-2</v>
      </c>
      <c r="D46" s="2">
        <v>2.6618669900089084E-2</v>
      </c>
      <c r="E46" s="2">
        <v>1.4538118854409879E-2</v>
      </c>
      <c r="F46" s="2">
        <v>2.681649048916326E-2</v>
      </c>
      <c r="G46" s="2">
        <v>1.9693889035595283E-2</v>
      </c>
      <c r="H46" s="2">
        <v>1.429798642733616E-2</v>
      </c>
      <c r="I46" s="2">
        <v>5.4361403800368059E-2</v>
      </c>
      <c r="J46" s="2">
        <v>1.8040705004398958E-2</v>
      </c>
      <c r="K46" s="2">
        <v>8.3223683575500158E-3</v>
      </c>
      <c r="L46" s="2">
        <v>8.5760911849725063E-2</v>
      </c>
      <c r="M46" s="2">
        <v>3.6578984004049256E-2</v>
      </c>
      <c r="N46" s="2">
        <v>8.1928661498523417E-2</v>
      </c>
      <c r="O46" s="2"/>
      <c r="P46" s="2">
        <v>0.41119112260540991</v>
      </c>
    </row>
    <row r="47" spans="1:16" x14ac:dyDescent="0.25">
      <c r="A47" s="1" t="s">
        <v>50</v>
      </c>
      <c r="B47" s="2">
        <v>0.45819154641072984</v>
      </c>
      <c r="C47" s="2">
        <v>0.1997017457873688</v>
      </c>
      <c r="D47" s="2">
        <v>1.055796138342888</v>
      </c>
      <c r="E47" s="2">
        <v>0.27909614749510525</v>
      </c>
      <c r="F47" s="2">
        <v>2.2324871066999008</v>
      </c>
      <c r="G47" s="2">
        <v>0.4102363627843168</v>
      </c>
      <c r="H47" s="2">
        <v>0.23522414421694801</v>
      </c>
      <c r="I47" s="2">
        <v>1.0670095650755642</v>
      </c>
      <c r="J47" s="2">
        <v>0.77759536002076557</v>
      </c>
      <c r="K47" s="2">
        <v>0.30514041601773861</v>
      </c>
      <c r="L47" s="2">
        <v>2.8436289980131142</v>
      </c>
      <c r="M47" s="2">
        <v>0.19371830450178029</v>
      </c>
      <c r="N47" s="2">
        <v>0.60168728485050815</v>
      </c>
      <c r="O47" s="2"/>
      <c r="P47" s="2">
        <v>10.659513120216729</v>
      </c>
    </row>
    <row r="48" spans="1:16" x14ac:dyDescent="0.25">
      <c r="A48" s="1" t="s">
        <v>55</v>
      </c>
      <c r="B48" s="2">
        <v>7.1510800066290708E-2</v>
      </c>
      <c r="C48" s="2">
        <v>1.1899810097546851E-2</v>
      </c>
      <c r="D48" s="2">
        <v>0.11864674032820871</v>
      </c>
      <c r="E48" s="2">
        <v>3.8350927963469485E-2</v>
      </c>
      <c r="F48" s="2">
        <v>0.14385261161150079</v>
      </c>
      <c r="G48" s="2">
        <v>2.9820938104501576E-2</v>
      </c>
      <c r="H48" s="2">
        <v>5.6721423539474992E-2</v>
      </c>
      <c r="I48" s="2">
        <v>0.10714689561489601</v>
      </c>
      <c r="J48" s="2">
        <v>2.3262557152825242E-2</v>
      </c>
      <c r="K48" s="2">
        <v>1.5222590690520288E-2</v>
      </c>
      <c r="L48" s="2">
        <v>0.21765578248856679</v>
      </c>
      <c r="M48" s="2">
        <v>2.6671963509938699E-2</v>
      </c>
      <c r="N48" s="2">
        <v>0.34933397393925736</v>
      </c>
      <c r="O48" s="2"/>
      <c r="P48" s="2">
        <v>1.2100970151069976</v>
      </c>
    </row>
    <row r="49" spans="1:16" x14ac:dyDescent="0.25">
      <c r="A49" s="1" t="s">
        <v>56</v>
      </c>
      <c r="B49" s="2">
        <v>4.6616306557056793E-2</v>
      </c>
      <c r="C49" s="2">
        <v>0.12987828015488317</v>
      </c>
      <c r="D49" s="2">
        <v>8.4696317714124322E-2</v>
      </c>
      <c r="E49" s="2">
        <v>0.22156325741785599</v>
      </c>
      <c r="F49" s="2">
        <v>2.7597016628953846E-2</v>
      </c>
      <c r="G49" s="2">
        <v>2.1150433824781403E-2</v>
      </c>
      <c r="H49" s="2">
        <v>3.6074378785545071E-2</v>
      </c>
      <c r="I49" s="2">
        <v>2.4622971681136838E-2</v>
      </c>
      <c r="J49" s="2">
        <v>3.5925914825915804E-2</v>
      </c>
      <c r="K49" s="2">
        <v>0.13138662342305313</v>
      </c>
      <c r="L49" s="2">
        <v>1.8167056623634026</v>
      </c>
      <c r="M49" s="2">
        <v>6.6160111531925844E-2</v>
      </c>
      <c r="N49" s="2">
        <v>0.19058810854764491</v>
      </c>
      <c r="O49" s="2"/>
      <c r="P49" s="2">
        <v>2.8329653834562802</v>
      </c>
    </row>
    <row r="50" spans="1:16" x14ac:dyDescent="0.25">
      <c r="A50" s="1" t="s">
        <v>57</v>
      </c>
      <c r="B50" s="2">
        <v>6.3881729304600642E-3</v>
      </c>
      <c r="C50" s="2">
        <v>9.4300384543347729E-2</v>
      </c>
      <c r="D50" s="2">
        <v>3.8780181497655303E-3</v>
      </c>
      <c r="E50" s="2">
        <v>9.3526277661809973E-2</v>
      </c>
      <c r="F50" s="2">
        <v>2.4549939383859111E-2</v>
      </c>
      <c r="G50" s="2">
        <v>2.0790489853794173E-2</v>
      </c>
      <c r="H50" s="2">
        <v>1.5175863514017731E-2</v>
      </c>
      <c r="I50" s="2">
        <v>3.8180122926515653E-2</v>
      </c>
      <c r="J50" s="2">
        <v>3.2052486169911729E-2</v>
      </c>
      <c r="K50" s="2">
        <v>4.0722670373309379E-2</v>
      </c>
      <c r="L50" s="2">
        <v>0.3041357085795186</v>
      </c>
      <c r="M50" s="2">
        <v>2.346871357874734E-2</v>
      </c>
      <c r="N50" s="2">
        <v>1.3726379944282533E-2</v>
      </c>
      <c r="O50" s="2"/>
      <c r="P50" s="2">
        <v>0.71089522760933954</v>
      </c>
    </row>
    <row r="51" spans="1:16" x14ac:dyDescent="0.25">
      <c r="A51" s="1" t="s">
        <v>58</v>
      </c>
      <c r="B51" s="2"/>
      <c r="C51" s="2">
        <v>1.6616757793371954E-2</v>
      </c>
      <c r="D51" s="2">
        <v>6.151328466057999E-4</v>
      </c>
      <c r="E51" s="2">
        <v>2.765986555988904E-2</v>
      </c>
      <c r="F51" s="2">
        <v>1.6509143971956525E-3</v>
      </c>
      <c r="G51" s="2"/>
      <c r="H51" s="2"/>
      <c r="I51" s="2">
        <v>1.5492938705795841E-3</v>
      </c>
      <c r="J51" s="2">
        <v>4.4854260716254727E-3</v>
      </c>
      <c r="K51" s="2">
        <v>2.1341855001806203E-3</v>
      </c>
      <c r="L51" s="2">
        <v>3.3753148053782059E-3</v>
      </c>
      <c r="M51" s="2">
        <v>7.4228310586774279E-3</v>
      </c>
      <c r="N51" s="2">
        <v>2.5993695396532893E-3</v>
      </c>
      <c r="O51" s="2"/>
      <c r="P51" s="2">
        <v>6.8109091443157035E-2</v>
      </c>
    </row>
    <row r="52" spans="1:16" x14ac:dyDescent="0.25">
      <c r="A52" s="1" t="s">
        <v>59</v>
      </c>
      <c r="B52" s="2">
        <v>4.7173115802782162E-3</v>
      </c>
      <c r="C52" s="2">
        <v>2.2569101115822922E-2</v>
      </c>
      <c r="D52" s="2">
        <v>4.3743451378814309E-2</v>
      </c>
      <c r="E52" s="2">
        <v>3.1992653807374094E-2</v>
      </c>
      <c r="F52" s="2">
        <v>0.10745707592045109</v>
      </c>
      <c r="G52" s="2">
        <v>1.8332544989180202E-2</v>
      </c>
      <c r="H52" s="2">
        <v>2.7216441604170964E-2</v>
      </c>
      <c r="I52" s="2">
        <v>7.3593588533911097E-2</v>
      </c>
      <c r="J52" s="2">
        <v>3.4910328967872419E-2</v>
      </c>
      <c r="K52" s="2">
        <v>1.3584352470973629E-2</v>
      </c>
      <c r="L52" s="2">
        <v>8.7940002731948214E-2</v>
      </c>
      <c r="M52" s="2">
        <v>4.8906281694348994E-3</v>
      </c>
      <c r="N52" s="2">
        <v>2.7962241405995635E-2</v>
      </c>
      <c r="O52" s="2"/>
      <c r="P52" s="2">
        <v>0.49890972267622768</v>
      </c>
    </row>
    <row r="53" spans="1:16" x14ac:dyDescent="0.25">
      <c r="A53" s="1" t="s">
        <v>60</v>
      </c>
      <c r="B53" s="2"/>
      <c r="C53" s="2"/>
      <c r="D53" s="2">
        <v>1.3421530402712289E-3</v>
      </c>
      <c r="E53" s="2">
        <v>7.7113691941257702E-3</v>
      </c>
      <c r="F53" s="2"/>
      <c r="G53" s="2"/>
      <c r="H53" s="2">
        <v>3.2230906291345943E-3</v>
      </c>
      <c r="I53" s="2">
        <v>1.5614340024373801E-2</v>
      </c>
      <c r="J53" s="2"/>
      <c r="K53" s="2">
        <v>6.9771947399787943E-3</v>
      </c>
      <c r="L53" s="2"/>
      <c r="M53" s="2"/>
      <c r="N53" s="2">
        <v>2.9281041865645849E-3</v>
      </c>
      <c r="O53" s="2"/>
      <c r="P53" s="2">
        <v>3.7796251814448775E-2</v>
      </c>
    </row>
    <row r="54" spans="1:16" x14ac:dyDescent="0.25">
      <c r="A54" s="1" t="s">
        <v>61</v>
      </c>
      <c r="B54" s="2"/>
      <c r="C54" s="2">
        <v>4.9611413600216592E-2</v>
      </c>
      <c r="D54" s="2"/>
      <c r="E54" s="2"/>
      <c r="F54" s="2"/>
      <c r="G54" s="2"/>
      <c r="H54" s="2"/>
      <c r="I54" s="2"/>
      <c r="J54" s="2"/>
      <c r="K54" s="2">
        <v>2.7494040920502619E-2</v>
      </c>
      <c r="L54" s="2">
        <v>1.5091560123946413</v>
      </c>
      <c r="M54" s="2">
        <v>4.7225306337715434E-2</v>
      </c>
      <c r="N54" s="2"/>
      <c r="O54" s="2"/>
      <c r="P54" s="2">
        <v>1.633486773253076</v>
      </c>
    </row>
    <row r="55" spans="1:16" x14ac:dyDescent="0.25">
      <c r="A55" s="1" t="s">
        <v>62</v>
      </c>
      <c r="B55" s="2">
        <v>0.13108790831018005</v>
      </c>
      <c r="C55" s="2">
        <v>0.13978623537855717</v>
      </c>
      <c r="D55" s="2">
        <v>0.54720532937281163</v>
      </c>
      <c r="E55" s="2"/>
      <c r="F55" s="2">
        <v>0.14868740353263915</v>
      </c>
      <c r="G55" s="2">
        <v>2.5020065322350248E-2</v>
      </c>
      <c r="H55" s="2">
        <v>0.14242851996546399</v>
      </c>
      <c r="I55" s="2">
        <v>5.016611720807089E-2</v>
      </c>
      <c r="J55" s="2"/>
      <c r="K55" s="2">
        <v>5.4481242364885371E-2</v>
      </c>
      <c r="L55" s="2">
        <v>1.6886770027963258</v>
      </c>
      <c r="M55" s="2">
        <v>0.12506972650428624</v>
      </c>
      <c r="N55" s="2">
        <v>0.43864360557677712</v>
      </c>
      <c r="O55" s="2"/>
      <c r="P55" s="2">
        <v>3.4912531563323479</v>
      </c>
    </row>
    <row r="56" spans="1:16" x14ac:dyDescent="0.25">
      <c r="A56" s="1" t="s">
        <v>70</v>
      </c>
      <c r="B56" s="2"/>
      <c r="C56" s="2"/>
      <c r="D56" s="2">
        <v>1.728109835183372E-2</v>
      </c>
      <c r="E56" s="2">
        <v>1.9753065778085974E-2</v>
      </c>
      <c r="F56" s="2"/>
      <c r="G56" s="2"/>
      <c r="H56" s="2">
        <v>8.251160588515101E-2</v>
      </c>
      <c r="I56" s="2"/>
      <c r="J56" s="2"/>
      <c r="K56" s="2"/>
      <c r="L56" s="2"/>
      <c r="M56" s="2"/>
      <c r="N56" s="2"/>
      <c r="O56" s="2"/>
      <c r="P56" s="2">
        <v>0.1195457700150707</v>
      </c>
    </row>
    <row r="57" spans="1:16" x14ac:dyDescent="0.25">
      <c r="A57" s="1" t="s">
        <v>63</v>
      </c>
      <c r="B57" s="2">
        <v>1.4231889489993108E-2</v>
      </c>
      <c r="C57" s="2">
        <v>6.1248912059310972E-3</v>
      </c>
      <c r="D57" s="2">
        <v>1.1976641893074392E-2</v>
      </c>
      <c r="E57" s="2">
        <v>0.1843157411376885</v>
      </c>
      <c r="F57" s="2">
        <v>2.4179957563239277E-2</v>
      </c>
      <c r="G57" s="2">
        <v>1.3179642605728846E-2</v>
      </c>
      <c r="H57" s="2">
        <v>0.11552150091799734</v>
      </c>
      <c r="I57" s="2">
        <v>0.24064990760398514</v>
      </c>
      <c r="J57" s="2">
        <v>3.5943344060380203E-2</v>
      </c>
      <c r="K57" s="2">
        <v>5.763027237679634E-2</v>
      </c>
      <c r="L57" s="2"/>
      <c r="M57" s="2"/>
      <c r="N57" s="2"/>
      <c r="O57" s="2"/>
      <c r="P57" s="2">
        <v>0.70375378885481421</v>
      </c>
    </row>
    <row r="58" spans="1:16" x14ac:dyDescent="0.25">
      <c r="A58" s="1" t="s">
        <v>64</v>
      </c>
      <c r="B58" s="2"/>
      <c r="C58" s="2"/>
      <c r="D58" s="2"/>
      <c r="E58" s="2">
        <v>2.17882991247451E-2</v>
      </c>
      <c r="F58" s="2">
        <v>9.6136089383779877E-2</v>
      </c>
      <c r="G58" s="2"/>
      <c r="H58" s="2"/>
      <c r="I58" s="2">
        <v>0.44791229070544447</v>
      </c>
      <c r="J58" s="2"/>
      <c r="K58" s="2">
        <v>1.9698796309617649E-3</v>
      </c>
      <c r="L58" s="2"/>
      <c r="M58" s="2">
        <v>4.0603252520948339E-2</v>
      </c>
      <c r="N58" s="2">
        <v>7.1959626190125081E-2</v>
      </c>
      <c r="O58" s="2"/>
      <c r="P58" s="2">
        <v>0.68036943755600454</v>
      </c>
    </row>
    <row r="59" spans="1:16" x14ac:dyDescent="0.25">
      <c r="A59" s="1" t="s">
        <v>65</v>
      </c>
      <c r="B59" s="2">
        <v>5.7315946405749461E-2</v>
      </c>
      <c r="C59" s="2">
        <v>3.2755114094396527E-2</v>
      </c>
      <c r="D59" s="2"/>
      <c r="E59" s="2">
        <v>7.4261232823195134E-2</v>
      </c>
      <c r="F59" s="2">
        <v>0.39124719626211474</v>
      </c>
      <c r="G59" s="2">
        <v>0.76992527128050547</v>
      </c>
      <c r="H59" s="2">
        <v>0.13035971296949503</v>
      </c>
      <c r="I59" s="2">
        <v>0.65830469804810121</v>
      </c>
      <c r="J59" s="2">
        <v>0.69291001944793862</v>
      </c>
      <c r="K59" s="2">
        <v>6.472105190179242E-2</v>
      </c>
      <c r="L59" s="2">
        <v>6.5788642140648668E-2</v>
      </c>
      <c r="M59" s="2">
        <v>3.7347835715427977E-2</v>
      </c>
      <c r="N59" s="2">
        <v>0.27342597035388078</v>
      </c>
      <c r="O59" s="2"/>
      <c r="P59" s="2">
        <v>3.248362691443246</v>
      </c>
    </row>
    <row r="60" spans="1:16" x14ac:dyDescent="0.25">
      <c r="A60" s="1" t="s">
        <v>66</v>
      </c>
      <c r="B60" s="2">
        <v>1.1584993189984961E-3</v>
      </c>
      <c r="C60" s="2"/>
      <c r="D60" s="2"/>
      <c r="E60" s="2"/>
      <c r="F60" s="2"/>
      <c r="G60" s="2"/>
      <c r="H60" s="2">
        <v>5.70621695747821E-2</v>
      </c>
      <c r="I60" s="2"/>
      <c r="J60" s="2"/>
      <c r="K60" s="2">
        <v>1.8243055262336903E-2</v>
      </c>
      <c r="L60" s="2"/>
      <c r="M60" s="2"/>
      <c r="N60" s="2"/>
      <c r="O60" s="2"/>
      <c r="P60" s="2">
        <v>7.6463724156117491E-2</v>
      </c>
    </row>
    <row r="61" spans="1:16" x14ac:dyDescent="0.25">
      <c r="A61" s="1" t="s">
        <v>67</v>
      </c>
      <c r="B61" s="2">
        <v>6.3388846141518282E-2</v>
      </c>
      <c r="C61" s="2">
        <v>2.3149595381281494E-2</v>
      </c>
      <c r="D61" s="2">
        <v>0.12248749545033245</v>
      </c>
      <c r="E61" s="2">
        <v>0.13093082598907405</v>
      </c>
      <c r="F61" s="2">
        <v>5.1385061311932739E-2</v>
      </c>
      <c r="G61" s="2">
        <v>4.9238701483923071E-2</v>
      </c>
      <c r="H61" s="2">
        <v>0.17259753153670601</v>
      </c>
      <c r="I61" s="2">
        <v>8.7449882092173081E-2</v>
      </c>
      <c r="J61" s="2">
        <v>7.0985667704790797E-2</v>
      </c>
      <c r="K61" s="2">
        <v>2.7890937881379228E-2</v>
      </c>
      <c r="L61" s="2">
        <v>0.36283660883650376</v>
      </c>
      <c r="M61" s="2">
        <v>4.3882552216894702E-2</v>
      </c>
      <c r="N61" s="2">
        <v>0.68918866336764184</v>
      </c>
      <c r="O61" s="2"/>
      <c r="P61" s="2">
        <v>1.8954123693941514</v>
      </c>
    </row>
    <row r="62" spans="1:16" x14ac:dyDescent="0.25">
      <c r="A62" s="1" t="s">
        <v>68</v>
      </c>
      <c r="B62" s="2"/>
      <c r="C62" s="2"/>
      <c r="D62" s="2"/>
      <c r="E62" s="2"/>
      <c r="F62" s="2"/>
      <c r="G62" s="2">
        <v>1.6087176286511892E-2</v>
      </c>
      <c r="H62" s="2">
        <v>0.45331966962964648</v>
      </c>
      <c r="I62" s="2">
        <v>0.19549724478668745</v>
      </c>
      <c r="J62" s="2">
        <v>4.9458673819141284E-2</v>
      </c>
      <c r="K62" s="2">
        <v>2.6648804531409147E-2</v>
      </c>
      <c r="L62" s="2">
        <v>5.9882450156783253</v>
      </c>
      <c r="M62" s="2">
        <v>8.9519643331709003E-3</v>
      </c>
      <c r="N62" s="2">
        <v>2.3987223258794838E-2</v>
      </c>
      <c r="O62" s="2"/>
      <c r="P62" s="2">
        <v>6.7621957723236878</v>
      </c>
    </row>
    <row r="63" spans="1:16" x14ac:dyDescent="0.25">
      <c r="A63" s="1" t="s">
        <v>69</v>
      </c>
      <c r="B63" s="2">
        <v>7.4150724762236534E-3</v>
      </c>
      <c r="C63" s="2"/>
      <c r="D63" s="2">
        <v>1.2540393964037739</v>
      </c>
      <c r="E63" s="2">
        <v>3.4948745274842007E-2</v>
      </c>
      <c r="F63" s="2">
        <v>5.8923554986099261E-2</v>
      </c>
      <c r="G63" s="2"/>
      <c r="H63" s="2">
        <v>9.4113595505355904E-2</v>
      </c>
      <c r="I63" s="2">
        <v>0.5641543153060915</v>
      </c>
      <c r="J63" s="2"/>
      <c r="K63" s="2">
        <v>1.1939789429406338</v>
      </c>
      <c r="L63" s="2"/>
      <c r="M63" s="2">
        <v>0.14721191444917772</v>
      </c>
      <c r="N63" s="2">
        <v>0.15970992510456494</v>
      </c>
      <c r="O63" s="2"/>
      <c r="P63" s="2">
        <v>3.5144954624467624</v>
      </c>
    </row>
    <row r="64" spans="1:16" x14ac:dyDescent="0.25">
      <c r="A64" s="1" t="s">
        <v>71</v>
      </c>
      <c r="B64" s="2">
        <v>1.4830144952447307E-2</v>
      </c>
      <c r="C64" s="2">
        <v>0.2450252690697714</v>
      </c>
      <c r="D64" s="2"/>
      <c r="E64" s="2"/>
      <c r="F64" s="2">
        <v>1.4730888746524815E-2</v>
      </c>
      <c r="G64" s="2">
        <v>0.14478458657860699</v>
      </c>
      <c r="H64" s="2"/>
      <c r="I64" s="2"/>
      <c r="J64" s="2">
        <v>4.9458673819141284E-2</v>
      </c>
      <c r="K64" s="2"/>
      <c r="L64" s="2"/>
      <c r="M64" s="2"/>
      <c r="N64" s="2"/>
      <c r="O64" s="2"/>
      <c r="P64" s="2">
        <v>0.46882956316649183</v>
      </c>
    </row>
    <row r="65" spans="1:16" x14ac:dyDescent="0.25">
      <c r="A65" s="5" t="s">
        <v>92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25">
      <c r="A66" s="1" t="s">
        <v>92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25">
      <c r="A67" s="5" t="s">
        <v>93</v>
      </c>
      <c r="B67" s="2">
        <v>7.2439889988807558</v>
      </c>
      <c r="C67" s="2">
        <v>62.467073955389353</v>
      </c>
      <c r="D67" s="2">
        <v>22.608501565788728</v>
      </c>
      <c r="E67" s="2">
        <v>45.528195018006905</v>
      </c>
      <c r="F67" s="2">
        <v>18.392886752800027</v>
      </c>
      <c r="G67" s="2">
        <v>30.015234524026457</v>
      </c>
      <c r="H67" s="2">
        <v>16.705213165130097</v>
      </c>
      <c r="I67" s="2">
        <v>40.216243727652099</v>
      </c>
      <c r="J67" s="2">
        <v>37.16158857111332</v>
      </c>
      <c r="K67" s="2">
        <v>28.610675471027559</v>
      </c>
      <c r="L67" s="2">
        <v>185.74903821893813</v>
      </c>
      <c r="M67" s="2">
        <v>24.140856808828122</v>
      </c>
      <c r="N67" s="2">
        <v>14.33314820436224</v>
      </c>
      <c r="O67" s="2"/>
      <c r="P67" s="2">
        <v>533.1726449819439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6194-42E4-D046-B742-C0B87C83D4EF}">
  <dimension ref="A3:P67"/>
  <sheetViews>
    <sheetView workbookViewId="0">
      <selection activeCell="F24" sqref="F24"/>
    </sheetView>
  </sheetViews>
  <sheetFormatPr defaultColWidth="11" defaultRowHeight="15.75" x14ac:dyDescent="0.25"/>
  <cols>
    <col min="1" max="1" width="18.875" bestFit="1" customWidth="1"/>
    <col min="2" max="2" width="16" bestFit="1" customWidth="1"/>
    <col min="3" max="10" width="8.125" bestFit="1" customWidth="1"/>
    <col min="11" max="14" width="7.125" bestFit="1" customWidth="1"/>
    <col min="15" max="15" width="7" bestFit="1" customWidth="1"/>
    <col min="16" max="16" width="10.5" bestFit="1" customWidth="1"/>
  </cols>
  <sheetData>
    <row r="3" spans="1:16" x14ac:dyDescent="0.25">
      <c r="A3" s="4" t="s">
        <v>96</v>
      </c>
      <c r="B3" s="4" t="s">
        <v>91</v>
      </c>
    </row>
    <row r="4" spans="1:16" x14ac:dyDescent="0.25">
      <c r="A4" s="4" t="s">
        <v>94</v>
      </c>
      <c r="B4" t="s">
        <v>90</v>
      </c>
      <c r="C4" t="s">
        <v>87</v>
      </c>
      <c r="D4" t="s">
        <v>82</v>
      </c>
      <c r="E4" t="s">
        <v>89</v>
      </c>
      <c r="F4" t="s">
        <v>83</v>
      </c>
      <c r="G4" t="s">
        <v>88</v>
      </c>
      <c r="H4" t="s">
        <v>85</v>
      </c>
      <c r="I4" t="s">
        <v>86</v>
      </c>
      <c r="J4" t="s">
        <v>84</v>
      </c>
      <c r="K4" t="s">
        <v>72</v>
      </c>
      <c r="L4" t="s">
        <v>81</v>
      </c>
      <c r="M4" t="s">
        <v>78</v>
      </c>
      <c r="N4" t="s">
        <v>79</v>
      </c>
      <c r="O4" t="s">
        <v>92</v>
      </c>
      <c r="P4" t="s">
        <v>93</v>
      </c>
    </row>
    <row r="5" spans="1:16" x14ac:dyDescent="0.25">
      <c r="A5" s="5" t="s">
        <v>77</v>
      </c>
      <c r="B5" s="2">
        <v>5.0669892377792864</v>
      </c>
      <c r="C5" s="2">
        <v>4.6578315936996368</v>
      </c>
      <c r="D5" s="2">
        <v>3.4251770019687853</v>
      </c>
      <c r="E5" s="2">
        <v>7.080532312024161</v>
      </c>
      <c r="F5" s="2">
        <v>6.7993511491670837</v>
      </c>
      <c r="G5" s="2">
        <v>5.7841189951056471</v>
      </c>
      <c r="H5" s="2">
        <v>6.5129745783459363</v>
      </c>
      <c r="I5" s="2">
        <v>5.8976437462509468</v>
      </c>
      <c r="J5" s="2">
        <v>5.1267375233763586</v>
      </c>
      <c r="K5" s="2">
        <v>7.4887454574959857</v>
      </c>
      <c r="L5" s="2">
        <v>3.812256125338259</v>
      </c>
      <c r="M5" s="2">
        <v>4.7472941385227889</v>
      </c>
      <c r="N5" s="2">
        <v>1.9888947471667107</v>
      </c>
      <c r="O5" s="2"/>
      <c r="P5" s="2">
        <v>5.5769249308018232</v>
      </c>
    </row>
    <row r="6" spans="1:16" x14ac:dyDescent="0.25">
      <c r="A6" s="1" t="s">
        <v>11</v>
      </c>
      <c r="B6" s="2">
        <v>3.0095337103059148</v>
      </c>
      <c r="C6" s="2">
        <v>2.0909278485508476</v>
      </c>
      <c r="D6" s="2">
        <v>1.1849143073354143</v>
      </c>
      <c r="E6" s="2">
        <v>2.7591166879467552</v>
      </c>
      <c r="F6" s="2">
        <v>1.804859606855193</v>
      </c>
      <c r="G6" s="2">
        <v>1.1925955386713947</v>
      </c>
      <c r="H6" s="2">
        <v>1.7776397238731385</v>
      </c>
      <c r="I6" s="2">
        <v>1.3546579544999586</v>
      </c>
      <c r="J6" s="2">
        <v>1.2128289802606687</v>
      </c>
      <c r="K6" s="2">
        <v>2.2033371240340869</v>
      </c>
      <c r="L6" s="2">
        <v>1.0934180984162742</v>
      </c>
      <c r="M6" s="2">
        <v>4.9934623755215588</v>
      </c>
      <c r="N6" s="2">
        <v>2.122034635314261</v>
      </c>
      <c r="O6" s="2"/>
      <c r="P6" s="2">
        <v>2.0614866608911897</v>
      </c>
    </row>
    <row r="7" spans="1:16" x14ac:dyDescent="0.25">
      <c r="A7" s="1" t="s">
        <v>25</v>
      </c>
      <c r="B7" s="2">
        <v>4.1546417175615193</v>
      </c>
      <c r="C7" s="2"/>
      <c r="D7" s="2"/>
      <c r="E7" s="2">
        <v>3.4497316286305915</v>
      </c>
      <c r="F7" s="2">
        <v>1.2613934763730352</v>
      </c>
      <c r="G7" s="2">
        <v>3.8097154954878123</v>
      </c>
      <c r="H7" s="2"/>
      <c r="I7" s="2">
        <v>2.7837974925809053</v>
      </c>
      <c r="J7" s="2">
        <v>3.825239176159553</v>
      </c>
      <c r="K7" s="2"/>
      <c r="L7" s="2"/>
      <c r="M7" s="2"/>
      <c r="N7" s="2">
        <v>0.6938437462783491</v>
      </c>
      <c r="O7" s="2"/>
      <c r="P7" s="2">
        <v>2.8540518190102522</v>
      </c>
    </row>
    <row r="8" spans="1:16" x14ac:dyDescent="0.25">
      <c r="A8" s="1" t="s">
        <v>13</v>
      </c>
      <c r="B8" s="2"/>
      <c r="C8" s="2"/>
      <c r="D8" s="2"/>
      <c r="E8" s="2">
        <v>19.000117649578016</v>
      </c>
      <c r="F8" s="2">
        <v>19.388846757203911</v>
      </c>
      <c r="G8" s="2">
        <v>13.928754444071053</v>
      </c>
      <c r="H8" s="2">
        <v>13.388792598120331</v>
      </c>
      <c r="I8" s="2">
        <v>14.618168760830832</v>
      </c>
      <c r="J8" s="2">
        <v>10.239778631603309</v>
      </c>
      <c r="K8" s="2">
        <v>20.401653978644813</v>
      </c>
      <c r="L8" s="2"/>
      <c r="M8" s="2"/>
      <c r="N8" s="2"/>
      <c r="O8" s="2"/>
      <c r="P8" s="2">
        <v>15.852301831436037</v>
      </c>
    </row>
    <row r="9" spans="1:16" x14ac:dyDescent="0.25">
      <c r="A9" s="1" t="s">
        <v>16</v>
      </c>
      <c r="B9" s="2"/>
      <c r="C9" s="2"/>
      <c r="D9" s="2"/>
      <c r="E9" s="2"/>
      <c r="F9" s="2"/>
      <c r="G9" s="2"/>
      <c r="H9" s="2"/>
      <c r="I9" s="2"/>
      <c r="J9" s="2"/>
      <c r="K9" s="2">
        <v>4.6660668367820941</v>
      </c>
      <c r="L9" s="2"/>
      <c r="M9" s="2">
        <v>4.2937065927586922</v>
      </c>
      <c r="N9" s="2"/>
      <c r="O9" s="2"/>
      <c r="P9" s="2">
        <v>4.4798867147703927</v>
      </c>
    </row>
    <row r="10" spans="1:16" x14ac:dyDescent="0.25">
      <c r="A10" s="1" t="s">
        <v>17</v>
      </c>
      <c r="B10" s="2">
        <v>5.3394104401771978</v>
      </c>
      <c r="C10" s="2">
        <v>3.9370107385283966</v>
      </c>
      <c r="D10" s="2">
        <v>4.3875024244472787</v>
      </c>
      <c r="E10" s="2">
        <v>4.419593400950224</v>
      </c>
      <c r="F10" s="2">
        <v>3.9054992471935472</v>
      </c>
      <c r="G10" s="2">
        <v>3.4065955971286579</v>
      </c>
      <c r="H10" s="2">
        <v>4.1373036138108148</v>
      </c>
      <c r="I10" s="2">
        <v>4.1634956648745689</v>
      </c>
      <c r="J10" s="2">
        <v>3.4002302532357236</v>
      </c>
      <c r="K10" s="2">
        <v>3.8483385792023732</v>
      </c>
      <c r="L10" s="2"/>
      <c r="M10" s="2"/>
      <c r="N10" s="2">
        <v>3.1508058599075217</v>
      </c>
      <c r="O10" s="2"/>
      <c r="P10" s="2">
        <v>4.0087078017687556</v>
      </c>
    </row>
    <row r="11" spans="1:16" x14ac:dyDescent="0.25">
      <c r="A11" s="1" t="s">
        <v>33</v>
      </c>
      <c r="B11" s="2"/>
      <c r="C11" s="2"/>
      <c r="D11" s="2"/>
      <c r="E11" s="2"/>
      <c r="F11" s="2">
        <v>6.7323409793079181</v>
      </c>
      <c r="G11" s="2"/>
      <c r="H11" s="2"/>
      <c r="I11" s="2"/>
      <c r="J11" s="2"/>
      <c r="K11" s="2"/>
      <c r="L11" s="2"/>
      <c r="M11" s="2"/>
      <c r="N11" s="2"/>
      <c r="O11" s="2"/>
      <c r="P11" s="2">
        <v>6.7323409793079181</v>
      </c>
    </row>
    <row r="12" spans="1:16" x14ac:dyDescent="0.25">
      <c r="A12" s="1" t="s">
        <v>19</v>
      </c>
      <c r="B12" s="2">
        <v>6.98840977594128</v>
      </c>
      <c r="C12" s="2">
        <v>7.945556194019666</v>
      </c>
      <c r="D12" s="2">
        <v>4.7031142741236636</v>
      </c>
      <c r="E12" s="2">
        <v>5.7741021930152234</v>
      </c>
      <c r="F12" s="2">
        <v>7.7031668280688947</v>
      </c>
      <c r="G12" s="2">
        <v>6.5829339001693192</v>
      </c>
      <c r="H12" s="2">
        <v>6.7481623775794608</v>
      </c>
      <c r="I12" s="2">
        <v>6.5680988584684661</v>
      </c>
      <c r="J12" s="2">
        <v>6.955610575622539</v>
      </c>
      <c r="K12" s="2">
        <v>6.3243307688165675</v>
      </c>
      <c r="L12" s="2">
        <v>6.5310941522602439</v>
      </c>
      <c r="M12" s="2">
        <v>4.9547134472881149</v>
      </c>
      <c r="N12" s="2"/>
      <c r="O12" s="2"/>
      <c r="P12" s="2">
        <v>6.481607778781119</v>
      </c>
    </row>
    <row r="13" spans="1:16" x14ac:dyDescent="0.25">
      <c r="A13" s="1" t="s">
        <v>43</v>
      </c>
      <c r="B13" s="2">
        <v>5.8429505449105221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>
        <v>5.8429505449105221</v>
      </c>
    </row>
    <row r="14" spans="1:16" x14ac:dyDescent="0.25">
      <c r="A14" s="5" t="s">
        <v>75</v>
      </c>
      <c r="B14" s="2">
        <v>1.9765230527994215</v>
      </c>
      <c r="C14" s="2">
        <v>1.8601897164729428</v>
      </c>
      <c r="D14" s="2">
        <v>3.1497331951472627</v>
      </c>
      <c r="E14" s="2">
        <v>2.0860323038051263</v>
      </c>
      <c r="F14" s="2">
        <v>2.0331406851961238</v>
      </c>
      <c r="G14" s="2">
        <v>1.890544531460701</v>
      </c>
      <c r="H14" s="2">
        <v>2.0336997823973513</v>
      </c>
      <c r="I14" s="2">
        <v>1.4016942179525018</v>
      </c>
      <c r="J14" s="2">
        <v>1.5611487453422399</v>
      </c>
      <c r="K14" s="2">
        <v>1.7889556877097859</v>
      </c>
      <c r="L14" s="2">
        <v>2.2869461373868671</v>
      </c>
      <c r="M14" s="2">
        <v>2.5969574164583888</v>
      </c>
      <c r="N14" s="2">
        <v>1.7057172388253936</v>
      </c>
      <c r="O14" s="2"/>
      <c r="P14" s="2">
        <v>1.9854860187244601</v>
      </c>
    </row>
    <row r="15" spans="1:16" x14ac:dyDescent="0.25">
      <c r="A15" s="1" t="s">
        <v>9</v>
      </c>
      <c r="B15" s="2">
        <v>0.66568845445389724</v>
      </c>
      <c r="C15" s="2">
        <v>0.73347340781222514</v>
      </c>
      <c r="D15" s="2">
        <v>0.76343762520354208</v>
      </c>
      <c r="E15" s="2">
        <v>0.55499954058394363</v>
      </c>
      <c r="F15" s="2">
        <v>1.1308534783927733</v>
      </c>
      <c r="G15" s="2">
        <v>0.61623222935721189</v>
      </c>
      <c r="H15" s="2">
        <v>0.79732520767195547</v>
      </c>
      <c r="I15" s="2">
        <v>0.44132942955593923</v>
      </c>
      <c r="J15" s="2">
        <v>0.63222521303169144</v>
      </c>
      <c r="K15" s="2">
        <v>0.4679824693982132</v>
      </c>
      <c r="L15" s="2">
        <v>0.16122091786946396</v>
      </c>
      <c r="M15" s="2">
        <v>0.89324173996391676</v>
      </c>
      <c r="N15" s="2">
        <v>1.3171127729064684</v>
      </c>
      <c r="O15" s="2"/>
      <c r="P15" s="2">
        <v>0.70577865278471097</v>
      </c>
    </row>
    <row r="16" spans="1:16" x14ac:dyDescent="0.25">
      <c r="A16" s="1" t="s">
        <v>12</v>
      </c>
      <c r="B16" s="2">
        <v>3.2873576511449456</v>
      </c>
      <c r="C16" s="2">
        <v>2.9869060251336608</v>
      </c>
      <c r="D16" s="2">
        <v>5.5360287650909834</v>
      </c>
      <c r="E16" s="2">
        <v>3.6170650670263091</v>
      </c>
      <c r="F16" s="2">
        <v>4.6038094819450723</v>
      </c>
      <c r="G16" s="2">
        <v>3.16485683356419</v>
      </c>
      <c r="H16" s="2">
        <v>3.2700743571227471</v>
      </c>
      <c r="I16" s="2">
        <v>4.5916660269167595</v>
      </c>
      <c r="J16" s="2">
        <v>2.4900722776527884</v>
      </c>
      <c r="K16" s="2">
        <v>3.1099289060213584</v>
      </c>
      <c r="L16" s="2">
        <v>4.4126713569042701</v>
      </c>
      <c r="M16" s="2">
        <v>4.3006730929528612</v>
      </c>
      <c r="N16" s="2"/>
      <c r="O16" s="2"/>
      <c r="P16" s="2">
        <v>3.7809258201229956</v>
      </c>
    </row>
    <row r="17" spans="1:16" x14ac:dyDescent="0.25">
      <c r="A17" s="1" t="s">
        <v>27</v>
      </c>
      <c r="B17" s="2"/>
      <c r="C17" s="2"/>
      <c r="D17" s="2"/>
      <c r="E17" s="2"/>
      <c r="F17" s="2"/>
      <c r="G17" s="2"/>
      <c r="H17" s="2"/>
      <c r="I17" s="2">
        <v>0.38031911643132343</v>
      </c>
      <c r="J17" s="2"/>
      <c r="K17" s="2"/>
      <c r="L17" s="2"/>
      <c r="M17" s="2"/>
      <c r="N17" s="2">
        <v>2.0943217047443188</v>
      </c>
      <c r="O17" s="2"/>
      <c r="P17" s="2">
        <v>1.2373204105878211</v>
      </c>
    </row>
    <row r="18" spans="1:16" x14ac:dyDescent="0.25">
      <c r="A18" s="1" t="s">
        <v>34</v>
      </c>
      <c r="B18" s="2"/>
      <c r="C18" s="2"/>
      <c r="D18" s="2"/>
      <c r="E18" s="2"/>
      <c r="F18" s="2">
        <v>0.36475909525052558</v>
      </c>
      <c r="G18" s="2"/>
      <c r="H18" s="2"/>
      <c r="I18" s="2">
        <v>0.1934622989059851</v>
      </c>
      <c r="J18" s="2"/>
      <c r="K18" s="2"/>
      <c r="L18" s="2"/>
      <c r="M18" s="2"/>
      <c r="N18" s="2"/>
      <c r="O18" s="2"/>
      <c r="P18" s="2">
        <v>0.27911069707825531</v>
      </c>
    </row>
    <row r="19" spans="1:16" x14ac:dyDescent="0.25">
      <c r="A19" s="5" t="s">
        <v>76</v>
      </c>
      <c r="B19" s="2">
        <v>2.5268476683632137</v>
      </c>
      <c r="C19" s="2">
        <v>2.4099008279060259</v>
      </c>
      <c r="D19" s="2">
        <v>2.8967811139447548</v>
      </c>
      <c r="E19" s="2">
        <v>3.4399175692238457</v>
      </c>
      <c r="F19" s="2">
        <v>2.2175390865519433</v>
      </c>
      <c r="G19" s="2">
        <v>4.2437957651678797</v>
      </c>
      <c r="H19" s="2">
        <v>3.1111140856033801</v>
      </c>
      <c r="I19" s="2">
        <v>5.4586001809720246</v>
      </c>
      <c r="J19" s="2">
        <v>2.669938286759665</v>
      </c>
      <c r="K19" s="2">
        <v>2.974245399215119</v>
      </c>
      <c r="L19" s="2">
        <v>2.0484484219823846</v>
      </c>
      <c r="M19" s="2">
        <v>6.1018741454527339</v>
      </c>
      <c r="N19" s="2">
        <v>2.5700695585370736</v>
      </c>
      <c r="O19" s="2"/>
      <c r="P19" s="2">
        <v>3.1725097863579084</v>
      </c>
    </row>
    <row r="20" spans="1:16" x14ac:dyDescent="0.25">
      <c r="A20" s="1" t="s">
        <v>10</v>
      </c>
      <c r="B20" s="2">
        <v>2.5268476683632137</v>
      </c>
      <c r="C20" s="2">
        <v>2.2982204245754869</v>
      </c>
      <c r="D20" s="2">
        <v>2.8967811139447548</v>
      </c>
      <c r="E20" s="2">
        <v>3.4399175692238457</v>
      </c>
      <c r="F20" s="2">
        <v>2.2175390865519433</v>
      </c>
      <c r="G20" s="2">
        <v>4.2437957651678797</v>
      </c>
      <c r="H20" s="2">
        <v>2.7680878208322035</v>
      </c>
      <c r="I20" s="2">
        <v>5.4586001809720246</v>
      </c>
      <c r="J20" s="2">
        <v>2.669938286759665</v>
      </c>
      <c r="K20" s="2">
        <v>2.974245399215119</v>
      </c>
      <c r="L20" s="2"/>
      <c r="M20" s="2">
        <v>6.1018741454527339</v>
      </c>
      <c r="N20" s="2">
        <v>2.2404846085023964</v>
      </c>
      <c r="O20" s="2"/>
      <c r="P20" s="2">
        <v>3.3196943391301059</v>
      </c>
    </row>
    <row r="21" spans="1:16" x14ac:dyDescent="0.25">
      <c r="A21" s="1" t="s">
        <v>24</v>
      </c>
      <c r="B21" s="2"/>
      <c r="C21" s="2">
        <v>2.5215812312365649</v>
      </c>
      <c r="D21" s="2"/>
      <c r="E21" s="2"/>
      <c r="F21" s="2"/>
      <c r="G21" s="2"/>
      <c r="H21" s="2">
        <v>3.4541403503745562</v>
      </c>
      <c r="I21" s="2"/>
      <c r="J21" s="2"/>
      <c r="K21" s="2"/>
      <c r="L21" s="2">
        <v>2.0484484219823846</v>
      </c>
      <c r="M21" s="2"/>
      <c r="N21" s="2">
        <v>2.8996545085717509</v>
      </c>
      <c r="O21" s="2"/>
      <c r="P21" s="2">
        <v>2.7309561280413144</v>
      </c>
    </row>
    <row r="22" spans="1:16" x14ac:dyDescent="0.25">
      <c r="A22" s="5" t="s">
        <v>54</v>
      </c>
      <c r="B22" s="2">
        <v>0.17119940700552502</v>
      </c>
      <c r="C22" s="2">
        <v>0.16062870523494416</v>
      </c>
      <c r="D22" s="2">
        <v>0.29805446051388707</v>
      </c>
      <c r="E22" s="2">
        <v>0.18255700623495158</v>
      </c>
      <c r="F22" s="2">
        <v>0.1436805805566036</v>
      </c>
      <c r="G22" s="2">
        <v>0.14169849299560594</v>
      </c>
      <c r="H22" s="2">
        <v>0.19357120648445253</v>
      </c>
      <c r="I22" s="2">
        <v>0.22344748189347374</v>
      </c>
      <c r="J22" s="2">
        <v>0.16974615716480451</v>
      </c>
      <c r="K22" s="2">
        <v>0.1565388461448661</v>
      </c>
      <c r="L22" s="2">
        <v>0.22189466837442962</v>
      </c>
      <c r="M22" s="2">
        <v>0.17702392708397813</v>
      </c>
      <c r="N22" s="2">
        <v>0.17578625884045021</v>
      </c>
      <c r="O22" s="2"/>
      <c r="P22" s="2">
        <v>0.18583286142522862</v>
      </c>
    </row>
    <row r="23" spans="1:16" x14ac:dyDescent="0.25">
      <c r="A23" s="1" t="s">
        <v>53</v>
      </c>
      <c r="B23" s="2">
        <v>0.17119940700552502</v>
      </c>
      <c r="C23" s="2">
        <v>0.16062870523494416</v>
      </c>
      <c r="D23" s="2">
        <v>0.29805446051388707</v>
      </c>
      <c r="E23" s="2">
        <v>0.18255700623495158</v>
      </c>
      <c r="F23" s="2">
        <v>0.1436805805566036</v>
      </c>
      <c r="G23" s="2">
        <v>0.14169849299560594</v>
      </c>
      <c r="H23" s="2">
        <v>0.19357120648445253</v>
      </c>
      <c r="I23" s="2">
        <v>0.22344748189347374</v>
      </c>
      <c r="J23" s="2">
        <v>0.16974615716480451</v>
      </c>
      <c r="K23" s="2">
        <v>0.1565388461448661</v>
      </c>
      <c r="L23" s="2">
        <v>0.22189466837442962</v>
      </c>
      <c r="M23" s="2">
        <v>0.17702392708397813</v>
      </c>
      <c r="N23" s="2">
        <v>0.17578625884045021</v>
      </c>
      <c r="O23" s="2"/>
      <c r="P23" s="2">
        <v>0.18583286142522862</v>
      </c>
    </row>
    <row r="24" spans="1:16" x14ac:dyDescent="0.25">
      <c r="A24" s="5" t="s">
        <v>80</v>
      </c>
      <c r="B24" s="2">
        <v>0.67402233814889989</v>
      </c>
      <c r="C24" s="2"/>
      <c r="D24" s="2"/>
      <c r="E24" s="2"/>
      <c r="F24" s="2">
        <v>0.62709995900955084</v>
      </c>
      <c r="G24" s="2"/>
      <c r="H24" s="2"/>
      <c r="I24" s="2"/>
      <c r="J24" s="2"/>
      <c r="K24" s="2"/>
      <c r="L24" s="2"/>
      <c r="M24" s="2"/>
      <c r="N24" s="2">
        <v>1.0430818720101207</v>
      </c>
      <c r="O24" s="2"/>
      <c r="P24" s="2">
        <v>0.75455662682936775</v>
      </c>
    </row>
    <row r="25" spans="1:16" x14ac:dyDescent="0.25">
      <c r="A25" s="1" t="s">
        <v>26</v>
      </c>
      <c r="B25" s="2">
        <v>0.19932570509340042</v>
      </c>
      <c r="C25" s="2"/>
      <c r="D25" s="2"/>
      <c r="E25" s="2"/>
      <c r="F25" s="2">
        <v>0.62709995900955084</v>
      </c>
      <c r="G25" s="2"/>
      <c r="H25" s="2"/>
      <c r="I25" s="2"/>
      <c r="J25" s="2"/>
      <c r="K25" s="2"/>
      <c r="L25" s="2"/>
      <c r="M25" s="2"/>
      <c r="N25" s="2">
        <v>1.0430818720101207</v>
      </c>
      <c r="O25" s="2"/>
      <c r="P25" s="2">
        <v>0.62316917870435728</v>
      </c>
    </row>
    <row r="26" spans="1:16" x14ac:dyDescent="0.25">
      <c r="A26" s="1" t="s">
        <v>42</v>
      </c>
      <c r="B26" s="2">
        <v>1.1487189712043993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v>1.1487189712043993</v>
      </c>
    </row>
    <row r="27" spans="1:16" x14ac:dyDescent="0.25">
      <c r="A27" s="5" t="s">
        <v>52</v>
      </c>
      <c r="B27" s="2">
        <v>8.9234171616680416E-2</v>
      </c>
      <c r="C27" s="2">
        <v>8.760195880778282E-2</v>
      </c>
      <c r="D27" s="2">
        <v>9.3863086580423472E-2</v>
      </c>
      <c r="E27" s="2">
        <v>6.0343868815147653E-2</v>
      </c>
      <c r="F27" s="2">
        <v>0.15791870603595948</v>
      </c>
      <c r="G27" s="2">
        <v>0.15798214854539833</v>
      </c>
      <c r="H27" s="2">
        <v>0.13110648416745477</v>
      </c>
      <c r="I27" s="2">
        <v>0.15273626363331205</v>
      </c>
      <c r="J27" s="2">
        <v>9.9349042665410114E-2</v>
      </c>
      <c r="K27" s="2">
        <v>9.2342236661139207E-2</v>
      </c>
      <c r="L27" s="2">
        <v>0.10232042920425224</v>
      </c>
      <c r="M27" s="2">
        <v>6.8278645513328004E-2</v>
      </c>
      <c r="N27" s="2">
        <v>0.11688357792514165</v>
      </c>
      <c r="O27" s="2"/>
      <c r="P27" s="2">
        <v>0.10845850924395618</v>
      </c>
    </row>
    <row r="28" spans="1:16" x14ac:dyDescent="0.25">
      <c r="A28" s="1" t="s">
        <v>51</v>
      </c>
      <c r="B28" s="2">
        <v>8.9234171616680416E-2</v>
      </c>
      <c r="C28" s="2">
        <v>8.760195880778282E-2</v>
      </c>
      <c r="D28" s="2">
        <v>9.3863086580423472E-2</v>
      </c>
      <c r="E28" s="2">
        <v>6.0343868815147653E-2</v>
      </c>
      <c r="F28" s="2">
        <v>0.15791870603595948</v>
      </c>
      <c r="G28" s="2">
        <v>0.15798214854539833</v>
      </c>
      <c r="H28" s="2">
        <v>0.13110648416745477</v>
      </c>
      <c r="I28" s="2">
        <v>0.15273626363331205</v>
      </c>
      <c r="J28" s="2">
        <v>9.9349042665410114E-2</v>
      </c>
      <c r="K28" s="2">
        <v>9.2342236661139207E-2</v>
      </c>
      <c r="L28" s="2">
        <v>0.10232042920425224</v>
      </c>
      <c r="M28" s="2">
        <v>6.8278645513328004E-2</v>
      </c>
      <c r="N28" s="2">
        <v>0.11688357792514165</v>
      </c>
      <c r="O28" s="2"/>
      <c r="P28" s="2">
        <v>0.10845850924395618</v>
      </c>
    </row>
    <row r="29" spans="1:16" x14ac:dyDescent="0.25">
      <c r="A29" s="5" t="s">
        <v>73</v>
      </c>
      <c r="B29" s="2">
        <v>1.1290708838976478</v>
      </c>
      <c r="C29" s="2">
        <v>1.2647464782320601</v>
      </c>
      <c r="D29" s="2">
        <v>1.3604911814810909</v>
      </c>
      <c r="E29" s="2">
        <v>1.3203509670174562</v>
      </c>
      <c r="F29" s="2">
        <v>1.2675289527295308</v>
      </c>
      <c r="G29" s="2">
        <v>1.3120628057111678</v>
      </c>
      <c r="H29" s="2">
        <v>1.3396719607213461</v>
      </c>
      <c r="I29" s="2">
        <v>1.0851719682265857</v>
      </c>
      <c r="J29" s="2">
        <v>0.83462134060726845</v>
      </c>
      <c r="K29" s="2">
        <v>1.6884319923325195</v>
      </c>
      <c r="L29" s="2">
        <v>1.4334120020124423</v>
      </c>
      <c r="M29" s="2">
        <v>3.8248673938474642</v>
      </c>
      <c r="N29" s="2">
        <v>1.1912813185512392</v>
      </c>
      <c r="O29" s="2"/>
      <c r="P29" s="2">
        <v>1.5294158332205039</v>
      </c>
    </row>
    <row r="30" spans="1:16" x14ac:dyDescent="0.25">
      <c r="A30" s="1" t="s">
        <v>23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>
        <v>0.39191324427547541</v>
      </c>
      <c r="O30" s="2"/>
      <c r="P30" s="2">
        <v>0.39191324427547541</v>
      </c>
    </row>
    <row r="31" spans="1:16" x14ac:dyDescent="0.25">
      <c r="A31" s="1" t="s">
        <v>6</v>
      </c>
      <c r="B31" s="2">
        <v>0.92063424082422274</v>
      </c>
      <c r="C31" s="2">
        <v>1.6989732785975822</v>
      </c>
      <c r="D31" s="2">
        <v>1.461930273118933</v>
      </c>
      <c r="E31" s="2">
        <v>1.3589296327516915</v>
      </c>
      <c r="F31" s="2">
        <v>1.1166907644187907</v>
      </c>
      <c r="G31" s="2">
        <v>0.9526311346128532</v>
      </c>
      <c r="H31" s="2">
        <v>0.54070762324681643</v>
      </c>
      <c r="I31" s="2">
        <v>1.0851719682265857</v>
      </c>
      <c r="J31" s="2">
        <v>0.62034654646282539</v>
      </c>
      <c r="K31" s="2">
        <v>0.86083139891620919</v>
      </c>
      <c r="L31" s="2">
        <v>1.1289691514204145</v>
      </c>
      <c r="M31" s="2">
        <v>1.1895780218281158</v>
      </c>
      <c r="N31" s="2">
        <v>1.1032030734115221</v>
      </c>
      <c r="O31" s="2"/>
      <c r="P31" s="2">
        <v>1.0798920852181972</v>
      </c>
    </row>
    <row r="32" spans="1:16" x14ac:dyDescent="0.25">
      <c r="A32" s="1" t="s">
        <v>32</v>
      </c>
      <c r="B32" s="2"/>
      <c r="C32" s="2">
        <v>0.86575424158281145</v>
      </c>
      <c r="D32" s="2"/>
      <c r="E32" s="2">
        <v>0.44827254079329065</v>
      </c>
      <c r="F32" s="2">
        <v>1.567448837304017</v>
      </c>
      <c r="G32" s="2">
        <v>1.0295682059997973</v>
      </c>
      <c r="H32" s="2"/>
      <c r="I32" s="2"/>
      <c r="J32" s="2"/>
      <c r="K32" s="2"/>
      <c r="L32" s="2"/>
      <c r="M32" s="2"/>
      <c r="N32" s="2"/>
      <c r="O32" s="2"/>
      <c r="P32" s="2">
        <v>0.97776095641997895</v>
      </c>
    </row>
    <row r="33" spans="1:16" x14ac:dyDescent="0.25">
      <c r="A33" s="1" t="s">
        <v>21</v>
      </c>
      <c r="B33" s="2">
        <v>0.47141687387345149</v>
      </c>
      <c r="C33" s="2"/>
      <c r="D33" s="2">
        <v>0.91688574082550789</v>
      </c>
      <c r="E33" s="2"/>
      <c r="F33" s="2">
        <v>0.52073013543403379</v>
      </c>
      <c r="G33" s="2">
        <v>1.613842123107559</v>
      </c>
      <c r="H33" s="2"/>
      <c r="I33" s="2"/>
      <c r="J33" s="2"/>
      <c r="K33" s="2"/>
      <c r="L33" s="2"/>
      <c r="M33" s="2">
        <v>9.9190222032036139</v>
      </c>
      <c r="N33" s="2"/>
      <c r="O33" s="2"/>
      <c r="P33" s="2">
        <v>2.6883794152888334</v>
      </c>
    </row>
    <row r="34" spans="1:16" x14ac:dyDescent="0.25">
      <c r="A34" s="1" t="s">
        <v>14</v>
      </c>
      <c r="B34" s="2">
        <v>1.5368142788840191</v>
      </c>
      <c r="C34" s="2"/>
      <c r="D34" s="2">
        <v>1.7088885108851124</v>
      </c>
      <c r="E34" s="2">
        <v>2.1538507275073866</v>
      </c>
      <c r="F34" s="2">
        <v>1.8652460737612824</v>
      </c>
      <c r="G34" s="2"/>
      <c r="H34" s="2">
        <v>1.4064451226634005</v>
      </c>
      <c r="I34" s="2"/>
      <c r="J34" s="2"/>
      <c r="K34" s="2">
        <v>0.82316437806424692</v>
      </c>
      <c r="L34" s="2">
        <v>1.3960960955799102</v>
      </c>
      <c r="M34" s="2">
        <v>1.4440478385994258</v>
      </c>
      <c r="N34" s="2">
        <v>1.8070783281119782</v>
      </c>
      <c r="O34" s="2"/>
      <c r="P34" s="2">
        <v>1.5712923726729737</v>
      </c>
    </row>
    <row r="35" spans="1:16" x14ac:dyDescent="0.25">
      <c r="A35" s="1" t="s">
        <v>15</v>
      </c>
      <c r="B35" s="2">
        <v>1.5874181420088973</v>
      </c>
      <c r="C35" s="2">
        <v>1.2295119145157867</v>
      </c>
      <c r="D35" s="2">
        <v>1.3542602010948113</v>
      </c>
      <c r="E35" s="2"/>
      <c r="F35" s="2"/>
      <c r="G35" s="2">
        <v>1.6522097591244622</v>
      </c>
      <c r="H35" s="2">
        <v>2.0718631362538216</v>
      </c>
      <c r="I35" s="2"/>
      <c r="J35" s="2">
        <v>1.0488961347517116</v>
      </c>
      <c r="K35" s="2">
        <v>3.3813002000171024</v>
      </c>
      <c r="L35" s="2">
        <v>1.7751707590370018</v>
      </c>
      <c r="M35" s="2">
        <v>2.7468215117587027</v>
      </c>
      <c r="N35" s="2">
        <v>1.4629306284059811</v>
      </c>
      <c r="O35" s="2"/>
      <c r="P35" s="2">
        <v>1.8310382386968278</v>
      </c>
    </row>
    <row r="36" spans="1:16" x14ac:dyDescent="0.25">
      <c r="A36" s="5" t="s">
        <v>74</v>
      </c>
      <c r="B36" s="2">
        <v>21.238875774084125</v>
      </c>
      <c r="C36" s="2">
        <v>14.830809324587015</v>
      </c>
      <c r="D36" s="2">
        <v>29.183369351000596</v>
      </c>
      <c r="E36" s="2">
        <v>2.3214331912949189</v>
      </c>
      <c r="F36" s="2">
        <v>46.773036842954902</v>
      </c>
      <c r="G36" s="2">
        <v>40.976531852833702</v>
      </c>
      <c r="H36" s="2">
        <v>57.278230115863828</v>
      </c>
      <c r="I36" s="2">
        <v>71.703755639294428</v>
      </c>
      <c r="J36" s="2">
        <v>39.952928430322942</v>
      </c>
      <c r="K36" s="2">
        <v>43.854179364769642</v>
      </c>
      <c r="L36" s="2">
        <v>13.112841457575497</v>
      </c>
      <c r="M36" s="2">
        <v>0.81098158372771967</v>
      </c>
      <c r="N36" s="2">
        <v>6.9039039247877794</v>
      </c>
      <c r="O36" s="2"/>
      <c r="P36" s="2">
        <v>29.552055866749829</v>
      </c>
    </row>
    <row r="37" spans="1:16" x14ac:dyDescent="0.25">
      <c r="A37" s="1" t="s">
        <v>7</v>
      </c>
      <c r="B37" s="2">
        <v>70.050110863607216</v>
      </c>
      <c r="C37" s="2">
        <v>44.138847778588001</v>
      </c>
      <c r="D37" s="2">
        <v>83.291666415064384</v>
      </c>
      <c r="E37" s="2"/>
      <c r="F37" s="2">
        <v>129.25253023323538</v>
      </c>
      <c r="G37" s="2">
        <v>116.64744861071844</v>
      </c>
      <c r="H37" s="2">
        <v>109.96429429186539</v>
      </c>
      <c r="I37" s="2">
        <v>134.28356637678948</v>
      </c>
      <c r="J37" s="2">
        <v>111.75905783141759</v>
      </c>
      <c r="K37" s="2">
        <v>120.62837151823558</v>
      </c>
      <c r="L37" s="2">
        <v>25.204132255699143</v>
      </c>
      <c r="M37" s="2"/>
      <c r="N37" s="2"/>
      <c r="O37" s="2"/>
      <c r="P37" s="2">
        <v>94.522002617522077</v>
      </c>
    </row>
    <row r="38" spans="1:16" x14ac:dyDescent="0.25">
      <c r="A38" s="1" t="s">
        <v>8</v>
      </c>
      <c r="B38" s="2">
        <v>2.4803311648951798</v>
      </c>
      <c r="C38" s="2">
        <v>2.675710687971542</v>
      </c>
      <c r="D38" s="2">
        <v>1.6684511691869024</v>
      </c>
      <c r="E38" s="2">
        <v>2.5447407290129584</v>
      </c>
      <c r="F38" s="2">
        <v>9.04205868606285</v>
      </c>
      <c r="G38" s="2">
        <v>3.6884913138328219</v>
      </c>
      <c r="H38" s="2"/>
      <c r="I38" s="2"/>
      <c r="J38" s="2"/>
      <c r="K38" s="2">
        <v>3.0616468537910766</v>
      </c>
      <c r="L38" s="2"/>
      <c r="M38" s="2">
        <v>1.3207613402751484</v>
      </c>
      <c r="N38" s="2">
        <v>2.3537268593764229</v>
      </c>
      <c r="O38" s="2"/>
      <c r="P38" s="2">
        <v>3.2039909782672109</v>
      </c>
    </row>
    <row r="39" spans="1:16" x14ac:dyDescent="0.25">
      <c r="A39" s="1" t="s">
        <v>18</v>
      </c>
      <c r="B39" s="2">
        <v>8.51078707229542</v>
      </c>
      <c r="C39" s="2">
        <v>7.2845399337771877</v>
      </c>
      <c r="D39" s="2">
        <v>2.5899904687504947</v>
      </c>
      <c r="E39" s="2">
        <v>2.0981256535768793</v>
      </c>
      <c r="F39" s="2">
        <v>2.0245216095664746</v>
      </c>
      <c r="G39" s="2">
        <v>2.5936556339498433</v>
      </c>
      <c r="H39" s="2">
        <v>4.5921659398622667</v>
      </c>
      <c r="I39" s="2">
        <v>9.1239449017993675</v>
      </c>
      <c r="J39" s="2">
        <v>4.2011242780910862</v>
      </c>
      <c r="K39" s="2">
        <v>7.8725197222822816</v>
      </c>
      <c r="L39" s="2">
        <v>9.171013055337049</v>
      </c>
      <c r="M39" s="2">
        <v>0.30120182718029109</v>
      </c>
      <c r="N39" s="2"/>
      <c r="O39" s="2"/>
      <c r="P39" s="2">
        <v>5.0302991747057204</v>
      </c>
    </row>
    <row r="40" spans="1:16" x14ac:dyDescent="0.25">
      <c r="A40" s="1" t="s">
        <v>28</v>
      </c>
      <c r="B40" s="2">
        <v>3.9142739955386929</v>
      </c>
      <c r="C40" s="2">
        <v>5.2241388980113257</v>
      </c>
      <c r="D40" s="2"/>
      <c r="E40" s="2"/>
      <c r="F40" s="2"/>
      <c r="G40" s="2"/>
      <c r="H40" s="2"/>
      <c r="I40" s="2"/>
      <c r="J40" s="2">
        <v>3.8986031814601456</v>
      </c>
      <c r="K40" s="2"/>
      <c r="L40" s="2">
        <v>4.9633790616902944</v>
      </c>
      <c r="M40" s="2"/>
      <c r="N40" s="2">
        <v>11.454080990199136</v>
      </c>
      <c r="O40" s="2"/>
      <c r="P40" s="2">
        <v>5.8908952253799187</v>
      </c>
    </row>
    <row r="41" spans="1:16" x14ac:dyDescent="0.25">
      <c r="A41" s="5" t="s">
        <v>45</v>
      </c>
      <c r="B41" s="2">
        <v>0.20764913982061534</v>
      </c>
      <c r="C41" s="2">
        <v>0.21068003373286431</v>
      </c>
      <c r="D41" s="2">
        <v>0.36959635170846122</v>
      </c>
      <c r="E41" s="2">
        <v>0.10327334592955556</v>
      </c>
      <c r="F41" s="2">
        <v>0.16635354999862534</v>
      </c>
      <c r="G41" s="2">
        <v>0.31968001562030474</v>
      </c>
      <c r="H41" s="2">
        <v>0.14064829670368784</v>
      </c>
      <c r="I41" s="2">
        <v>0.13447304847431224</v>
      </c>
      <c r="J41" s="2">
        <v>0.2390003843903368</v>
      </c>
      <c r="K41" s="2">
        <v>0.16993590530725258</v>
      </c>
      <c r="L41" s="2">
        <v>0.17167873439046191</v>
      </c>
      <c r="M41" s="2">
        <v>4.868836151164798E-2</v>
      </c>
      <c r="N41" s="2">
        <v>0.43099772045592749</v>
      </c>
      <c r="O41" s="2"/>
      <c r="P41" s="2">
        <v>0.2091854830136228</v>
      </c>
    </row>
    <row r="42" spans="1:16" x14ac:dyDescent="0.25">
      <c r="A42" s="1" t="s">
        <v>44</v>
      </c>
      <c r="B42" s="2"/>
      <c r="C42" s="2"/>
      <c r="D42" s="2">
        <v>3.6498965999999994E-2</v>
      </c>
      <c r="E42" s="2"/>
      <c r="F42" s="2">
        <v>5.267711999999999E-3</v>
      </c>
      <c r="G42" s="2"/>
      <c r="H42" s="2">
        <v>1.7411813999999998E-2</v>
      </c>
      <c r="I42" s="2"/>
      <c r="J42" s="2"/>
      <c r="K42" s="2">
        <v>1.0952076E-2</v>
      </c>
      <c r="L42" s="2"/>
      <c r="M42" s="2"/>
      <c r="N42" s="2">
        <v>3.6713999999999997E-2</v>
      </c>
      <c r="O42" s="2"/>
      <c r="P42" s="2">
        <v>2.1368913599999997E-2</v>
      </c>
    </row>
    <row r="43" spans="1:16" x14ac:dyDescent="0.25">
      <c r="A43" s="1" t="s">
        <v>46</v>
      </c>
      <c r="B43" s="2">
        <v>1.1385277499999999E-2</v>
      </c>
      <c r="C43" s="2">
        <v>1.6682482285714284E-2</v>
      </c>
      <c r="D43" s="2">
        <v>1.0938432600000001E-2</v>
      </c>
      <c r="E43" s="2">
        <v>1.73653665E-2</v>
      </c>
      <c r="F43" s="2">
        <v>1.5591514285714283E-2</v>
      </c>
      <c r="G43" s="2">
        <v>1.0616832E-2</v>
      </c>
      <c r="H43" s="2">
        <v>1.11242475E-2</v>
      </c>
      <c r="I43" s="2">
        <v>1.3986580000000002E-2</v>
      </c>
      <c r="J43" s="2">
        <v>1.1305166999999998E-2</v>
      </c>
      <c r="K43" s="2">
        <v>1.3312979999999999E-2</v>
      </c>
      <c r="L43" s="2">
        <v>1.3422860571428575E-2</v>
      </c>
      <c r="M43" s="2">
        <v>1.2372172666666665E-2</v>
      </c>
      <c r="N43" s="2">
        <v>1.6219134E-2</v>
      </c>
      <c r="O43" s="2"/>
      <c r="P43" s="2">
        <v>1.3409465146886446E-2</v>
      </c>
    </row>
    <row r="44" spans="1:16" x14ac:dyDescent="0.25">
      <c r="A44" s="1" t="s">
        <v>47</v>
      </c>
      <c r="B44" s="2"/>
      <c r="C44" s="2"/>
      <c r="D44" s="2">
        <v>3.2192197537499996</v>
      </c>
      <c r="E44" s="2"/>
      <c r="F44" s="2"/>
      <c r="G44" s="2"/>
      <c r="H44" s="2"/>
      <c r="I44" s="2"/>
      <c r="J44" s="2"/>
      <c r="K44" s="2">
        <v>1.9945796081900002</v>
      </c>
      <c r="L44" s="2"/>
      <c r="M44" s="2"/>
      <c r="N44" s="2">
        <v>4.0728804138750005</v>
      </c>
      <c r="O44" s="2"/>
      <c r="P44" s="2">
        <v>3.0955599252716666</v>
      </c>
    </row>
    <row r="45" spans="1:16" x14ac:dyDescent="0.25">
      <c r="A45" s="1" t="s">
        <v>48</v>
      </c>
      <c r="B45" s="2">
        <v>2.3523970613</v>
      </c>
      <c r="C45" s="2">
        <v>2.53223473152</v>
      </c>
      <c r="D45" s="2">
        <v>2.3825310265574999</v>
      </c>
      <c r="E45" s="2">
        <v>1.35823234989</v>
      </c>
      <c r="F45" s="2">
        <v>2.3957971564799996</v>
      </c>
      <c r="G45" s="2">
        <v>3.9798067968749997</v>
      </c>
      <c r="H45" s="2">
        <v>1.724909584125</v>
      </c>
      <c r="I45" s="2">
        <v>1.8492350877650001</v>
      </c>
      <c r="J45" s="2">
        <v>3.0458789439</v>
      </c>
      <c r="K45" s="2">
        <v>0.86742213362999998</v>
      </c>
      <c r="L45" s="2">
        <v>1.6740001951399999</v>
      </c>
      <c r="M45" s="2"/>
      <c r="N45" s="2">
        <v>3.0884396967450001</v>
      </c>
      <c r="O45" s="2"/>
      <c r="P45" s="2">
        <v>2.270907063660625</v>
      </c>
    </row>
    <row r="46" spans="1:16" x14ac:dyDescent="0.25">
      <c r="A46" s="1" t="s">
        <v>49</v>
      </c>
      <c r="B46" s="2">
        <v>1.3593217500000003E-2</v>
      </c>
      <c r="C46" s="2">
        <v>7.0125750000000018E-3</v>
      </c>
      <c r="D46" s="2">
        <v>2.0993894999999999E-2</v>
      </c>
      <c r="E46" s="2">
        <v>1.2479520000000003E-2</v>
      </c>
      <c r="F46" s="2">
        <v>7.0998480000000015E-3</v>
      </c>
      <c r="G46" s="2">
        <v>9.1814850000000014E-3</v>
      </c>
      <c r="H46" s="2">
        <v>9.9416571428571458E-3</v>
      </c>
      <c r="I46" s="2">
        <v>1.2488260000000003E-2</v>
      </c>
      <c r="J46" s="2">
        <v>7.4409428571428574E-3</v>
      </c>
      <c r="K46" s="2">
        <v>7.0267050000000011E-3</v>
      </c>
      <c r="L46" s="2">
        <v>1.0785384E-2</v>
      </c>
      <c r="M46" s="2">
        <v>1.8872181818181819E-2</v>
      </c>
      <c r="N46" s="2">
        <v>2.0129265E-2</v>
      </c>
      <c r="O46" s="2"/>
      <c r="P46" s="2">
        <v>1.2080379716783218E-2</v>
      </c>
    </row>
    <row r="47" spans="1:16" x14ac:dyDescent="0.25">
      <c r="A47" s="1" t="s">
        <v>50</v>
      </c>
      <c r="B47" s="2">
        <v>1.99328766E-2</v>
      </c>
      <c r="C47" s="2">
        <v>1.4670451899999996E-2</v>
      </c>
      <c r="D47" s="2">
        <v>1.2024498200000001E-2</v>
      </c>
      <c r="E47" s="2">
        <v>2.0535095100000005E-2</v>
      </c>
      <c r="F47" s="2">
        <v>1.2575874999999997E-2</v>
      </c>
      <c r="G47" s="2">
        <v>1.7791277400000003E-2</v>
      </c>
      <c r="H47" s="2">
        <v>1.2051475799999999E-2</v>
      </c>
      <c r="I47" s="2">
        <v>1.6221207600000002E-2</v>
      </c>
      <c r="J47" s="2">
        <v>1.4119816100000002E-2</v>
      </c>
      <c r="K47" s="2">
        <v>1.2567551100000001E-2</v>
      </c>
      <c r="L47" s="2">
        <v>1.4191183500000001E-2</v>
      </c>
      <c r="M47" s="2">
        <v>2.15567677E-2</v>
      </c>
      <c r="N47" s="2">
        <v>1.5981633200000005E-2</v>
      </c>
      <c r="O47" s="2"/>
      <c r="P47" s="2">
        <v>1.5709208400000001E-2</v>
      </c>
    </row>
    <row r="48" spans="1:16" x14ac:dyDescent="0.25">
      <c r="A48" s="1" t="s">
        <v>55</v>
      </c>
      <c r="B48" s="2">
        <v>1.7018785714285715E-2</v>
      </c>
      <c r="C48" s="2">
        <v>2.1854540000000002E-2</v>
      </c>
      <c r="D48" s="2">
        <v>2.3393892499999999E-2</v>
      </c>
      <c r="E48" s="2">
        <v>1.9752260000000001E-2</v>
      </c>
      <c r="F48" s="2">
        <v>3.1738296666666672E-2</v>
      </c>
      <c r="G48" s="2">
        <v>1.5166707272727275E-2</v>
      </c>
      <c r="H48" s="2">
        <v>1.8405084000000002E-2</v>
      </c>
      <c r="I48" s="2">
        <v>2.2153042000000001E-2</v>
      </c>
      <c r="J48" s="2">
        <v>2.2387660000000004E-2</v>
      </c>
      <c r="K48" s="2">
        <v>1.7136893333333337E-2</v>
      </c>
      <c r="L48" s="2">
        <v>2.2810520000000001E-2</v>
      </c>
      <c r="M48" s="2">
        <v>3.0273884000000008E-2</v>
      </c>
      <c r="N48" s="2">
        <v>2.3407846E-2</v>
      </c>
      <c r="O48" s="2"/>
      <c r="P48" s="2">
        <v>2.1961493191308693E-2</v>
      </c>
    </row>
    <row r="49" spans="1:16" x14ac:dyDescent="0.25">
      <c r="A49" s="1" t="s">
        <v>56</v>
      </c>
      <c r="B49" s="2">
        <v>1.0675521528E-2</v>
      </c>
      <c r="C49" s="2">
        <v>8.8343459872499992E-3</v>
      </c>
      <c r="D49" s="2">
        <v>7.8587282917499997E-3</v>
      </c>
      <c r="E49" s="2">
        <v>1.1886867593999999E-2</v>
      </c>
      <c r="F49" s="2">
        <v>9.1331219962500002E-3</v>
      </c>
      <c r="G49" s="2">
        <v>9.1020374065384612E-3</v>
      </c>
      <c r="H49" s="2">
        <v>7.0232931090000008E-3</v>
      </c>
      <c r="I49" s="2">
        <v>6.3636202743749988E-3</v>
      </c>
      <c r="J49" s="2">
        <v>8.6436882349999987E-3</v>
      </c>
      <c r="K49" s="2">
        <v>1.0084706268E-2</v>
      </c>
      <c r="L49" s="2">
        <v>1.2024781429499998E-2</v>
      </c>
      <c r="M49" s="2">
        <v>7.5094716637499987E-3</v>
      </c>
      <c r="N49" s="2">
        <v>1.2770750705999997E-2</v>
      </c>
      <c r="O49" s="2"/>
      <c r="P49" s="2">
        <v>9.3777641914933423E-3</v>
      </c>
    </row>
    <row r="50" spans="1:16" x14ac:dyDescent="0.25">
      <c r="A50" s="1" t="s">
        <v>57</v>
      </c>
      <c r="B50" s="2">
        <v>2.0955694054054061E-3</v>
      </c>
      <c r="C50" s="2">
        <v>1.6652588999999998E-3</v>
      </c>
      <c r="D50" s="2">
        <v>1.3593584444444445E-3</v>
      </c>
      <c r="E50" s="2">
        <v>2.4829778000000002E-3</v>
      </c>
      <c r="F50" s="2">
        <v>1.7104640000000001E-3</v>
      </c>
      <c r="G50" s="2">
        <v>1.4911894000000001E-3</v>
      </c>
      <c r="H50" s="2">
        <v>1.2958672000000003E-3</v>
      </c>
      <c r="I50" s="2">
        <v>1.8357885000000005E-3</v>
      </c>
      <c r="J50" s="2">
        <v>1.6525180000000004E-3</v>
      </c>
      <c r="K50" s="2">
        <v>1.9647305000000002E-3</v>
      </c>
      <c r="L50" s="2">
        <v>1.8567199999999999E-3</v>
      </c>
      <c r="M50" s="2">
        <v>1.5135255999999999E-3</v>
      </c>
      <c r="N50" s="2">
        <v>1.8395290000000001E-3</v>
      </c>
      <c r="O50" s="2"/>
      <c r="P50" s="2">
        <v>1.7510382115269116E-3</v>
      </c>
    </row>
    <row r="51" spans="1:16" x14ac:dyDescent="0.25">
      <c r="A51" s="1" t="s">
        <v>58</v>
      </c>
      <c r="B51" s="2"/>
      <c r="C51" s="2">
        <v>2.0344952000000008E-3</v>
      </c>
      <c r="D51" s="2">
        <v>1.940598E-3</v>
      </c>
      <c r="E51" s="2">
        <v>2.5439171000000002E-3</v>
      </c>
      <c r="F51" s="2">
        <v>2.1854539999999999E-3</v>
      </c>
      <c r="G51" s="2"/>
      <c r="H51" s="2"/>
      <c r="I51" s="2">
        <v>3.2032260000000004E-3</v>
      </c>
      <c r="J51" s="2">
        <v>1.8500274285714287E-3</v>
      </c>
      <c r="K51" s="2">
        <v>2.4025679999999999E-3</v>
      </c>
      <c r="L51" s="2">
        <v>2.1224160000000002E-3</v>
      </c>
      <c r="M51" s="2">
        <v>2.0060116E-3</v>
      </c>
      <c r="N51" s="2">
        <v>2.5545833333333336E-3</v>
      </c>
      <c r="O51" s="2"/>
      <c r="P51" s="2">
        <v>2.2843296661904764E-3</v>
      </c>
    </row>
    <row r="52" spans="1:16" x14ac:dyDescent="0.25">
      <c r="A52" s="1" t="s">
        <v>59</v>
      </c>
      <c r="B52" s="2">
        <v>4.4043144615384614E-3</v>
      </c>
      <c r="C52" s="2">
        <v>3.4540980000000005E-3</v>
      </c>
      <c r="D52" s="2">
        <v>3.5384665999999994E-3</v>
      </c>
      <c r="E52" s="2">
        <v>4.1193736999999998E-3</v>
      </c>
      <c r="F52" s="2">
        <v>3.9513876E-3</v>
      </c>
      <c r="G52" s="2">
        <v>4.2734065000000002E-3</v>
      </c>
      <c r="H52" s="2">
        <v>3.4860185000000002E-3</v>
      </c>
      <c r="I52" s="2">
        <v>4.1123686000000001E-3</v>
      </c>
      <c r="J52" s="2">
        <v>3.8766187999999995E-3</v>
      </c>
      <c r="K52" s="2">
        <v>3.5290707692307698E-3</v>
      </c>
      <c r="L52" s="2">
        <v>4.2536264615384619E-3</v>
      </c>
      <c r="M52" s="2">
        <v>3.4694274999999999E-3</v>
      </c>
      <c r="N52" s="2">
        <v>4.5800769999999992E-3</v>
      </c>
      <c r="O52" s="2"/>
      <c r="P52" s="2">
        <v>3.9267888071005917E-3</v>
      </c>
    </row>
    <row r="53" spans="1:16" x14ac:dyDescent="0.25">
      <c r="A53" s="1" t="s">
        <v>60</v>
      </c>
      <c r="B53" s="2"/>
      <c r="C53" s="2"/>
      <c r="D53" s="2">
        <v>2.1170870000000001E-3</v>
      </c>
      <c r="E53" s="2">
        <v>2.2064795555555555E-3</v>
      </c>
      <c r="F53" s="2"/>
      <c r="G53" s="2"/>
      <c r="H53" s="2">
        <v>2.2410751428571427E-3</v>
      </c>
      <c r="I53" s="2">
        <v>2.017703875E-3</v>
      </c>
      <c r="J53" s="2"/>
      <c r="K53" s="2">
        <v>2.6182017777777781E-3</v>
      </c>
      <c r="L53" s="2"/>
      <c r="M53" s="2"/>
      <c r="N53" s="2">
        <v>1.7265924000000002E-3</v>
      </c>
      <c r="O53" s="2"/>
      <c r="P53" s="2">
        <v>2.1545232918650796E-3</v>
      </c>
    </row>
    <row r="54" spans="1:16" x14ac:dyDescent="0.25">
      <c r="A54" s="1" t="s">
        <v>61</v>
      </c>
      <c r="B54" s="2"/>
      <c r="C54" s="2">
        <v>9.1113607200000016E-2</v>
      </c>
      <c r="D54" s="2"/>
      <c r="E54" s="2"/>
      <c r="F54" s="2"/>
      <c r="G54" s="2"/>
      <c r="H54" s="2"/>
      <c r="I54" s="2"/>
      <c r="J54" s="2"/>
      <c r="K54" s="2">
        <v>9.2854584900000009E-2</v>
      </c>
      <c r="L54" s="2">
        <v>9.4896537120000013E-2</v>
      </c>
      <c r="M54" s="2">
        <v>6.7003571250000005E-2</v>
      </c>
      <c r="N54" s="2"/>
      <c r="O54" s="2"/>
      <c r="P54" s="2">
        <v>8.6467075117500014E-2</v>
      </c>
    </row>
    <row r="55" spans="1:16" x14ac:dyDescent="0.25">
      <c r="A55" s="1" t="s">
        <v>62</v>
      </c>
      <c r="B55" s="2">
        <v>0.39776791750000001</v>
      </c>
      <c r="C55" s="2">
        <v>0.25672374999999997</v>
      </c>
      <c r="D55" s="2">
        <v>0.34526056399999999</v>
      </c>
      <c r="E55" s="2"/>
      <c r="F55" s="2">
        <v>0.19683</v>
      </c>
      <c r="G55" s="2">
        <v>0.13997521000000002</v>
      </c>
      <c r="H55" s="2">
        <v>0.34661624000000002</v>
      </c>
      <c r="I55" s="2">
        <v>5.1860210000000004E-2</v>
      </c>
      <c r="J55" s="2"/>
      <c r="K55" s="2">
        <v>0.18399744000000001</v>
      </c>
      <c r="L55" s="2">
        <v>0.35394970999999997</v>
      </c>
      <c r="M55" s="2">
        <v>0.35489948000000004</v>
      </c>
      <c r="N55" s="2">
        <v>0.18475111428571431</v>
      </c>
      <c r="O55" s="2"/>
      <c r="P55" s="2">
        <v>0.25569378507142854</v>
      </c>
    </row>
    <row r="56" spans="1:16" x14ac:dyDescent="0.25">
      <c r="A56" s="1" t="s">
        <v>70</v>
      </c>
      <c r="B56" s="2"/>
      <c r="C56" s="2"/>
      <c r="D56" s="2">
        <v>5.4517759999999998E-2</v>
      </c>
      <c r="E56" s="2">
        <v>2.5434045000000002E-2</v>
      </c>
      <c r="F56" s="2"/>
      <c r="G56" s="2"/>
      <c r="H56" s="2">
        <v>6.6933838333333343E-2</v>
      </c>
      <c r="I56" s="2"/>
      <c r="J56" s="2"/>
      <c r="K56" s="2"/>
      <c r="L56" s="2"/>
      <c r="M56" s="2"/>
      <c r="N56" s="2"/>
      <c r="O56" s="2"/>
      <c r="P56" s="2">
        <v>4.8961881111111112E-2</v>
      </c>
    </row>
    <row r="57" spans="1:16" x14ac:dyDescent="0.25">
      <c r="A57" s="1" t="s">
        <v>63</v>
      </c>
      <c r="B57" s="2">
        <v>4.3184677500000004E-2</v>
      </c>
      <c r="C57" s="2">
        <v>1.1248640000000001E-2</v>
      </c>
      <c r="D57" s="2">
        <v>1.8891730000000002E-2</v>
      </c>
      <c r="E57" s="2">
        <v>2.4981571052631574E-2</v>
      </c>
      <c r="F57" s="2">
        <v>1.0669680000000001E-2</v>
      </c>
      <c r="G57" s="2">
        <v>3.6866875E-2</v>
      </c>
      <c r="H57" s="2">
        <v>1.7570931499999998E-2</v>
      </c>
      <c r="I57" s="2">
        <v>2.3693007000000006E-2</v>
      </c>
      <c r="J57" s="2">
        <v>2.5943644999999998E-2</v>
      </c>
      <c r="K57" s="2">
        <v>2.7804648571428565E-2</v>
      </c>
      <c r="L57" s="2"/>
      <c r="M57" s="2"/>
      <c r="N57" s="2"/>
      <c r="O57" s="2"/>
      <c r="P57" s="2">
        <v>2.4085540562406017E-2</v>
      </c>
    </row>
    <row r="58" spans="1:16" x14ac:dyDescent="0.25">
      <c r="A58" s="1" t="s">
        <v>64</v>
      </c>
      <c r="B58" s="2"/>
      <c r="C58" s="2"/>
      <c r="D58" s="2"/>
      <c r="E58" s="2">
        <v>1.8703074133333334E-2</v>
      </c>
      <c r="F58" s="2">
        <v>2.5452682640000002E-2</v>
      </c>
      <c r="G58" s="2"/>
      <c r="H58" s="2"/>
      <c r="I58" s="2">
        <v>2.9873428200000003E-2</v>
      </c>
      <c r="J58" s="2"/>
      <c r="K58" s="2">
        <v>6.6528000000000021E-3</v>
      </c>
      <c r="L58" s="2"/>
      <c r="M58" s="2">
        <v>2.0948421200000004E-2</v>
      </c>
      <c r="N58" s="2">
        <v>4.243187256E-2</v>
      </c>
      <c r="O58" s="2"/>
      <c r="P58" s="2">
        <v>2.4010379788888887E-2</v>
      </c>
    </row>
    <row r="59" spans="1:16" x14ac:dyDescent="0.25">
      <c r="A59" s="1" t="s">
        <v>65</v>
      </c>
      <c r="B59" s="2">
        <v>2.8986203399999997E-2</v>
      </c>
      <c r="C59" s="2">
        <v>6.0156249999999994E-2</v>
      </c>
      <c r="D59" s="2"/>
      <c r="E59" s="2">
        <v>2.3904688500000007E-2</v>
      </c>
      <c r="F59" s="2">
        <v>3.6994768800000008E-2</v>
      </c>
      <c r="G59" s="2">
        <v>3.6815050580000008E-2</v>
      </c>
      <c r="H59" s="2">
        <v>3.1724540539999999E-2</v>
      </c>
      <c r="I59" s="2">
        <v>3.4026771240000003E-2</v>
      </c>
      <c r="J59" s="2">
        <v>3.4492236240000015E-2</v>
      </c>
      <c r="K59" s="2">
        <v>3.1225708800000002E-2</v>
      </c>
      <c r="L59" s="2">
        <v>2.0684125000000005E-2</v>
      </c>
      <c r="M59" s="2">
        <v>4.239148144000001E-2</v>
      </c>
      <c r="N59" s="2">
        <v>4.7420283317647069E-2</v>
      </c>
      <c r="O59" s="2"/>
      <c r="P59" s="2">
        <v>3.5735175654803927E-2</v>
      </c>
    </row>
    <row r="60" spans="1:16" x14ac:dyDescent="0.25">
      <c r="A60" s="1" t="s">
        <v>66</v>
      </c>
      <c r="B60" s="2">
        <v>1.4061216400000002E-2</v>
      </c>
      <c r="C60" s="2"/>
      <c r="D60" s="2"/>
      <c r="E60" s="2"/>
      <c r="F60" s="2"/>
      <c r="G60" s="2"/>
      <c r="H60" s="2">
        <v>4.6289124933333342E-2</v>
      </c>
      <c r="I60" s="2"/>
      <c r="J60" s="2"/>
      <c r="K60" s="2">
        <v>6.161158080000001E-2</v>
      </c>
      <c r="L60" s="2"/>
      <c r="M60" s="2"/>
      <c r="N60" s="2"/>
      <c r="O60" s="2"/>
      <c r="P60" s="2">
        <v>4.0653974044444451E-2</v>
      </c>
    </row>
    <row r="61" spans="1:16" x14ac:dyDescent="0.25">
      <c r="A61" s="1" t="s">
        <v>67</v>
      </c>
      <c r="B61" s="2">
        <v>1.9234458500000003E-2</v>
      </c>
      <c r="C61" s="2">
        <v>4.2515280000000003E-2</v>
      </c>
      <c r="D61" s="2">
        <v>3.512899545454546E-2</v>
      </c>
      <c r="E61" s="2">
        <v>1.7745948947368424E-2</v>
      </c>
      <c r="F61" s="2">
        <v>3.4011359999999997E-2</v>
      </c>
      <c r="G61" s="2">
        <v>3.4433351250000001E-2</v>
      </c>
      <c r="H61" s="2">
        <v>2.7099097499999995E-2</v>
      </c>
      <c r="I61" s="2">
        <v>3.6161214000000004E-2</v>
      </c>
      <c r="J61" s="2">
        <v>2.5618470000000001E-2</v>
      </c>
      <c r="K61" s="2">
        <v>1.5699168333333336E-2</v>
      </c>
      <c r="L61" s="2">
        <v>5.7038400000000003E-2</v>
      </c>
      <c r="M61" s="2">
        <v>2.0753616666666669E-2</v>
      </c>
      <c r="N61" s="2">
        <v>1.7367030499999998E-2</v>
      </c>
      <c r="O61" s="2"/>
      <c r="P61" s="2">
        <v>2.9446645473224141E-2</v>
      </c>
    </row>
    <row r="62" spans="1:16" x14ac:dyDescent="0.25">
      <c r="A62" s="1" t="s">
        <v>68</v>
      </c>
      <c r="B62" s="2"/>
      <c r="C62" s="2"/>
      <c r="D62" s="2"/>
      <c r="E62" s="2"/>
      <c r="F62" s="2"/>
      <c r="G62" s="2">
        <v>0.09</v>
      </c>
      <c r="H62" s="2">
        <v>9.59309330824E-2</v>
      </c>
      <c r="I62" s="2">
        <v>0.10104956027400001</v>
      </c>
      <c r="J62" s="2">
        <v>7.1397823952000006E-2</v>
      </c>
      <c r="K62" s="2">
        <v>0.09</v>
      </c>
      <c r="L62" s="2">
        <v>0.121465822244</v>
      </c>
      <c r="M62" s="2">
        <v>5.0804420471999998E-2</v>
      </c>
      <c r="N62" s="2">
        <v>1.1786965995999999E-2</v>
      </c>
      <c r="O62" s="2"/>
      <c r="P62" s="2">
        <v>7.9054440752550012E-2</v>
      </c>
    </row>
    <row r="63" spans="1:16" x14ac:dyDescent="0.25">
      <c r="A63" s="1" t="s">
        <v>69</v>
      </c>
      <c r="B63" s="2">
        <v>0.09</v>
      </c>
      <c r="C63" s="2"/>
      <c r="D63" s="2">
        <v>0.1069242266456</v>
      </c>
      <c r="E63" s="2">
        <v>0.09</v>
      </c>
      <c r="F63" s="2">
        <v>1.9500514254000002E-2</v>
      </c>
      <c r="G63" s="2"/>
      <c r="H63" s="2">
        <v>9.1614518257600003E-2</v>
      </c>
      <c r="I63" s="2">
        <v>7.7760748734933341E-2</v>
      </c>
      <c r="J63" s="2"/>
      <c r="K63" s="2">
        <v>0.1152108554792</v>
      </c>
      <c r="L63" s="2"/>
      <c r="M63" s="2">
        <v>7.5950989097454555E-2</v>
      </c>
      <c r="N63" s="2">
        <v>0.15695818028800002</v>
      </c>
      <c r="O63" s="2"/>
      <c r="P63" s="2">
        <v>9.1546670306309766E-2</v>
      </c>
    </row>
    <row r="64" spans="1:16" x14ac:dyDescent="0.25">
      <c r="A64" s="1" t="s">
        <v>71</v>
      </c>
      <c r="B64" s="2">
        <v>0.09</v>
      </c>
      <c r="C64" s="2">
        <v>0.09</v>
      </c>
      <c r="D64" s="2"/>
      <c r="E64" s="2"/>
      <c r="F64" s="2">
        <v>1.9500514254000002E-2</v>
      </c>
      <c r="G64" s="2">
        <v>0.09</v>
      </c>
      <c r="H64" s="2"/>
      <c r="I64" s="2"/>
      <c r="J64" s="2">
        <v>7.1397823952000006E-2</v>
      </c>
      <c r="K64" s="2"/>
      <c r="L64" s="2"/>
      <c r="M64" s="2"/>
      <c r="N64" s="2"/>
      <c r="O64" s="2"/>
      <c r="P64" s="2">
        <v>7.2179667641200013E-2</v>
      </c>
    </row>
    <row r="65" spans="1:16" x14ac:dyDescent="0.25">
      <c r="A65" s="5" t="s">
        <v>92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25">
      <c r="A66" s="1" t="s">
        <v>92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25">
      <c r="A67" s="5" t="s">
        <v>93</v>
      </c>
      <c r="B67" s="2">
        <v>3.6002811984861367</v>
      </c>
      <c r="C67" s="2">
        <v>2.8722446378366722</v>
      </c>
      <c r="D67" s="2">
        <v>3.7230908379753114</v>
      </c>
      <c r="E67" s="2">
        <v>1.7262528203393581</v>
      </c>
      <c r="F67" s="2">
        <v>5.3583514587163368</v>
      </c>
      <c r="G67" s="2">
        <v>5.4805976595222115</v>
      </c>
      <c r="H67" s="2">
        <v>4.7810105816544004</v>
      </c>
      <c r="I67" s="2">
        <v>5.8658907687638226</v>
      </c>
      <c r="J67" s="2">
        <v>5.3989328257863516</v>
      </c>
      <c r="K67" s="2">
        <v>4.9848987358832284</v>
      </c>
      <c r="L67" s="2">
        <v>2.2449381742682082</v>
      </c>
      <c r="M67" s="2">
        <v>1.4977493838639728</v>
      </c>
      <c r="N67" s="2">
        <v>1.2407324010878822</v>
      </c>
      <c r="O67" s="2"/>
      <c r="P67" s="2">
        <v>3.8004421646607192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F009-BBB3-F442-8093-7922CF5C42A3}">
  <dimension ref="A1:S610"/>
  <sheetViews>
    <sheetView workbookViewId="0">
      <selection activeCell="C10" sqref="C10"/>
    </sheetView>
  </sheetViews>
  <sheetFormatPr defaultColWidth="11" defaultRowHeight="15.75" x14ac:dyDescent="0.25"/>
  <cols>
    <col min="5" max="5" width="14.5" customWidth="1"/>
    <col min="16" max="16" width="13.875" bestFit="1" customWidth="1"/>
    <col min="17" max="17" width="9.375" bestFit="1" customWidth="1"/>
    <col min="18" max="18" width="11.25" customWidth="1"/>
  </cols>
  <sheetData>
    <row r="1" spans="1:19" x14ac:dyDescent="0.25">
      <c r="A1" s="15" t="s">
        <v>97</v>
      </c>
      <c r="B1" s="16" t="s">
        <v>0</v>
      </c>
      <c r="C1" s="17" t="s">
        <v>1</v>
      </c>
      <c r="D1" s="18" t="s">
        <v>121</v>
      </c>
      <c r="E1" s="17" t="s">
        <v>122</v>
      </c>
      <c r="F1" s="17" t="s">
        <v>2</v>
      </c>
      <c r="G1" s="17" t="s">
        <v>3</v>
      </c>
      <c r="H1" s="17" t="s">
        <v>123</v>
      </c>
      <c r="I1" s="17" t="s">
        <v>4</v>
      </c>
      <c r="L1" s="17"/>
      <c r="Q1" s="17"/>
      <c r="R1" s="17"/>
      <c r="S1" s="17"/>
    </row>
    <row r="2" spans="1:19" x14ac:dyDescent="0.25">
      <c r="A2" t="s">
        <v>5</v>
      </c>
      <c r="B2" t="s">
        <v>6</v>
      </c>
      <c r="C2">
        <v>2030.3851071549827</v>
      </c>
      <c r="D2">
        <v>0.86083139891620919</v>
      </c>
      <c r="E2">
        <v>1.7478192521308611</v>
      </c>
      <c r="F2">
        <v>20</v>
      </c>
      <c r="G2" t="s">
        <v>114</v>
      </c>
      <c r="H2">
        <v>3.4956385042617222E-2</v>
      </c>
      <c r="I2" t="s">
        <v>73</v>
      </c>
    </row>
    <row r="3" spans="1:19" x14ac:dyDescent="0.25">
      <c r="A3" t="s">
        <v>5</v>
      </c>
      <c r="B3" t="s">
        <v>7</v>
      </c>
      <c r="C3">
        <v>8.3088676260062542</v>
      </c>
      <c r="D3">
        <v>120.62837151823558</v>
      </c>
      <c r="E3">
        <v>1.0022851708857226</v>
      </c>
      <c r="F3">
        <v>20</v>
      </c>
      <c r="G3" t="s">
        <v>114</v>
      </c>
      <c r="H3">
        <v>2.0045703417714448E-2</v>
      </c>
      <c r="I3" t="s">
        <v>74</v>
      </c>
    </row>
    <row r="4" spans="1:19" x14ac:dyDescent="0.25">
      <c r="A4" t="s">
        <v>5</v>
      </c>
      <c r="B4" t="s">
        <v>8</v>
      </c>
      <c r="C4">
        <v>7.9311918248241513</v>
      </c>
      <c r="D4">
        <v>3.0616468537910766</v>
      </c>
      <c r="E4">
        <v>2.4282508497286373E-2</v>
      </c>
      <c r="F4">
        <v>20</v>
      </c>
      <c r="G4" t="s">
        <v>114</v>
      </c>
      <c r="H4">
        <v>4.8565016994572748E-4</v>
      </c>
      <c r="I4" t="s">
        <v>74</v>
      </c>
    </row>
    <row r="5" spans="1:19" x14ac:dyDescent="0.25">
      <c r="A5" t="s">
        <v>5</v>
      </c>
      <c r="B5" t="s">
        <v>9</v>
      </c>
      <c r="C5">
        <v>2223.7551173602192</v>
      </c>
      <c r="D5">
        <v>0.4679824693982132</v>
      </c>
      <c r="E5">
        <v>1.0406784111591487</v>
      </c>
      <c r="F5">
        <v>20</v>
      </c>
      <c r="G5" t="s">
        <v>114</v>
      </c>
      <c r="H5">
        <v>2.0813568223182977E-2</v>
      </c>
      <c r="I5" t="s">
        <v>75</v>
      </c>
    </row>
    <row r="6" spans="1:19" x14ac:dyDescent="0.25">
      <c r="A6" t="s">
        <v>5</v>
      </c>
      <c r="B6" t="s">
        <v>10</v>
      </c>
      <c r="C6">
        <v>741.25170578673965</v>
      </c>
      <c r="D6">
        <v>2.974245399215119</v>
      </c>
      <c r="E6">
        <v>2.2046644755965694</v>
      </c>
      <c r="F6">
        <v>20</v>
      </c>
      <c r="G6" t="s">
        <v>114</v>
      </c>
      <c r="H6">
        <v>4.4093289511931387E-2</v>
      </c>
      <c r="I6" t="s">
        <v>76</v>
      </c>
    </row>
    <row r="7" spans="1:19" x14ac:dyDescent="0.25">
      <c r="A7" t="s">
        <v>5</v>
      </c>
      <c r="B7" t="s">
        <v>11</v>
      </c>
      <c r="C7">
        <v>837.93671088935787</v>
      </c>
      <c r="D7">
        <v>2.2033371240340869</v>
      </c>
      <c r="E7">
        <v>1.84625706269354</v>
      </c>
      <c r="F7">
        <v>20</v>
      </c>
      <c r="G7" t="s">
        <v>114</v>
      </c>
      <c r="H7">
        <v>3.6925141253870801E-2</v>
      </c>
      <c r="I7" t="s">
        <v>77</v>
      </c>
    </row>
    <row r="8" spans="1:19" x14ac:dyDescent="0.25">
      <c r="A8" t="s">
        <v>5</v>
      </c>
      <c r="B8" t="s">
        <v>12</v>
      </c>
      <c r="C8">
        <v>257.82668027364861</v>
      </c>
      <c r="D8">
        <v>3.1099289060213584</v>
      </c>
      <c r="E8">
        <v>0.80182264572654649</v>
      </c>
      <c r="F8">
        <v>20</v>
      </c>
      <c r="G8" t="s">
        <v>114</v>
      </c>
      <c r="H8">
        <v>1.603645291453093E-2</v>
      </c>
      <c r="I8" t="s">
        <v>75</v>
      </c>
    </row>
    <row r="9" spans="1:19" x14ac:dyDescent="0.25">
      <c r="A9" t="s">
        <v>5</v>
      </c>
      <c r="B9" t="s">
        <v>13</v>
      </c>
      <c r="C9">
        <v>64.456670068412151</v>
      </c>
      <c r="D9">
        <v>20.401653978644813</v>
      </c>
      <c r="E9">
        <v>1.3150226793514168</v>
      </c>
      <c r="F9">
        <v>20</v>
      </c>
      <c r="G9" t="s">
        <v>114</v>
      </c>
      <c r="H9">
        <v>2.6300453587028337E-2</v>
      </c>
      <c r="I9" t="s">
        <v>77</v>
      </c>
    </row>
    <row r="10" spans="1:19" x14ac:dyDescent="0.25">
      <c r="A10" t="s">
        <v>5</v>
      </c>
      <c r="B10" t="s">
        <v>14</v>
      </c>
      <c r="C10">
        <v>64.456670068412151</v>
      </c>
      <c r="D10">
        <v>0.82316437806424692</v>
      </c>
      <c r="E10">
        <v>5.3058434728956848E-2</v>
      </c>
      <c r="F10">
        <v>20</v>
      </c>
      <c r="G10" t="s">
        <v>114</v>
      </c>
      <c r="H10">
        <v>1.061168694579137E-3</v>
      </c>
      <c r="I10" t="s">
        <v>73</v>
      </c>
    </row>
    <row r="11" spans="1:19" x14ac:dyDescent="0.25">
      <c r="A11" t="s">
        <v>5</v>
      </c>
      <c r="B11" t="s">
        <v>15</v>
      </c>
      <c r="C11">
        <v>2127.0701122576011</v>
      </c>
      <c r="D11">
        <v>3.3813002000171024</v>
      </c>
      <c r="E11">
        <v>7.1922625960270272</v>
      </c>
      <c r="F11">
        <v>20</v>
      </c>
      <c r="G11" t="s">
        <v>114</v>
      </c>
      <c r="H11">
        <v>0.14384525192054054</v>
      </c>
      <c r="I11" t="s">
        <v>73</v>
      </c>
    </row>
    <row r="12" spans="1:19" x14ac:dyDescent="0.25">
      <c r="A12" t="s">
        <v>5</v>
      </c>
      <c r="B12" t="s">
        <v>16</v>
      </c>
      <c r="C12">
        <v>64.456670068412151</v>
      </c>
      <c r="D12">
        <v>4.6660668367820941</v>
      </c>
      <c r="E12">
        <v>0.30075913061562293</v>
      </c>
      <c r="F12">
        <v>20</v>
      </c>
      <c r="G12" t="s">
        <v>114</v>
      </c>
      <c r="H12">
        <v>6.0151826123124585E-3</v>
      </c>
      <c r="I12" t="s">
        <v>77</v>
      </c>
    </row>
    <row r="13" spans="1:19" x14ac:dyDescent="0.25">
      <c r="A13" t="s">
        <v>5</v>
      </c>
      <c r="B13" t="s">
        <v>17</v>
      </c>
      <c r="C13">
        <v>386.74002041047288</v>
      </c>
      <c r="D13">
        <v>3.8483385792023732</v>
      </c>
      <c r="E13">
        <v>1.4883065406671361</v>
      </c>
      <c r="F13">
        <v>20</v>
      </c>
      <c r="G13" t="s">
        <v>114</v>
      </c>
      <c r="H13">
        <v>2.9766130813342721E-2</v>
      </c>
      <c r="I13" t="s">
        <v>77</v>
      </c>
    </row>
    <row r="14" spans="1:19" x14ac:dyDescent="0.25">
      <c r="A14" t="s">
        <v>5</v>
      </c>
      <c r="B14" t="s">
        <v>18</v>
      </c>
      <c r="C14">
        <v>138.12143586088317</v>
      </c>
      <c r="D14">
        <v>7.8725197222822816</v>
      </c>
      <c r="E14">
        <v>1.0873637278847501</v>
      </c>
      <c r="F14">
        <v>20</v>
      </c>
      <c r="G14" t="s">
        <v>114</v>
      </c>
      <c r="H14">
        <v>2.1747274557695002E-2</v>
      </c>
      <c r="I14" t="s">
        <v>74</v>
      </c>
    </row>
    <row r="15" spans="1:19" x14ac:dyDescent="0.25">
      <c r="A15" t="s">
        <v>5</v>
      </c>
      <c r="B15" t="s">
        <v>19</v>
      </c>
      <c r="C15">
        <v>64.456670068412151</v>
      </c>
      <c r="D15">
        <v>6.3243307688165675</v>
      </c>
      <c r="E15">
        <v>0.4076453017691169</v>
      </c>
      <c r="F15">
        <v>20</v>
      </c>
      <c r="G15" t="s">
        <v>114</v>
      </c>
      <c r="H15">
        <v>8.1529060353823391E-3</v>
      </c>
      <c r="I15" t="s">
        <v>77</v>
      </c>
    </row>
    <row r="16" spans="1:19" x14ac:dyDescent="0.25">
      <c r="A16" t="s">
        <v>5</v>
      </c>
      <c r="B16" t="s">
        <v>51</v>
      </c>
      <c r="C16">
        <v>17173.674031352562</v>
      </c>
      <c r="D16">
        <v>9.2342236661139207E-2</v>
      </c>
      <c r="E16">
        <v>1.5858554717444191</v>
      </c>
      <c r="F16">
        <v>20</v>
      </c>
      <c r="G16" t="s">
        <v>114</v>
      </c>
      <c r="H16">
        <v>3.1717109434888383E-2</v>
      </c>
      <c r="I16" t="s">
        <v>52</v>
      </c>
    </row>
    <row r="17" spans="1:9" x14ac:dyDescent="0.25">
      <c r="A17" t="s">
        <v>5</v>
      </c>
      <c r="B17" t="s">
        <v>53</v>
      </c>
      <c r="C17">
        <v>15693.184890718721</v>
      </c>
      <c r="D17">
        <v>0.1565388461448661</v>
      </c>
      <c r="E17">
        <v>2.4565930551311554</v>
      </c>
      <c r="F17">
        <v>20</v>
      </c>
      <c r="G17" t="s">
        <v>114</v>
      </c>
      <c r="H17">
        <v>4.9131861102623103E-2</v>
      </c>
      <c r="I17" t="s">
        <v>54</v>
      </c>
    </row>
    <row r="18" spans="1:9" x14ac:dyDescent="0.25">
      <c r="A18" t="s">
        <v>5</v>
      </c>
      <c r="B18" t="s">
        <v>44</v>
      </c>
      <c r="C18">
        <v>296.09782812676832</v>
      </c>
      <c r="D18">
        <v>1.0952076E-2</v>
      </c>
      <c r="E18">
        <v>3.2428859170793045E-3</v>
      </c>
      <c r="F18">
        <v>20</v>
      </c>
      <c r="G18" t="s">
        <v>114</v>
      </c>
      <c r="H18">
        <v>6.485771834158609E-5</v>
      </c>
      <c r="I18" t="s">
        <v>45</v>
      </c>
    </row>
    <row r="19" spans="1:9" x14ac:dyDescent="0.25">
      <c r="A19" t="s">
        <v>5</v>
      </c>
      <c r="B19" t="s">
        <v>46</v>
      </c>
      <c r="C19">
        <v>2072.6847968873781</v>
      </c>
      <c r="D19">
        <v>1.3312979999999999E-2</v>
      </c>
      <c r="E19">
        <v>2.7593611247265722E-2</v>
      </c>
      <c r="F19">
        <v>20</v>
      </c>
      <c r="G19" t="s">
        <v>114</v>
      </c>
      <c r="H19">
        <v>5.5187222494531445E-4</v>
      </c>
      <c r="I19" t="s">
        <v>45</v>
      </c>
    </row>
    <row r="20" spans="1:9" x14ac:dyDescent="0.25">
      <c r="A20" t="s">
        <v>5</v>
      </c>
      <c r="B20" t="s">
        <v>47</v>
      </c>
      <c r="C20">
        <v>888.2934843803049</v>
      </c>
      <c r="D20">
        <v>1.9945796081900002</v>
      </c>
      <c r="E20">
        <v>1.7717720700329986</v>
      </c>
      <c r="F20">
        <v>20</v>
      </c>
      <c r="G20" t="s">
        <v>114</v>
      </c>
      <c r="H20">
        <v>3.5435441400659975E-2</v>
      </c>
      <c r="I20" t="s">
        <v>45</v>
      </c>
    </row>
    <row r="21" spans="1:9" x14ac:dyDescent="0.25">
      <c r="A21" t="s">
        <v>5</v>
      </c>
      <c r="B21" t="s">
        <v>48</v>
      </c>
      <c r="C21">
        <v>296.09782812676832</v>
      </c>
      <c r="D21">
        <v>0.86742213362999998</v>
      </c>
      <c r="E21">
        <v>0.25684180983693039</v>
      </c>
      <c r="F21">
        <v>20</v>
      </c>
      <c r="G21" t="s">
        <v>114</v>
      </c>
      <c r="H21">
        <v>5.1368361967386086E-3</v>
      </c>
      <c r="I21" t="s">
        <v>45</v>
      </c>
    </row>
    <row r="22" spans="1:9" x14ac:dyDescent="0.25">
      <c r="A22" t="s">
        <v>5</v>
      </c>
      <c r="B22" t="s">
        <v>49</v>
      </c>
      <c r="C22">
        <v>1184.3913125070733</v>
      </c>
      <c r="D22">
        <v>7.0267050000000011E-3</v>
      </c>
      <c r="E22">
        <v>8.3223683575500158E-3</v>
      </c>
      <c r="F22">
        <v>20</v>
      </c>
      <c r="G22" t="s">
        <v>114</v>
      </c>
      <c r="H22">
        <v>1.6644736715100032E-4</v>
      </c>
      <c r="I22" t="s">
        <v>45</v>
      </c>
    </row>
    <row r="23" spans="1:9" x14ac:dyDescent="0.25">
      <c r="A23" t="s">
        <v>5</v>
      </c>
      <c r="B23" t="s">
        <v>50</v>
      </c>
      <c r="C23">
        <v>24280.021906395003</v>
      </c>
      <c r="D23">
        <v>1.2567551100000001E-2</v>
      </c>
      <c r="E23">
        <v>0.30514041601773861</v>
      </c>
      <c r="F23">
        <v>20</v>
      </c>
      <c r="G23" t="s">
        <v>114</v>
      </c>
      <c r="H23">
        <v>6.1028083203547726E-3</v>
      </c>
      <c r="I23" t="s">
        <v>45</v>
      </c>
    </row>
    <row r="24" spans="1:9" x14ac:dyDescent="0.25">
      <c r="A24" t="s">
        <v>5</v>
      </c>
      <c r="B24" t="s">
        <v>55</v>
      </c>
      <c r="C24">
        <v>888.2934843803049</v>
      </c>
      <c r="D24">
        <v>1.7136893333333337E-2</v>
      </c>
      <c r="E24">
        <v>1.5222590690520288E-2</v>
      </c>
      <c r="F24">
        <v>20</v>
      </c>
      <c r="G24" t="s">
        <v>114</v>
      </c>
      <c r="H24">
        <v>3.0445181381040575E-4</v>
      </c>
      <c r="I24" t="s">
        <v>45</v>
      </c>
    </row>
    <row r="25" spans="1:9" x14ac:dyDescent="0.25">
      <c r="A25" t="s">
        <v>5</v>
      </c>
      <c r="B25" t="s">
        <v>56</v>
      </c>
      <c r="C25">
        <v>13028.304437577806</v>
      </c>
      <c r="D25">
        <v>1.0084706268E-2</v>
      </c>
      <c r="E25">
        <v>0.13138662342305313</v>
      </c>
      <c r="F25">
        <v>20</v>
      </c>
      <c r="G25" t="s">
        <v>114</v>
      </c>
      <c r="H25">
        <v>2.6277324684610627E-3</v>
      </c>
      <c r="I25" t="s">
        <v>45</v>
      </c>
    </row>
    <row r="26" spans="1:9" x14ac:dyDescent="0.25">
      <c r="A26" t="s">
        <v>5</v>
      </c>
      <c r="B26" t="s">
        <v>57</v>
      </c>
      <c r="C26">
        <v>20726.847968873783</v>
      </c>
      <c r="D26">
        <v>1.9647305000000002E-3</v>
      </c>
      <c r="E26">
        <v>4.0722670373309379E-2</v>
      </c>
      <c r="F26">
        <v>20</v>
      </c>
      <c r="G26" t="s">
        <v>114</v>
      </c>
      <c r="H26">
        <v>8.1445340746618756E-4</v>
      </c>
      <c r="I26" t="s">
        <v>45</v>
      </c>
    </row>
    <row r="27" spans="1:9" x14ac:dyDescent="0.25">
      <c r="A27" t="s">
        <v>5</v>
      </c>
      <c r="B27" t="s">
        <v>58</v>
      </c>
      <c r="C27">
        <v>888.2934843803049</v>
      </c>
      <c r="D27">
        <v>2.4025679999999999E-3</v>
      </c>
      <c r="E27">
        <v>2.1341855001806203E-3</v>
      </c>
      <c r="F27">
        <v>20</v>
      </c>
      <c r="G27" t="s">
        <v>114</v>
      </c>
      <c r="H27">
        <v>4.2683710003612399E-5</v>
      </c>
      <c r="I27" t="s">
        <v>45</v>
      </c>
    </row>
    <row r="28" spans="1:9" x14ac:dyDescent="0.25">
      <c r="A28" t="s">
        <v>5</v>
      </c>
      <c r="B28" t="s">
        <v>59</v>
      </c>
      <c r="C28">
        <v>3849.2717656479881</v>
      </c>
      <c r="D28">
        <v>3.5290707692307698E-3</v>
      </c>
      <c r="E28">
        <v>1.3584352470973629E-2</v>
      </c>
      <c r="F28">
        <v>20</v>
      </c>
      <c r="G28" t="s">
        <v>114</v>
      </c>
      <c r="H28">
        <v>2.7168704941947259E-4</v>
      </c>
      <c r="I28" t="s">
        <v>45</v>
      </c>
    </row>
    <row r="29" spans="1:9" x14ac:dyDescent="0.25">
      <c r="A29" t="s">
        <v>5</v>
      </c>
      <c r="B29" t="s">
        <v>60</v>
      </c>
      <c r="C29">
        <v>2664.8804531409151</v>
      </c>
      <c r="D29">
        <v>2.6182017777777781E-3</v>
      </c>
      <c r="E29">
        <v>6.9771947399787943E-3</v>
      </c>
      <c r="F29">
        <v>20</v>
      </c>
      <c r="G29" t="s">
        <v>114</v>
      </c>
      <c r="H29">
        <v>1.3954389479957588E-4</v>
      </c>
      <c r="I29" t="s">
        <v>45</v>
      </c>
    </row>
    <row r="30" spans="1:9" x14ac:dyDescent="0.25">
      <c r="A30" t="s">
        <v>5</v>
      </c>
      <c r="B30" t="s">
        <v>61</v>
      </c>
      <c r="C30">
        <v>296.09782812676832</v>
      </c>
      <c r="D30">
        <v>9.2854584900000009E-2</v>
      </c>
      <c r="E30">
        <v>2.7494040920502619E-2</v>
      </c>
      <c r="F30">
        <v>20</v>
      </c>
      <c r="G30" t="s">
        <v>114</v>
      </c>
      <c r="H30">
        <v>5.4988081841005239E-4</v>
      </c>
      <c r="I30" t="s">
        <v>45</v>
      </c>
    </row>
    <row r="31" spans="1:9" x14ac:dyDescent="0.25">
      <c r="A31" t="s">
        <v>5</v>
      </c>
      <c r="B31" t="s">
        <v>62</v>
      </c>
      <c r="C31">
        <v>296.09782812676832</v>
      </c>
      <c r="D31">
        <v>0.18399744000000001</v>
      </c>
      <c r="E31">
        <v>5.4481242364885371E-2</v>
      </c>
      <c r="F31">
        <v>20</v>
      </c>
      <c r="G31" t="s">
        <v>114</v>
      </c>
      <c r="H31">
        <v>1.0896248472977074E-3</v>
      </c>
      <c r="I31" t="s">
        <v>45</v>
      </c>
    </row>
    <row r="32" spans="1:9" x14ac:dyDescent="0.25">
      <c r="A32" t="s">
        <v>5</v>
      </c>
      <c r="B32" t="s">
        <v>63</v>
      </c>
      <c r="C32">
        <v>2072.6847968873781</v>
      </c>
      <c r="D32">
        <v>2.7804648571428565E-2</v>
      </c>
      <c r="E32">
        <v>5.763027237679634E-2</v>
      </c>
      <c r="F32">
        <v>20</v>
      </c>
      <c r="G32" t="s">
        <v>114</v>
      </c>
      <c r="H32">
        <v>1.1526054475359268E-3</v>
      </c>
      <c r="I32" t="s">
        <v>45</v>
      </c>
    </row>
    <row r="33" spans="1:9" x14ac:dyDescent="0.25">
      <c r="A33" t="s">
        <v>5</v>
      </c>
      <c r="B33" t="s">
        <v>64</v>
      </c>
      <c r="C33">
        <v>296.09782812676832</v>
      </c>
      <c r="D33">
        <v>6.6528000000000021E-3</v>
      </c>
      <c r="E33">
        <v>1.9698796309617649E-3</v>
      </c>
      <c r="F33">
        <v>20</v>
      </c>
      <c r="G33" t="s">
        <v>114</v>
      </c>
      <c r="H33">
        <v>3.9397592619235296E-5</v>
      </c>
      <c r="I33" t="s">
        <v>45</v>
      </c>
    </row>
    <row r="34" spans="1:9" x14ac:dyDescent="0.25">
      <c r="A34" t="s">
        <v>5</v>
      </c>
      <c r="B34" t="s">
        <v>65</v>
      </c>
      <c r="C34">
        <v>2072.6847968873781</v>
      </c>
      <c r="D34">
        <v>3.1225708800000002E-2</v>
      </c>
      <c r="E34">
        <v>6.472105190179242E-2</v>
      </c>
      <c r="F34">
        <v>20</v>
      </c>
      <c r="G34" t="s">
        <v>114</v>
      </c>
      <c r="H34">
        <v>1.2944210380358486E-3</v>
      </c>
      <c r="I34" t="s">
        <v>45</v>
      </c>
    </row>
    <row r="35" spans="1:9" x14ac:dyDescent="0.25">
      <c r="A35" t="s">
        <v>5</v>
      </c>
      <c r="B35" t="s">
        <v>66</v>
      </c>
      <c r="C35">
        <v>296.09782812676832</v>
      </c>
      <c r="D35">
        <v>6.161158080000001E-2</v>
      </c>
      <c r="E35">
        <v>1.8243055262336903E-2</v>
      </c>
      <c r="F35">
        <v>20</v>
      </c>
      <c r="G35" t="s">
        <v>114</v>
      </c>
      <c r="H35">
        <v>3.648611052467381E-4</v>
      </c>
      <c r="I35" t="s">
        <v>45</v>
      </c>
    </row>
    <row r="36" spans="1:9" x14ac:dyDescent="0.25">
      <c r="A36" t="s">
        <v>5</v>
      </c>
      <c r="B36" t="s">
        <v>67</v>
      </c>
      <c r="C36">
        <v>1776.5869687606098</v>
      </c>
      <c r="D36">
        <v>1.5699168333333336E-2</v>
      </c>
      <c r="E36">
        <v>2.7890937881379228E-2</v>
      </c>
      <c r="F36">
        <v>20</v>
      </c>
      <c r="G36" t="s">
        <v>114</v>
      </c>
      <c r="H36">
        <v>5.5781875762758455E-4</v>
      </c>
      <c r="I36" t="s">
        <v>45</v>
      </c>
    </row>
    <row r="37" spans="1:9" x14ac:dyDescent="0.25">
      <c r="A37" t="s">
        <v>5</v>
      </c>
      <c r="B37" t="s">
        <v>68</v>
      </c>
      <c r="C37">
        <v>296.09782812676832</v>
      </c>
      <c r="D37">
        <v>0.09</v>
      </c>
      <c r="E37">
        <v>2.6648804531409147E-2</v>
      </c>
      <c r="F37">
        <v>20</v>
      </c>
      <c r="G37" t="s">
        <v>114</v>
      </c>
      <c r="H37">
        <v>5.3297609062818291E-4</v>
      </c>
      <c r="I37" t="s">
        <v>45</v>
      </c>
    </row>
    <row r="38" spans="1:9" x14ac:dyDescent="0.25">
      <c r="A38" t="s">
        <v>5</v>
      </c>
      <c r="B38" t="s">
        <v>69</v>
      </c>
      <c r="C38">
        <v>10363.423984436891</v>
      </c>
      <c r="D38">
        <v>0.1152108554792</v>
      </c>
      <c r="E38">
        <v>1.1939789429406338</v>
      </c>
      <c r="F38">
        <v>20</v>
      </c>
      <c r="G38" t="s">
        <v>114</v>
      </c>
      <c r="H38">
        <v>2.3879578858812676E-2</v>
      </c>
      <c r="I38" t="s">
        <v>45</v>
      </c>
    </row>
    <row r="39" spans="1:9" x14ac:dyDescent="0.25">
      <c r="A39" t="s">
        <v>20</v>
      </c>
      <c r="B39" t="s">
        <v>6</v>
      </c>
      <c r="C39">
        <v>1201.6564919896834</v>
      </c>
      <c r="D39">
        <v>1.1895780218281158</v>
      </c>
      <c r="E39">
        <v>1.4294641526580008</v>
      </c>
      <c r="F39">
        <v>20</v>
      </c>
      <c r="G39" t="s">
        <v>115</v>
      </c>
      <c r="H39">
        <v>2.8589283053160018E-2</v>
      </c>
      <c r="I39" t="s">
        <v>73</v>
      </c>
    </row>
    <row r="40" spans="1:9" x14ac:dyDescent="0.25">
      <c r="A40" t="s">
        <v>20</v>
      </c>
      <c r="B40" t="s">
        <v>8</v>
      </c>
      <c r="C40">
        <v>3.9718213377062854</v>
      </c>
      <c r="D40">
        <v>1.3207613402751484</v>
      </c>
      <c r="E40">
        <v>5.2458280733223856E-3</v>
      </c>
      <c r="F40">
        <v>20</v>
      </c>
      <c r="G40" t="s">
        <v>115</v>
      </c>
      <c r="H40">
        <v>1.049165614664477E-4</v>
      </c>
      <c r="I40" t="s">
        <v>74</v>
      </c>
    </row>
    <row r="41" spans="1:9" x14ac:dyDescent="0.25">
      <c r="A41" t="s">
        <v>20</v>
      </c>
      <c r="B41" t="s">
        <v>9</v>
      </c>
      <c r="C41">
        <v>1340.3091641423393</v>
      </c>
      <c r="D41">
        <v>0.89324173996391676</v>
      </c>
      <c r="E41">
        <v>1.197220089868086</v>
      </c>
      <c r="F41">
        <v>20</v>
      </c>
      <c r="G41" t="s">
        <v>115</v>
      </c>
      <c r="H41">
        <v>2.3944401797361722E-2</v>
      </c>
      <c r="I41" t="s">
        <v>75</v>
      </c>
    </row>
    <row r="42" spans="1:9" x14ac:dyDescent="0.25">
      <c r="A42" t="s">
        <v>20</v>
      </c>
      <c r="B42" t="s">
        <v>10</v>
      </c>
      <c r="C42">
        <v>1617.6145084476509</v>
      </c>
      <c r="D42">
        <v>6.1018741454527339</v>
      </c>
      <c r="E42">
        <v>9.8704801464059546</v>
      </c>
      <c r="F42">
        <v>20</v>
      </c>
      <c r="G42" t="s">
        <v>115</v>
      </c>
      <c r="H42">
        <v>0.1974096029281191</v>
      </c>
      <c r="I42" t="s">
        <v>76</v>
      </c>
    </row>
    <row r="43" spans="1:9" x14ac:dyDescent="0.25">
      <c r="A43" t="s">
        <v>20</v>
      </c>
      <c r="B43" t="s">
        <v>11</v>
      </c>
      <c r="C43">
        <v>138.65267215265578</v>
      </c>
      <c r="D43">
        <v>4.9934623755215588</v>
      </c>
      <c r="E43">
        <v>0.69235690165981245</v>
      </c>
      <c r="F43">
        <v>20</v>
      </c>
      <c r="G43" t="s">
        <v>115</v>
      </c>
      <c r="H43">
        <v>1.3847138033196248E-2</v>
      </c>
      <c r="I43" t="s">
        <v>77</v>
      </c>
    </row>
    <row r="44" spans="1:9" x14ac:dyDescent="0.25">
      <c r="A44" t="s">
        <v>20</v>
      </c>
      <c r="B44" t="s">
        <v>21</v>
      </c>
      <c r="C44">
        <v>30.811704922812396</v>
      </c>
      <c r="D44">
        <v>9.9190222032036139</v>
      </c>
      <c r="E44">
        <v>0.30562198524793427</v>
      </c>
      <c r="F44">
        <v>20</v>
      </c>
      <c r="G44" t="s">
        <v>115</v>
      </c>
      <c r="H44">
        <v>6.1124397049586851E-3</v>
      </c>
      <c r="I44" t="s">
        <v>73</v>
      </c>
    </row>
    <row r="45" spans="1:9" x14ac:dyDescent="0.25">
      <c r="A45" t="s">
        <v>20</v>
      </c>
      <c r="B45" t="s">
        <v>12</v>
      </c>
      <c r="C45">
        <v>1201.6564919896834</v>
      </c>
      <c r="D45">
        <v>4.3006730929528612</v>
      </c>
      <c r="E45">
        <v>5.1679317420721569</v>
      </c>
      <c r="F45">
        <v>20</v>
      </c>
      <c r="G45" t="s">
        <v>115</v>
      </c>
      <c r="H45">
        <v>0.10335863484144313</v>
      </c>
      <c r="I45" t="s">
        <v>75</v>
      </c>
    </row>
    <row r="46" spans="1:9" x14ac:dyDescent="0.25">
      <c r="A46" t="s">
        <v>20</v>
      </c>
      <c r="B46" t="s">
        <v>14</v>
      </c>
      <c r="C46">
        <v>30.811704922812396</v>
      </c>
      <c r="D46">
        <v>1.4440478385994258</v>
      </c>
      <c r="E46">
        <v>4.4493575897350528E-2</v>
      </c>
      <c r="F46">
        <v>20</v>
      </c>
      <c r="G46" t="s">
        <v>115</v>
      </c>
      <c r="H46">
        <v>8.8987151794701056E-4</v>
      </c>
      <c r="I46" t="s">
        <v>73</v>
      </c>
    </row>
    <row r="47" spans="1:9" x14ac:dyDescent="0.25">
      <c r="A47" t="s">
        <v>20</v>
      </c>
      <c r="B47" t="s">
        <v>15</v>
      </c>
      <c r="C47">
        <v>431.36386891937349</v>
      </c>
      <c r="D47">
        <v>2.7468215117587027</v>
      </c>
      <c r="E47">
        <v>1.1848795545431963</v>
      </c>
      <c r="F47">
        <v>20</v>
      </c>
      <c r="G47" t="s">
        <v>115</v>
      </c>
      <c r="H47">
        <v>2.3697591090863925E-2</v>
      </c>
      <c r="I47" t="s">
        <v>73</v>
      </c>
    </row>
    <row r="48" spans="1:9" x14ac:dyDescent="0.25">
      <c r="A48" t="s">
        <v>20</v>
      </c>
      <c r="B48" t="s">
        <v>16</v>
      </c>
      <c r="C48">
        <v>46.217557384218594</v>
      </c>
      <c r="D48">
        <v>4.2937065927586922</v>
      </c>
      <c r="E48">
        <v>0.19844463084182254</v>
      </c>
      <c r="F48">
        <v>20</v>
      </c>
      <c r="G48" t="s">
        <v>115</v>
      </c>
      <c r="H48">
        <v>3.9688926168364507E-3</v>
      </c>
      <c r="I48" t="s">
        <v>77</v>
      </c>
    </row>
    <row r="49" spans="1:9" x14ac:dyDescent="0.25">
      <c r="A49" t="s">
        <v>20</v>
      </c>
      <c r="B49" t="s">
        <v>18</v>
      </c>
      <c r="C49">
        <v>19.80752459323654</v>
      </c>
      <c r="D49">
        <v>0.30120182718029109</v>
      </c>
      <c r="E49">
        <v>5.9660625994013977E-3</v>
      </c>
      <c r="F49">
        <v>20</v>
      </c>
      <c r="G49" t="s">
        <v>115</v>
      </c>
      <c r="H49">
        <v>1.1932125198802796E-4</v>
      </c>
      <c r="I49" t="s">
        <v>74</v>
      </c>
    </row>
    <row r="50" spans="1:9" x14ac:dyDescent="0.25">
      <c r="A50" t="s">
        <v>20</v>
      </c>
      <c r="B50" t="s">
        <v>19</v>
      </c>
      <c r="C50">
        <v>30.811704922812396</v>
      </c>
      <c r="D50">
        <v>4.9547134472881149</v>
      </c>
      <c r="E50">
        <v>0.15266316871493199</v>
      </c>
      <c r="F50">
        <v>20</v>
      </c>
      <c r="G50" t="s">
        <v>115</v>
      </c>
      <c r="H50">
        <v>3.0532633742986399E-3</v>
      </c>
      <c r="I50" t="s">
        <v>77</v>
      </c>
    </row>
    <row r="51" spans="1:9" x14ac:dyDescent="0.25">
      <c r="A51" t="s">
        <v>20</v>
      </c>
      <c r="B51" t="s">
        <v>51</v>
      </c>
      <c r="C51">
        <v>24844.82569135401</v>
      </c>
      <c r="D51">
        <v>6.8278645513328004E-2</v>
      </c>
      <c r="E51">
        <v>1.6963710462203849</v>
      </c>
      <c r="F51">
        <v>20</v>
      </c>
      <c r="G51" t="s">
        <v>115</v>
      </c>
      <c r="H51">
        <v>3.3927420924407696E-2</v>
      </c>
      <c r="I51" t="s">
        <v>52</v>
      </c>
    </row>
    <row r="52" spans="1:9" x14ac:dyDescent="0.25">
      <c r="A52" t="s">
        <v>20</v>
      </c>
      <c r="B52" t="s">
        <v>53</v>
      </c>
      <c r="C52">
        <v>7576.7908136753358</v>
      </c>
      <c r="D52">
        <v>0.17702392708397813</v>
      </c>
      <c r="E52">
        <v>1.341273264530618</v>
      </c>
      <c r="F52">
        <v>20</v>
      </c>
      <c r="G52" t="s">
        <v>115</v>
      </c>
      <c r="H52">
        <v>2.682546529061236E-2</v>
      </c>
      <c r="I52" t="s">
        <v>54</v>
      </c>
    </row>
    <row r="53" spans="1:9" x14ac:dyDescent="0.25">
      <c r="A53" t="s">
        <v>20</v>
      </c>
      <c r="B53" t="s">
        <v>46</v>
      </c>
      <c r="C53">
        <v>3171.679875492001</v>
      </c>
      <c r="D53">
        <v>1.2372172666666665E-2</v>
      </c>
      <c r="E53">
        <v>3.9240571062978867E-2</v>
      </c>
      <c r="F53">
        <v>20</v>
      </c>
      <c r="G53" t="s">
        <v>115</v>
      </c>
      <c r="H53">
        <v>7.8481142125957741E-4</v>
      </c>
      <c r="I53" t="s">
        <v>45</v>
      </c>
    </row>
    <row r="54" spans="1:9" x14ac:dyDescent="0.25">
      <c r="A54" t="s">
        <v>20</v>
      </c>
      <c r="B54" t="s">
        <v>49</v>
      </c>
      <c r="C54">
        <v>1938.2488128006673</v>
      </c>
      <c r="D54">
        <v>1.8872181818181819E-2</v>
      </c>
      <c r="E54">
        <v>3.6578984004049256E-2</v>
      </c>
      <c r="F54">
        <v>20</v>
      </c>
      <c r="G54" t="s">
        <v>115</v>
      </c>
      <c r="H54">
        <v>7.3157968008098501E-4</v>
      </c>
      <c r="I54" t="s">
        <v>45</v>
      </c>
    </row>
    <row r="55" spans="1:9" x14ac:dyDescent="0.25">
      <c r="A55" t="s">
        <v>20</v>
      </c>
      <c r="B55" t="s">
        <v>50</v>
      </c>
      <c r="C55">
        <v>8986.4263138940023</v>
      </c>
      <c r="D55">
        <v>2.15567677E-2</v>
      </c>
      <c r="E55">
        <v>0.19371830450178029</v>
      </c>
      <c r="F55">
        <v>20</v>
      </c>
      <c r="G55" t="s">
        <v>115</v>
      </c>
      <c r="H55">
        <v>3.8743660900356059E-3</v>
      </c>
      <c r="I55" t="s">
        <v>45</v>
      </c>
    </row>
    <row r="56" spans="1:9" x14ac:dyDescent="0.25">
      <c r="A56" t="s">
        <v>20</v>
      </c>
      <c r="B56" t="s">
        <v>55</v>
      </c>
      <c r="C56">
        <v>881.02218763666701</v>
      </c>
      <c r="D56">
        <v>3.0273884000000008E-2</v>
      </c>
      <c r="E56">
        <v>2.6671963509938699E-2</v>
      </c>
      <c r="F56">
        <v>20</v>
      </c>
      <c r="G56" t="s">
        <v>115</v>
      </c>
      <c r="H56">
        <v>5.3343927019877397E-4</v>
      </c>
      <c r="I56" t="s">
        <v>45</v>
      </c>
    </row>
    <row r="57" spans="1:9" x14ac:dyDescent="0.25">
      <c r="A57" t="s">
        <v>20</v>
      </c>
      <c r="B57" t="s">
        <v>56</v>
      </c>
      <c r="C57">
        <v>8810.2218763666697</v>
      </c>
      <c r="D57">
        <v>7.5094716637499987E-3</v>
      </c>
      <c r="E57">
        <v>6.6160111531925844E-2</v>
      </c>
      <c r="F57">
        <v>20</v>
      </c>
      <c r="G57" t="s">
        <v>115</v>
      </c>
      <c r="H57">
        <v>1.3232022306385169E-3</v>
      </c>
      <c r="I57" t="s">
        <v>45</v>
      </c>
    </row>
    <row r="58" spans="1:9" x14ac:dyDescent="0.25">
      <c r="A58" t="s">
        <v>20</v>
      </c>
      <c r="B58" t="s">
        <v>57</v>
      </c>
      <c r="C58">
        <v>15505.990502405339</v>
      </c>
      <c r="D58">
        <v>1.5135255999999999E-3</v>
      </c>
      <c r="E58">
        <v>2.346871357874734E-2</v>
      </c>
      <c r="F58">
        <v>20</v>
      </c>
      <c r="G58" t="s">
        <v>115</v>
      </c>
      <c r="H58">
        <v>4.6937427157494683E-4</v>
      </c>
      <c r="I58" t="s">
        <v>45</v>
      </c>
    </row>
    <row r="59" spans="1:9" x14ac:dyDescent="0.25">
      <c r="A59" t="s">
        <v>20</v>
      </c>
      <c r="B59" t="s">
        <v>58</v>
      </c>
      <c r="C59">
        <v>3700.2931880740011</v>
      </c>
      <c r="D59">
        <v>2.0060116E-3</v>
      </c>
      <c r="E59">
        <v>7.4228310586774279E-3</v>
      </c>
      <c r="F59">
        <v>20</v>
      </c>
      <c r="G59" t="s">
        <v>115</v>
      </c>
      <c r="H59">
        <v>1.4845662117354854E-4</v>
      </c>
      <c r="I59" t="s">
        <v>45</v>
      </c>
    </row>
    <row r="60" spans="1:9" x14ac:dyDescent="0.25">
      <c r="A60" t="s">
        <v>20</v>
      </c>
      <c r="B60" t="s">
        <v>59</v>
      </c>
      <c r="C60">
        <v>1409.6355002186672</v>
      </c>
      <c r="D60">
        <v>3.4694274999999999E-3</v>
      </c>
      <c r="E60">
        <v>4.8906281694348994E-3</v>
      </c>
      <c r="F60">
        <v>20</v>
      </c>
      <c r="G60" t="s">
        <v>115</v>
      </c>
      <c r="H60">
        <v>9.7812563388697976E-5</v>
      </c>
      <c r="I60" t="s">
        <v>45</v>
      </c>
    </row>
    <row r="61" spans="1:9" x14ac:dyDescent="0.25">
      <c r="A61" t="s">
        <v>20</v>
      </c>
      <c r="B61" t="s">
        <v>61</v>
      </c>
      <c r="C61">
        <v>704.81775010933359</v>
      </c>
      <c r="D61">
        <v>6.7003571250000005E-2</v>
      </c>
      <c r="E61">
        <v>4.7225306337715434E-2</v>
      </c>
      <c r="F61">
        <v>20</v>
      </c>
      <c r="G61" t="s">
        <v>115</v>
      </c>
      <c r="H61">
        <v>9.4450612675430867E-4</v>
      </c>
      <c r="I61" t="s">
        <v>45</v>
      </c>
    </row>
    <row r="62" spans="1:9" x14ac:dyDescent="0.25">
      <c r="A62" t="s">
        <v>20</v>
      </c>
      <c r="B62" t="s">
        <v>62</v>
      </c>
      <c r="C62">
        <v>352.40887505466679</v>
      </c>
      <c r="D62">
        <v>0.35489948000000004</v>
      </c>
      <c r="E62">
        <v>0.12506972650428624</v>
      </c>
      <c r="F62">
        <v>20</v>
      </c>
      <c r="G62" t="s">
        <v>115</v>
      </c>
      <c r="H62">
        <v>2.501394530085725E-3</v>
      </c>
      <c r="I62" t="s">
        <v>45</v>
      </c>
    </row>
    <row r="63" spans="1:9" x14ac:dyDescent="0.25">
      <c r="A63" t="s">
        <v>20</v>
      </c>
      <c r="B63" t="s">
        <v>64</v>
      </c>
      <c r="C63">
        <v>1938.2488128006673</v>
      </c>
      <c r="D63">
        <v>2.0948421200000004E-2</v>
      </c>
      <c r="E63">
        <v>4.0603252520948339E-2</v>
      </c>
      <c r="F63">
        <v>20</v>
      </c>
      <c r="G63" t="s">
        <v>115</v>
      </c>
      <c r="H63">
        <v>8.120650504189668E-4</v>
      </c>
      <c r="I63" t="s">
        <v>45</v>
      </c>
    </row>
    <row r="64" spans="1:9" x14ac:dyDescent="0.25">
      <c r="A64" t="s">
        <v>20</v>
      </c>
      <c r="B64" t="s">
        <v>65</v>
      </c>
      <c r="C64">
        <v>881.02218763666701</v>
      </c>
      <c r="D64">
        <v>4.239148144000001E-2</v>
      </c>
      <c r="E64">
        <v>3.7347835715427977E-2</v>
      </c>
      <c r="F64">
        <v>20</v>
      </c>
      <c r="G64" t="s">
        <v>115</v>
      </c>
      <c r="H64">
        <v>7.4695671430855958E-4</v>
      </c>
      <c r="I64" t="s">
        <v>45</v>
      </c>
    </row>
    <row r="65" spans="1:9" x14ac:dyDescent="0.25">
      <c r="A65" t="s">
        <v>20</v>
      </c>
      <c r="B65" t="s">
        <v>67</v>
      </c>
      <c r="C65">
        <v>2114.4532503280006</v>
      </c>
      <c r="D65">
        <v>2.0753616666666669E-2</v>
      </c>
      <c r="E65">
        <v>4.3882552216894702E-2</v>
      </c>
      <c r="F65">
        <v>20</v>
      </c>
      <c r="G65" t="s">
        <v>115</v>
      </c>
      <c r="H65">
        <v>8.7765104433789394E-4</v>
      </c>
      <c r="I65" t="s">
        <v>45</v>
      </c>
    </row>
    <row r="66" spans="1:9" x14ac:dyDescent="0.25">
      <c r="A66" t="s">
        <v>20</v>
      </c>
      <c r="B66" t="s">
        <v>68</v>
      </c>
      <c r="C66">
        <v>176.2044375273334</v>
      </c>
      <c r="D66">
        <v>5.0804420471999998E-2</v>
      </c>
      <c r="E66">
        <v>8.9519643331709003E-3</v>
      </c>
      <c r="F66">
        <v>20</v>
      </c>
      <c r="G66" t="s">
        <v>115</v>
      </c>
      <c r="H66">
        <v>1.79039286663418E-4</v>
      </c>
      <c r="I66" t="s">
        <v>45</v>
      </c>
    </row>
    <row r="67" spans="1:9" x14ac:dyDescent="0.25">
      <c r="A67" t="s">
        <v>20</v>
      </c>
      <c r="B67" t="s">
        <v>69</v>
      </c>
      <c r="C67">
        <v>1938.2488128006673</v>
      </c>
      <c r="D67">
        <v>7.5950989097454555E-2</v>
      </c>
      <c r="E67">
        <v>0.14721191444917772</v>
      </c>
      <c r="F67">
        <v>20</v>
      </c>
      <c r="G67" t="s">
        <v>115</v>
      </c>
      <c r="H67">
        <v>2.9442382889835542E-3</v>
      </c>
      <c r="I67" t="s">
        <v>45</v>
      </c>
    </row>
    <row r="68" spans="1:9" x14ac:dyDescent="0.25">
      <c r="A68" t="s">
        <v>22</v>
      </c>
      <c r="B68" t="s">
        <v>23</v>
      </c>
      <c r="C68">
        <v>22.611815709483292</v>
      </c>
      <c r="D68">
        <v>0.39191324427547541</v>
      </c>
      <c r="E68">
        <v>8.8618700536627574E-3</v>
      </c>
      <c r="F68">
        <v>13</v>
      </c>
      <c r="G68" t="s">
        <v>116</v>
      </c>
      <c r="H68">
        <v>1.1520431069761585E-4</v>
      </c>
      <c r="I68" t="s">
        <v>73</v>
      </c>
    </row>
    <row r="69" spans="1:9" x14ac:dyDescent="0.25">
      <c r="A69" t="s">
        <v>22</v>
      </c>
      <c r="B69" t="s">
        <v>6</v>
      </c>
      <c r="C69">
        <v>390.05382098858684</v>
      </c>
      <c r="D69">
        <v>1.1032030734115221</v>
      </c>
      <c r="E69">
        <v>0.43030857411051671</v>
      </c>
      <c r="F69">
        <v>13</v>
      </c>
      <c r="G69" t="s">
        <v>116</v>
      </c>
      <c r="H69">
        <v>5.5940114634367172E-3</v>
      </c>
      <c r="I69" t="s">
        <v>73</v>
      </c>
    </row>
    <row r="70" spans="1:9" x14ac:dyDescent="0.25">
      <c r="A70" t="s">
        <v>22</v>
      </c>
      <c r="B70" t="s">
        <v>8</v>
      </c>
      <c r="C70">
        <v>11.129253044511309</v>
      </c>
      <c r="D70">
        <v>2.3537268593764229</v>
      </c>
      <c r="E70">
        <v>2.6195221815663097E-2</v>
      </c>
      <c r="F70">
        <v>13</v>
      </c>
      <c r="G70" t="s">
        <v>116</v>
      </c>
      <c r="H70">
        <v>3.4053788360362025E-4</v>
      </c>
      <c r="I70" t="s">
        <v>74</v>
      </c>
    </row>
    <row r="71" spans="1:9" x14ac:dyDescent="0.25">
      <c r="A71" t="s">
        <v>22</v>
      </c>
      <c r="B71" t="s">
        <v>9</v>
      </c>
      <c r="C71">
        <v>33.917723564224943</v>
      </c>
      <c r="D71">
        <v>1.3171127729064684</v>
      </c>
      <c r="E71">
        <v>4.4673466934351383E-2</v>
      </c>
      <c r="F71">
        <v>13</v>
      </c>
      <c r="G71" t="s">
        <v>116</v>
      </c>
      <c r="H71">
        <v>5.8075507014656799E-4</v>
      </c>
      <c r="I71" t="s">
        <v>75</v>
      </c>
    </row>
    <row r="72" spans="1:9" x14ac:dyDescent="0.25">
      <c r="A72" t="s">
        <v>22</v>
      </c>
      <c r="B72" t="s">
        <v>10</v>
      </c>
      <c r="C72">
        <v>265.6888345864287</v>
      </c>
      <c r="D72">
        <v>2.2404846085023964</v>
      </c>
      <c r="E72">
        <v>0.59527174454183263</v>
      </c>
      <c r="F72">
        <v>13</v>
      </c>
      <c r="G72" t="s">
        <v>116</v>
      </c>
      <c r="H72">
        <v>7.738532679043824E-3</v>
      </c>
      <c r="I72" t="s">
        <v>76</v>
      </c>
    </row>
    <row r="73" spans="1:9" x14ac:dyDescent="0.25">
      <c r="A73" t="s">
        <v>22</v>
      </c>
      <c r="B73" t="s">
        <v>24</v>
      </c>
      <c r="C73">
        <v>39.57067749159576</v>
      </c>
      <c r="D73">
        <v>2.8996545085717509</v>
      </c>
      <c r="E73">
        <v>0.11474129339574435</v>
      </c>
      <c r="F73">
        <v>13</v>
      </c>
      <c r="G73" t="s">
        <v>116</v>
      </c>
      <c r="H73">
        <v>1.4916368141446765E-3</v>
      </c>
      <c r="I73" t="s">
        <v>76</v>
      </c>
    </row>
    <row r="74" spans="1:9" x14ac:dyDescent="0.25">
      <c r="A74" t="s">
        <v>22</v>
      </c>
      <c r="B74" t="s">
        <v>11</v>
      </c>
      <c r="C74">
        <v>39.57067749159576</v>
      </c>
      <c r="D74">
        <v>2.122034635314261</v>
      </c>
      <c r="E74">
        <v>8.3970348180016641E-2</v>
      </c>
      <c r="F74">
        <v>13</v>
      </c>
      <c r="G74" t="s">
        <v>116</v>
      </c>
      <c r="H74">
        <v>1.0916145263402163E-3</v>
      </c>
      <c r="I74" t="s">
        <v>77</v>
      </c>
    </row>
    <row r="75" spans="1:9" x14ac:dyDescent="0.25">
      <c r="A75" t="s">
        <v>22</v>
      </c>
      <c r="B75" t="s">
        <v>25</v>
      </c>
      <c r="C75">
        <v>11.305907854741646</v>
      </c>
      <c r="D75">
        <v>0.6938437462783491</v>
      </c>
      <c r="E75">
        <v>7.8445334610117573E-3</v>
      </c>
      <c r="F75">
        <v>13</v>
      </c>
      <c r="G75" t="s">
        <v>116</v>
      </c>
      <c r="H75">
        <v>1.0197893499315284E-4</v>
      </c>
      <c r="I75" t="s">
        <v>77</v>
      </c>
    </row>
    <row r="76" spans="1:9" x14ac:dyDescent="0.25">
      <c r="A76" t="s">
        <v>22</v>
      </c>
      <c r="B76" t="s">
        <v>14</v>
      </c>
      <c r="C76">
        <v>62.182493201079055</v>
      </c>
      <c r="D76">
        <v>1.8070783281119782</v>
      </c>
      <c r="E76">
        <v>0.11236863585164039</v>
      </c>
      <c r="F76">
        <v>13</v>
      </c>
      <c r="G76" t="s">
        <v>116</v>
      </c>
      <c r="H76">
        <v>1.4607922660713252E-3</v>
      </c>
      <c r="I76" t="s">
        <v>73</v>
      </c>
    </row>
    <row r="77" spans="1:9" x14ac:dyDescent="0.25">
      <c r="A77" t="s">
        <v>22</v>
      </c>
      <c r="B77" t="s">
        <v>26</v>
      </c>
      <c r="C77">
        <v>33.917723564224943</v>
      </c>
      <c r="D77">
        <v>1.0430818720101207</v>
      </c>
      <c r="E77">
        <v>3.5378962589693537E-2</v>
      </c>
      <c r="F77">
        <v>13</v>
      </c>
      <c r="G77" t="s">
        <v>116</v>
      </c>
      <c r="H77">
        <v>4.5992651366601601E-4</v>
      </c>
      <c r="I77" t="s">
        <v>80</v>
      </c>
    </row>
    <row r="78" spans="1:9" x14ac:dyDescent="0.25">
      <c r="A78" t="s">
        <v>22</v>
      </c>
      <c r="B78" t="s">
        <v>15</v>
      </c>
      <c r="C78">
        <v>356.13609742436188</v>
      </c>
      <c r="D78">
        <v>1.4629306284059811</v>
      </c>
      <c r="E78">
        <v>0.52100240480307547</v>
      </c>
      <c r="F78">
        <v>13</v>
      </c>
      <c r="G78" t="s">
        <v>116</v>
      </c>
      <c r="H78">
        <v>6.7730312624399817E-3</v>
      </c>
      <c r="I78" t="s">
        <v>73</v>
      </c>
    </row>
    <row r="79" spans="1:9" x14ac:dyDescent="0.25">
      <c r="A79" t="s">
        <v>22</v>
      </c>
      <c r="B79" t="s">
        <v>17</v>
      </c>
      <c r="C79">
        <v>11.305907854741646</v>
      </c>
      <c r="D79">
        <v>3.1508058599075217</v>
      </c>
      <c r="E79">
        <v>3.5622720720294453E-2</v>
      </c>
      <c r="F79">
        <v>13</v>
      </c>
      <c r="G79" t="s">
        <v>116</v>
      </c>
      <c r="H79">
        <v>4.6309536936382789E-4</v>
      </c>
      <c r="I79" t="s">
        <v>77</v>
      </c>
    </row>
    <row r="80" spans="1:9" x14ac:dyDescent="0.25">
      <c r="A80" t="s">
        <v>22</v>
      </c>
      <c r="B80" t="s">
        <v>27</v>
      </c>
      <c r="C80">
        <v>11.305907854741646</v>
      </c>
      <c r="D80">
        <v>2.0943217047443188</v>
      </c>
      <c r="E80">
        <v>2.3678208212024706E-2</v>
      </c>
      <c r="F80">
        <v>13</v>
      </c>
      <c r="G80" t="s">
        <v>116</v>
      </c>
      <c r="H80">
        <v>3.0781670675632115E-4</v>
      </c>
      <c r="I80" t="s">
        <v>75</v>
      </c>
    </row>
    <row r="81" spans="1:9" x14ac:dyDescent="0.25">
      <c r="A81" t="s">
        <v>22</v>
      </c>
      <c r="B81" t="s">
        <v>28</v>
      </c>
      <c r="C81">
        <v>41.18580718513028</v>
      </c>
      <c r="D81">
        <v>11.454080990199136</v>
      </c>
      <c r="E81">
        <v>0.47174557114520776</v>
      </c>
      <c r="F81">
        <v>13</v>
      </c>
      <c r="G81" t="s">
        <v>116</v>
      </c>
      <c r="H81">
        <v>6.1326924248877009E-3</v>
      </c>
      <c r="I81" t="s">
        <v>74</v>
      </c>
    </row>
    <row r="82" spans="1:9" x14ac:dyDescent="0.25">
      <c r="A82" t="s">
        <v>22</v>
      </c>
      <c r="B82" t="s">
        <v>51</v>
      </c>
      <c r="C82">
        <v>1356.7089425689976</v>
      </c>
      <c r="D82">
        <v>0.11688357792514165</v>
      </c>
      <c r="E82">
        <v>0.15857699541049997</v>
      </c>
      <c r="F82">
        <v>13</v>
      </c>
      <c r="G82" t="s">
        <v>116</v>
      </c>
      <c r="H82">
        <v>2.0615009403364996E-3</v>
      </c>
      <c r="I82" t="s">
        <v>52</v>
      </c>
    </row>
    <row r="83" spans="1:9" x14ac:dyDescent="0.25">
      <c r="A83" t="s">
        <v>22</v>
      </c>
      <c r="B83" t="s">
        <v>53</v>
      </c>
      <c r="C83">
        <v>20350.634138534966</v>
      </c>
      <c r="D83">
        <v>0.17578625884045021</v>
      </c>
      <c r="E83">
        <v>3.5773618402438099</v>
      </c>
      <c r="F83">
        <v>13</v>
      </c>
      <c r="G83" t="s">
        <v>116</v>
      </c>
      <c r="H83">
        <v>4.6505703923169529E-2</v>
      </c>
      <c r="I83" t="s">
        <v>54</v>
      </c>
    </row>
    <row r="84" spans="1:9" x14ac:dyDescent="0.25">
      <c r="A84" t="s">
        <v>22</v>
      </c>
      <c r="B84" t="s">
        <v>44</v>
      </c>
      <c r="C84">
        <v>678.3544712844988</v>
      </c>
      <c r="D84">
        <v>3.6713999999999997E-2</v>
      </c>
      <c r="E84">
        <v>2.4905106058739086E-2</v>
      </c>
      <c r="F84">
        <v>13</v>
      </c>
      <c r="G84" t="s">
        <v>116</v>
      </c>
      <c r="H84">
        <v>3.2376637876360817E-4</v>
      </c>
      <c r="I84" t="s">
        <v>45</v>
      </c>
    </row>
    <row r="85" spans="1:9" x14ac:dyDescent="0.25">
      <c r="A85" t="s">
        <v>22</v>
      </c>
      <c r="B85" t="s">
        <v>46</v>
      </c>
      <c r="C85">
        <v>16958.861782112472</v>
      </c>
      <c r="D85">
        <v>1.6219134E-2</v>
      </c>
      <c r="E85">
        <v>0.27505805173156095</v>
      </c>
      <c r="F85">
        <v>13</v>
      </c>
      <c r="G85" t="s">
        <v>116</v>
      </c>
      <c r="H85">
        <v>3.5757546725102922E-3</v>
      </c>
      <c r="I85" t="s">
        <v>45</v>
      </c>
    </row>
    <row r="86" spans="1:9" x14ac:dyDescent="0.25">
      <c r="A86" t="s">
        <v>22</v>
      </c>
      <c r="B86" t="s">
        <v>47</v>
      </c>
      <c r="C86">
        <v>678.3544712844988</v>
      </c>
      <c r="D86">
        <v>4.0728804138750005</v>
      </c>
      <c r="E86">
        <v>2.7628566397591667</v>
      </c>
      <c r="F86">
        <v>13</v>
      </c>
      <c r="G86" t="s">
        <v>116</v>
      </c>
      <c r="H86">
        <v>3.5917136316869165E-2</v>
      </c>
      <c r="I86" t="s">
        <v>45</v>
      </c>
    </row>
    <row r="87" spans="1:9" x14ac:dyDescent="0.25">
      <c r="A87" t="s">
        <v>22</v>
      </c>
      <c r="B87" t="s">
        <v>48</v>
      </c>
      <c r="C87">
        <v>678.3544712844988</v>
      </c>
      <c r="D87">
        <v>3.0884396967450001</v>
      </c>
      <c r="E87">
        <v>2.0950568775795122</v>
      </c>
      <c r="F87">
        <v>13</v>
      </c>
      <c r="G87" t="s">
        <v>116</v>
      </c>
      <c r="H87">
        <v>2.7235739408533657E-2</v>
      </c>
      <c r="I87" t="s">
        <v>45</v>
      </c>
    </row>
    <row r="88" spans="1:9" x14ac:dyDescent="0.25">
      <c r="A88" t="s">
        <v>22</v>
      </c>
      <c r="B88" t="s">
        <v>49</v>
      </c>
      <c r="C88">
        <v>4070.126827706993</v>
      </c>
      <c r="D88">
        <v>2.0129265E-2</v>
      </c>
      <c r="E88">
        <v>8.1928661498523417E-2</v>
      </c>
      <c r="F88">
        <v>13</v>
      </c>
      <c r="G88" t="s">
        <v>116</v>
      </c>
      <c r="H88">
        <v>1.0650725994808044E-3</v>
      </c>
      <c r="I88" t="s">
        <v>45</v>
      </c>
    </row>
    <row r="89" spans="1:9" x14ac:dyDescent="0.25">
      <c r="A89" t="s">
        <v>22</v>
      </c>
      <c r="B89" t="s">
        <v>50</v>
      </c>
      <c r="C89">
        <v>37648.673156289682</v>
      </c>
      <c r="D89">
        <v>1.5981633200000005E-2</v>
      </c>
      <c r="E89">
        <v>0.60168728485050815</v>
      </c>
      <c r="F89">
        <v>13</v>
      </c>
      <c r="G89" t="s">
        <v>116</v>
      </c>
      <c r="H89">
        <v>7.8219347030566051E-3</v>
      </c>
      <c r="I89" t="s">
        <v>45</v>
      </c>
    </row>
    <row r="90" spans="1:9" x14ac:dyDescent="0.25">
      <c r="A90" t="s">
        <v>22</v>
      </c>
      <c r="B90" t="s">
        <v>55</v>
      </c>
      <c r="C90">
        <v>14923.798368258975</v>
      </c>
      <c r="D90">
        <v>2.3407846E-2</v>
      </c>
      <c r="E90">
        <v>0.34933397393925736</v>
      </c>
      <c r="F90">
        <v>13</v>
      </c>
      <c r="G90" t="s">
        <v>116</v>
      </c>
      <c r="H90">
        <v>4.541341661210346E-3</v>
      </c>
      <c r="I90" t="s">
        <v>45</v>
      </c>
    </row>
    <row r="91" spans="1:9" x14ac:dyDescent="0.25">
      <c r="A91" t="s">
        <v>22</v>
      </c>
      <c r="B91" t="s">
        <v>56</v>
      </c>
      <c r="C91">
        <v>14923.798368258975</v>
      </c>
      <c r="D91">
        <v>1.2770750705999997E-2</v>
      </c>
      <c r="E91">
        <v>0.19058810854764491</v>
      </c>
      <c r="F91">
        <v>13</v>
      </c>
      <c r="G91" t="s">
        <v>116</v>
      </c>
      <c r="H91">
        <v>2.4776454111193839E-3</v>
      </c>
      <c r="I91" t="s">
        <v>45</v>
      </c>
    </row>
    <row r="92" spans="1:9" x14ac:dyDescent="0.25">
      <c r="A92" t="s">
        <v>22</v>
      </c>
      <c r="B92" t="s">
        <v>57</v>
      </c>
      <c r="C92">
        <v>7461.8991841294874</v>
      </c>
      <c r="D92">
        <v>1.8395290000000001E-3</v>
      </c>
      <c r="E92">
        <v>1.3726379944282533E-2</v>
      </c>
      <c r="F92">
        <v>13</v>
      </c>
      <c r="G92" t="s">
        <v>116</v>
      </c>
      <c r="H92">
        <v>1.7844293927567293E-4</v>
      </c>
      <c r="I92" t="s">
        <v>45</v>
      </c>
    </row>
    <row r="93" spans="1:9" x14ac:dyDescent="0.25">
      <c r="A93" t="s">
        <v>22</v>
      </c>
      <c r="B93" t="s">
        <v>58</v>
      </c>
      <c r="C93">
        <v>1017.5317069267483</v>
      </c>
      <c r="D93">
        <v>2.5545833333333336E-3</v>
      </c>
      <c r="E93">
        <v>2.5993695396532893E-3</v>
      </c>
      <c r="F93">
        <v>13</v>
      </c>
      <c r="G93" t="s">
        <v>116</v>
      </c>
      <c r="H93">
        <v>3.3791804015492763E-5</v>
      </c>
      <c r="I93" t="s">
        <v>45</v>
      </c>
    </row>
    <row r="94" spans="1:9" x14ac:dyDescent="0.25">
      <c r="A94" t="s">
        <v>22</v>
      </c>
      <c r="B94" t="s">
        <v>59</v>
      </c>
      <c r="C94">
        <v>6105.1902415604891</v>
      </c>
      <c r="D94">
        <v>4.5800769999999992E-3</v>
      </c>
      <c r="E94">
        <v>2.7962241405995635E-2</v>
      </c>
      <c r="F94">
        <v>13</v>
      </c>
      <c r="G94" t="s">
        <v>116</v>
      </c>
      <c r="H94">
        <v>3.6350913827794322E-4</v>
      </c>
      <c r="I94" t="s">
        <v>45</v>
      </c>
    </row>
    <row r="95" spans="1:9" x14ac:dyDescent="0.25">
      <c r="A95" t="s">
        <v>22</v>
      </c>
      <c r="B95" t="s">
        <v>60</v>
      </c>
      <c r="C95">
        <v>1695.8861782112469</v>
      </c>
      <c r="D95">
        <v>1.7265924000000002E-3</v>
      </c>
      <c r="E95">
        <v>2.9281041865645849E-3</v>
      </c>
      <c r="F95">
        <v>13</v>
      </c>
      <c r="G95" t="s">
        <v>116</v>
      </c>
      <c r="H95">
        <v>3.8065354425339604E-5</v>
      </c>
      <c r="I95" t="s">
        <v>45</v>
      </c>
    </row>
    <row r="96" spans="1:9" x14ac:dyDescent="0.25">
      <c r="A96" t="s">
        <v>22</v>
      </c>
      <c r="B96" t="s">
        <v>62</v>
      </c>
      <c r="C96">
        <v>2374.2406494957459</v>
      </c>
      <c r="D96">
        <v>0.18475111428571431</v>
      </c>
      <c r="E96">
        <v>0.43864360557677712</v>
      </c>
      <c r="F96">
        <v>13</v>
      </c>
      <c r="G96" t="s">
        <v>116</v>
      </c>
      <c r="H96">
        <v>5.7023668724981028E-3</v>
      </c>
      <c r="I96" t="s">
        <v>45</v>
      </c>
    </row>
    <row r="97" spans="1:9" x14ac:dyDescent="0.25">
      <c r="A97" t="s">
        <v>22</v>
      </c>
      <c r="B97" t="s">
        <v>64</v>
      </c>
      <c r="C97">
        <v>1695.8861782112469</v>
      </c>
      <c r="D97">
        <v>4.243187256E-2</v>
      </c>
      <c r="E97">
        <v>7.1959626190125081E-2</v>
      </c>
      <c r="F97">
        <v>13</v>
      </c>
      <c r="G97" t="s">
        <v>116</v>
      </c>
      <c r="H97">
        <v>9.3547514047162604E-4</v>
      </c>
      <c r="I97" t="s">
        <v>45</v>
      </c>
    </row>
    <row r="98" spans="1:9" x14ac:dyDescent="0.25">
      <c r="A98" t="s">
        <v>22</v>
      </c>
      <c r="B98" t="s">
        <v>65</v>
      </c>
      <c r="C98">
        <v>5766.0130059182402</v>
      </c>
      <c r="D98">
        <v>4.7420283317647069E-2</v>
      </c>
      <c r="E98">
        <v>0.27342597035388078</v>
      </c>
      <c r="F98">
        <v>13</v>
      </c>
      <c r="G98" t="s">
        <v>116</v>
      </c>
      <c r="H98">
        <v>3.5545376146004499E-3</v>
      </c>
      <c r="I98" t="s">
        <v>45</v>
      </c>
    </row>
    <row r="99" spans="1:9" x14ac:dyDescent="0.25">
      <c r="A99" t="s">
        <v>22</v>
      </c>
      <c r="B99" t="s">
        <v>67</v>
      </c>
      <c r="C99">
        <v>39683.736570143177</v>
      </c>
      <c r="D99">
        <v>1.7367030499999998E-2</v>
      </c>
      <c r="E99">
        <v>0.68918866336764184</v>
      </c>
      <c r="F99">
        <v>13</v>
      </c>
      <c r="G99" t="s">
        <v>116</v>
      </c>
      <c r="H99">
        <v>8.9594526237793438E-3</v>
      </c>
      <c r="I99" t="s">
        <v>45</v>
      </c>
    </row>
    <row r="100" spans="1:9" x14ac:dyDescent="0.25">
      <c r="A100" t="s">
        <v>22</v>
      </c>
      <c r="B100" t="s">
        <v>68</v>
      </c>
      <c r="C100">
        <v>2035.0634138534965</v>
      </c>
      <c r="D100">
        <v>1.1786965995999999E-2</v>
      </c>
      <c r="E100">
        <v>2.3987223258794838E-2</v>
      </c>
      <c r="F100">
        <v>13</v>
      </c>
      <c r="G100" t="s">
        <v>116</v>
      </c>
      <c r="H100">
        <v>3.1183390236433291E-4</v>
      </c>
      <c r="I100" t="s">
        <v>45</v>
      </c>
    </row>
    <row r="101" spans="1:9" x14ac:dyDescent="0.25">
      <c r="A101" t="s">
        <v>22</v>
      </c>
      <c r="B101" t="s">
        <v>69</v>
      </c>
      <c r="C101">
        <v>1017.5317069267483</v>
      </c>
      <c r="D101">
        <v>0.15695818028800002</v>
      </c>
      <c r="E101">
        <v>0.15970992510456494</v>
      </c>
      <c r="F101">
        <v>13</v>
      </c>
      <c r="G101" t="s">
        <v>116</v>
      </c>
      <c r="H101">
        <v>2.0762290263593441E-3</v>
      </c>
      <c r="I101" t="s">
        <v>45</v>
      </c>
    </row>
    <row r="102" spans="1:9" x14ac:dyDescent="0.25">
      <c r="A102" t="s">
        <v>29</v>
      </c>
      <c r="B102" t="s">
        <v>6</v>
      </c>
      <c r="C102">
        <v>4416.0876080620874</v>
      </c>
      <c r="D102">
        <v>1.1289691514204145</v>
      </c>
      <c r="E102">
        <v>4.9856266794720634</v>
      </c>
      <c r="F102">
        <v>20</v>
      </c>
      <c r="G102" t="s">
        <v>117</v>
      </c>
      <c r="H102">
        <v>9.9712533589441266E-2</v>
      </c>
      <c r="I102" t="s">
        <v>73</v>
      </c>
    </row>
    <row r="103" spans="1:9" x14ac:dyDescent="0.25">
      <c r="A103" t="s">
        <v>29</v>
      </c>
      <c r="B103" t="s">
        <v>7</v>
      </c>
      <c r="C103">
        <v>17.250342218992529</v>
      </c>
      <c r="D103">
        <v>25.204132255699143</v>
      </c>
      <c r="E103">
        <v>0.43477990674355832</v>
      </c>
      <c r="F103">
        <v>20</v>
      </c>
      <c r="G103" t="s">
        <v>117</v>
      </c>
      <c r="H103">
        <v>8.6955981348711669E-3</v>
      </c>
      <c r="I103" t="s">
        <v>74</v>
      </c>
    </row>
    <row r="104" spans="1:9" x14ac:dyDescent="0.25">
      <c r="A104" t="s">
        <v>29</v>
      </c>
      <c r="B104" t="s">
        <v>9</v>
      </c>
      <c r="C104">
        <v>1682.3190887855569</v>
      </c>
      <c r="D104">
        <v>0.16122091786946396</v>
      </c>
      <c r="E104">
        <v>0.27122502764332773</v>
      </c>
      <c r="F104">
        <v>20</v>
      </c>
      <c r="G104" t="s">
        <v>117</v>
      </c>
      <c r="H104">
        <v>5.4245005528665543E-3</v>
      </c>
      <c r="I104" t="s">
        <v>75</v>
      </c>
    </row>
    <row r="105" spans="1:9" x14ac:dyDescent="0.25">
      <c r="A105" t="s">
        <v>29</v>
      </c>
      <c r="B105" t="s">
        <v>24</v>
      </c>
      <c r="C105">
        <v>4416.0876080620874</v>
      </c>
      <c r="D105">
        <v>2.0484484219823846</v>
      </c>
      <c r="E105">
        <v>9.0461276920707459</v>
      </c>
      <c r="F105">
        <v>20</v>
      </c>
      <c r="G105" t="s">
        <v>117</v>
      </c>
      <c r="H105">
        <v>0.18092255384141492</v>
      </c>
      <c r="I105" t="s">
        <v>76</v>
      </c>
    </row>
    <row r="106" spans="1:9" x14ac:dyDescent="0.25">
      <c r="A106" t="s">
        <v>29</v>
      </c>
      <c r="B106" t="s">
        <v>11</v>
      </c>
      <c r="C106">
        <v>420.57977219638923</v>
      </c>
      <c r="D106">
        <v>1.0934180984162742</v>
      </c>
      <c r="E106">
        <v>0.45986953474732573</v>
      </c>
      <c r="F106">
        <v>20</v>
      </c>
      <c r="G106" t="s">
        <v>117</v>
      </c>
      <c r="H106">
        <v>9.197390694946515E-3</v>
      </c>
      <c r="I106" t="s">
        <v>77</v>
      </c>
    </row>
    <row r="107" spans="1:9" x14ac:dyDescent="0.25">
      <c r="A107" t="s">
        <v>29</v>
      </c>
      <c r="B107" t="s">
        <v>12</v>
      </c>
      <c r="C107">
        <v>280.38651479759284</v>
      </c>
      <c r="D107">
        <v>4.4126713569042701</v>
      </c>
      <c r="E107">
        <v>1.2372535427095532</v>
      </c>
      <c r="F107">
        <v>20</v>
      </c>
      <c r="G107" t="s">
        <v>117</v>
      </c>
      <c r="H107">
        <v>2.4745070854191063E-2</v>
      </c>
      <c r="I107" t="s">
        <v>75</v>
      </c>
    </row>
    <row r="108" spans="1:9" x14ac:dyDescent="0.25">
      <c r="A108" t="s">
        <v>29</v>
      </c>
      <c r="B108" t="s">
        <v>14</v>
      </c>
      <c r="C108">
        <v>1401.9325739879639</v>
      </c>
      <c r="D108">
        <v>1.3960960955799102</v>
      </c>
      <c r="E108">
        <v>1.95723259281089</v>
      </c>
      <c r="F108">
        <v>20</v>
      </c>
      <c r="G108" t="s">
        <v>117</v>
      </c>
      <c r="H108">
        <v>3.9144651856217801E-2</v>
      </c>
      <c r="I108" t="s">
        <v>73</v>
      </c>
    </row>
    <row r="109" spans="1:9" x14ac:dyDescent="0.25">
      <c r="A109" t="s">
        <v>29</v>
      </c>
      <c r="B109" t="s">
        <v>15</v>
      </c>
      <c r="C109">
        <v>4416.0876080620874</v>
      </c>
      <c r="D109">
        <v>1.7751707590370018</v>
      </c>
      <c r="E109">
        <v>7.8393095911774733</v>
      </c>
      <c r="F109">
        <v>20</v>
      </c>
      <c r="G109" t="s">
        <v>117</v>
      </c>
      <c r="H109">
        <v>0.15678619182354947</v>
      </c>
      <c r="I109" t="s">
        <v>73</v>
      </c>
    </row>
    <row r="110" spans="1:9" x14ac:dyDescent="0.25">
      <c r="A110" t="s">
        <v>29</v>
      </c>
      <c r="B110" t="s">
        <v>18</v>
      </c>
      <c r="C110">
        <v>150.20706149871043</v>
      </c>
      <c r="D110">
        <v>9.171013055337049</v>
      </c>
      <c r="E110">
        <v>1.3775509220084885</v>
      </c>
      <c r="F110">
        <v>20</v>
      </c>
      <c r="G110" t="s">
        <v>117</v>
      </c>
      <c r="H110">
        <v>2.7551018440169769E-2</v>
      </c>
      <c r="I110" t="s">
        <v>74</v>
      </c>
    </row>
    <row r="111" spans="1:9" x14ac:dyDescent="0.25">
      <c r="A111" t="s">
        <v>29</v>
      </c>
      <c r="B111" t="s">
        <v>28</v>
      </c>
      <c r="C111">
        <v>4416.0876080620874</v>
      </c>
      <c r="D111">
        <v>4.9633790616902944</v>
      </c>
      <c r="E111">
        <v>21.918716768445343</v>
      </c>
      <c r="F111">
        <v>20</v>
      </c>
      <c r="G111" t="s">
        <v>117</v>
      </c>
      <c r="H111">
        <v>0.43837433536890685</v>
      </c>
      <c r="I111" t="s">
        <v>74</v>
      </c>
    </row>
    <row r="112" spans="1:9" x14ac:dyDescent="0.25">
      <c r="A112" t="s">
        <v>29</v>
      </c>
      <c r="B112" t="s">
        <v>19</v>
      </c>
      <c r="C112">
        <v>140.19325739879642</v>
      </c>
      <c r="D112">
        <v>6.5310941522602439</v>
      </c>
      <c r="E112">
        <v>0.91561536358359441</v>
      </c>
      <c r="F112">
        <v>20</v>
      </c>
      <c r="G112" t="s">
        <v>117</v>
      </c>
      <c r="H112">
        <v>1.8312307271671886E-2</v>
      </c>
      <c r="I112" t="s">
        <v>77</v>
      </c>
    </row>
    <row r="113" spans="1:9" x14ac:dyDescent="0.25">
      <c r="A113" t="s">
        <v>29</v>
      </c>
      <c r="B113" t="s">
        <v>51</v>
      </c>
      <c r="C113">
        <v>81106.18044449744</v>
      </c>
      <c r="D113">
        <v>0.10232042920425224</v>
      </c>
      <c r="E113">
        <v>8.2988191941985079</v>
      </c>
      <c r="F113">
        <v>20</v>
      </c>
      <c r="G113" t="s">
        <v>117</v>
      </c>
      <c r="H113">
        <v>0.16597638388397015</v>
      </c>
      <c r="I113" t="s">
        <v>52</v>
      </c>
    </row>
    <row r="114" spans="1:9" x14ac:dyDescent="0.25">
      <c r="A114" t="s">
        <v>29</v>
      </c>
      <c r="B114" t="s">
        <v>53</v>
      </c>
      <c r="C114">
        <v>467553.27550357347</v>
      </c>
      <c r="D114">
        <v>0.22189466837442962</v>
      </c>
      <c r="E114">
        <v>103.74757901524376</v>
      </c>
      <c r="F114">
        <v>20</v>
      </c>
      <c r="G114" t="s">
        <v>117</v>
      </c>
      <c r="H114">
        <v>2.0749515803048753</v>
      </c>
      <c r="I114" t="s">
        <v>54</v>
      </c>
    </row>
    <row r="115" spans="1:9" x14ac:dyDescent="0.25">
      <c r="A115" t="s">
        <v>29</v>
      </c>
      <c r="B115" t="s">
        <v>46</v>
      </c>
      <c r="C115">
        <v>22264.441690646356</v>
      </c>
      <c r="D115">
        <v>1.3422860571428575E-2</v>
      </c>
      <c r="E115">
        <v>0.29885249651424756</v>
      </c>
      <c r="F115">
        <v>20</v>
      </c>
      <c r="G115" t="s">
        <v>117</v>
      </c>
      <c r="H115">
        <v>5.9770499302849514E-3</v>
      </c>
      <c r="I115" t="s">
        <v>45</v>
      </c>
    </row>
    <row r="116" spans="1:9" x14ac:dyDescent="0.25">
      <c r="A116" t="s">
        <v>29</v>
      </c>
      <c r="B116" t="s">
        <v>48</v>
      </c>
      <c r="C116">
        <v>4770.9517908527905</v>
      </c>
      <c r="D116">
        <v>1.6740001951399999</v>
      </c>
      <c r="E116">
        <v>7.9865742288911035</v>
      </c>
      <c r="F116">
        <v>20</v>
      </c>
      <c r="G116" t="s">
        <v>117</v>
      </c>
      <c r="H116">
        <v>0.15973148457782207</v>
      </c>
      <c r="I116" t="s">
        <v>45</v>
      </c>
    </row>
    <row r="117" spans="1:9" x14ac:dyDescent="0.25">
      <c r="A117" t="s">
        <v>29</v>
      </c>
      <c r="B117" t="s">
        <v>49</v>
      </c>
      <c r="C117">
        <v>7951.5863180879842</v>
      </c>
      <c r="D117">
        <v>1.0785384E-2</v>
      </c>
      <c r="E117">
        <v>8.5760911849725063E-2</v>
      </c>
      <c r="F117">
        <v>20</v>
      </c>
      <c r="G117" t="s">
        <v>117</v>
      </c>
      <c r="H117">
        <v>1.7152182369945012E-3</v>
      </c>
      <c r="I117" t="s">
        <v>45</v>
      </c>
    </row>
    <row r="118" spans="1:9" x14ac:dyDescent="0.25">
      <c r="A118" t="s">
        <v>29</v>
      </c>
      <c r="B118" t="s">
        <v>50</v>
      </c>
      <c r="C118">
        <v>200379.97521581719</v>
      </c>
      <c r="D118">
        <v>1.4191183500000001E-2</v>
      </c>
      <c r="E118">
        <v>2.8436289980131142</v>
      </c>
      <c r="F118">
        <v>20</v>
      </c>
      <c r="G118" t="s">
        <v>117</v>
      </c>
      <c r="H118">
        <v>5.6872579960262286E-2</v>
      </c>
      <c r="I118" t="s">
        <v>45</v>
      </c>
    </row>
    <row r="119" spans="1:9" x14ac:dyDescent="0.25">
      <c r="A119" t="s">
        <v>29</v>
      </c>
      <c r="B119" t="s">
        <v>55</v>
      </c>
      <c r="C119">
        <v>9541.903581705581</v>
      </c>
      <c r="D119">
        <v>2.2810520000000001E-2</v>
      </c>
      <c r="E119">
        <v>0.21765578248856679</v>
      </c>
      <c r="F119">
        <v>20</v>
      </c>
      <c r="G119" t="s">
        <v>117</v>
      </c>
      <c r="H119">
        <v>4.353115649771336E-3</v>
      </c>
      <c r="I119" t="s">
        <v>45</v>
      </c>
    </row>
    <row r="120" spans="1:9" x14ac:dyDescent="0.25">
      <c r="A120" t="s">
        <v>29</v>
      </c>
      <c r="B120" t="s">
        <v>56</v>
      </c>
      <c r="C120">
        <v>151080.14004367171</v>
      </c>
      <c r="D120">
        <v>1.2024781429499998E-2</v>
      </c>
      <c r="E120">
        <v>1.8167056623634026</v>
      </c>
      <c r="F120">
        <v>20</v>
      </c>
      <c r="G120" t="s">
        <v>117</v>
      </c>
      <c r="H120">
        <v>3.6334113247268048E-2</v>
      </c>
      <c r="I120" t="s">
        <v>45</v>
      </c>
    </row>
    <row r="121" spans="1:9" x14ac:dyDescent="0.25">
      <c r="A121" t="s">
        <v>29</v>
      </c>
      <c r="B121" t="s">
        <v>57</v>
      </c>
      <c r="C121">
        <v>163802.67815261247</v>
      </c>
      <c r="D121">
        <v>1.8567199999999999E-3</v>
      </c>
      <c r="E121">
        <v>0.3041357085795186</v>
      </c>
      <c r="F121">
        <v>20</v>
      </c>
      <c r="G121" t="s">
        <v>117</v>
      </c>
      <c r="H121">
        <v>6.0827141715903725E-3</v>
      </c>
      <c r="I121" t="s">
        <v>45</v>
      </c>
    </row>
    <row r="122" spans="1:9" x14ac:dyDescent="0.25">
      <c r="A122" t="s">
        <v>29</v>
      </c>
      <c r="B122" t="s">
        <v>58</v>
      </c>
      <c r="C122">
        <v>1590.3172636175968</v>
      </c>
      <c r="D122">
        <v>2.1224160000000002E-3</v>
      </c>
      <c r="E122">
        <v>3.3753148053782059E-3</v>
      </c>
      <c r="F122">
        <v>20</v>
      </c>
      <c r="G122" t="s">
        <v>117</v>
      </c>
      <c r="H122">
        <v>6.7506296107564114E-5</v>
      </c>
      <c r="I122" t="s">
        <v>45</v>
      </c>
    </row>
    <row r="123" spans="1:9" x14ac:dyDescent="0.25">
      <c r="A123" t="s">
        <v>29</v>
      </c>
      <c r="B123" t="s">
        <v>59</v>
      </c>
      <c r="C123">
        <v>20674.124427028757</v>
      </c>
      <c r="D123">
        <v>4.2536264615384619E-3</v>
      </c>
      <c r="E123">
        <v>8.7940002731948214E-2</v>
      </c>
      <c r="F123">
        <v>20</v>
      </c>
      <c r="G123" t="s">
        <v>117</v>
      </c>
      <c r="H123">
        <v>1.7588000546389644E-3</v>
      </c>
      <c r="I123" t="s">
        <v>45</v>
      </c>
    </row>
    <row r="124" spans="1:9" x14ac:dyDescent="0.25">
      <c r="A124" t="s">
        <v>29</v>
      </c>
      <c r="B124" t="s">
        <v>61</v>
      </c>
      <c r="C124">
        <v>15903.172636175968</v>
      </c>
      <c r="D124">
        <v>9.4896537120000013E-2</v>
      </c>
      <c r="E124">
        <v>1.5091560123946413</v>
      </c>
      <c r="F124">
        <v>20</v>
      </c>
      <c r="G124" t="s">
        <v>117</v>
      </c>
      <c r="H124">
        <v>3.0183120247892822E-2</v>
      </c>
      <c r="I124" t="s">
        <v>45</v>
      </c>
    </row>
    <row r="125" spans="1:9" x14ac:dyDescent="0.25">
      <c r="A125" t="s">
        <v>29</v>
      </c>
      <c r="B125" t="s">
        <v>62</v>
      </c>
      <c r="C125">
        <v>4770.9517908527905</v>
      </c>
      <c r="D125">
        <v>0.35394970999999997</v>
      </c>
      <c r="E125">
        <v>1.6886770027963258</v>
      </c>
      <c r="F125">
        <v>20</v>
      </c>
      <c r="G125" t="s">
        <v>117</v>
      </c>
      <c r="H125">
        <v>3.3773540055926518E-2</v>
      </c>
      <c r="I125" t="s">
        <v>45</v>
      </c>
    </row>
    <row r="126" spans="1:9" x14ac:dyDescent="0.25">
      <c r="A126" t="s">
        <v>29</v>
      </c>
      <c r="B126" t="s">
        <v>65</v>
      </c>
      <c r="C126">
        <v>3180.6345272351937</v>
      </c>
      <c r="D126">
        <v>2.0684125000000005E-2</v>
      </c>
      <c r="E126">
        <v>6.5788642140648668E-2</v>
      </c>
      <c r="F126">
        <v>20</v>
      </c>
      <c r="G126" t="s">
        <v>117</v>
      </c>
      <c r="H126">
        <v>1.3157728428129733E-3</v>
      </c>
      <c r="I126" t="s">
        <v>45</v>
      </c>
    </row>
    <row r="127" spans="1:9" x14ac:dyDescent="0.25">
      <c r="A127" t="s">
        <v>29</v>
      </c>
      <c r="B127" t="s">
        <v>67</v>
      </c>
      <c r="C127">
        <v>6361.2690544703873</v>
      </c>
      <c r="D127">
        <v>5.7038400000000003E-2</v>
      </c>
      <c r="E127">
        <v>0.36283660883650376</v>
      </c>
      <c r="F127">
        <v>20</v>
      </c>
      <c r="G127" t="s">
        <v>117</v>
      </c>
      <c r="H127">
        <v>7.2567321767300751E-3</v>
      </c>
      <c r="I127" t="s">
        <v>45</v>
      </c>
    </row>
    <row r="128" spans="1:9" x14ac:dyDescent="0.25">
      <c r="A128" t="s">
        <v>29</v>
      </c>
      <c r="B128" t="s">
        <v>68</v>
      </c>
      <c r="C128">
        <v>49299.835172145504</v>
      </c>
      <c r="D128">
        <v>0.121465822244</v>
      </c>
      <c r="E128">
        <v>5.9882450156783253</v>
      </c>
      <c r="F128">
        <v>20</v>
      </c>
      <c r="G128" t="s">
        <v>117</v>
      </c>
      <c r="H128">
        <v>0.1197649003135665</v>
      </c>
      <c r="I128" t="s">
        <v>45</v>
      </c>
    </row>
    <row r="129" spans="1:9" x14ac:dyDescent="0.25">
      <c r="A129" t="s">
        <v>30</v>
      </c>
      <c r="B129" t="s">
        <v>6</v>
      </c>
      <c r="C129">
        <v>1814.2656839844242</v>
      </c>
      <c r="D129">
        <v>1.461930273118933</v>
      </c>
      <c r="E129">
        <v>2.6523299268976572</v>
      </c>
      <c r="F129">
        <v>16</v>
      </c>
      <c r="G129" t="s">
        <v>124</v>
      </c>
      <c r="H129">
        <v>4.2437278830362517E-2</v>
      </c>
      <c r="I129" t="s">
        <v>73</v>
      </c>
    </row>
    <row r="130" spans="1:9" x14ac:dyDescent="0.25">
      <c r="A130" t="s">
        <v>30</v>
      </c>
      <c r="B130" t="s">
        <v>7</v>
      </c>
      <c r="C130">
        <v>2.2549466952931407</v>
      </c>
      <c r="D130">
        <v>83.291666415064384</v>
      </c>
      <c r="E130">
        <v>0.1878182679281081</v>
      </c>
      <c r="F130">
        <v>16</v>
      </c>
      <c r="G130" t="s">
        <v>124</v>
      </c>
      <c r="H130">
        <v>3.0050922868497297E-3</v>
      </c>
      <c r="I130" t="s">
        <v>74</v>
      </c>
    </row>
    <row r="131" spans="1:9" x14ac:dyDescent="0.25">
      <c r="A131" t="s">
        <v>30</v>
      </c>
      <c r="B131" t="s">
        <v>8</v>
      </c>
      <c r="C131">
        <v>10.630462992096236</v>
      </c>
      <c r="D131">
        <v>1.6684511691869024</v>
      </c>
      <c r="E131">
        <v>1.7736408408161063E-2</v>
      </c>
      <c r="F131">
        <v>16</v>
      </c>
      <c r="G131" t="s">
        <v>124</v>
      </c>
      <c r="H131">
        <v>2.8378253453057703E-4</v>
      </c>
      <c r="I131" t="s">
        <v>74</v>
      </c>
    </row>
    <row r="132" spans="1:9" x14ac:dyDescent="0.25">
      <c r="A132" t="s">
        <v>30</v>
      </c>
      <c r="B132" t="s">
        <v>9</v>
      </c>
      <c r="C132">
        <v>137.44436999882001</v>
      </c>
      <c r="D132">
        <v>0.76343762520354208</v>
      </c>
      <c r="E132">
        <v>0.10493020342949612</v>
      </c>
      <c r="F132">
        <v>16</v>
      </c>
      <c r="G132" t="s">
        <v>124</v>
      </c>
      <c r="H132">
        <v>1.6788832548719379E-3</v>
      </c>
      <c r="I132" t="s">
        <v>75</v>
      </c>
    </row>
    <row r="133" spans="1:9" x14ac:dyDescent="0.25">
      <c r="A133" t="s">
        <v>30</v>
      </c>
      <c r="B133" t="s">
        <v>10</v>
      </c>
      <c r="C133">
        <v>439.82198399622405</v>
      </c>
      <c r="D133">
        <v>2.8967811139447548</v>
      </c>
      <c r="E133">
        <v>1.2740680167379739</v>
      </c>
      <c r="F133">
        <v>16</v>
      </c>
      <c r="G133" t="s">
        <v>124</v>
      </c>
      <c r="H133">
        <v>2.0385088267807581E-2</v>
      </c>
      <c r="I133" t="s">
        <v>76</v>
      </c>
    </row>
    <row r="134" spans="1:9" x14ac:dyDescent="0.25">
      <c r="A134" t="s">
        <v>30</v>
      </c>
      <c r="B134" t="s">
        <v>11</v>
      </c>
      <c r="C134">
        <v>109.95549599905601</v>
      </c>
      <c r="D134">
        <v>1.1849143073354143</v>
      </c>
      <c r="E134">
        <v>0.13028784037944335</v>
      </c>
      <c r="F134">
        <v>16</v>
      </c>
      <c r="G134" t="s">
        <v>124</v>
      </c>
      <c r="H134">
        <v>2.0846054460710935E-3</v>
      </c>
      <c r="I134" t="s">
        <v>77</v>
      </c>
    </row>
    <row r="135" spans="1:9" x14ac:dyDescent="0.25">
      <c r="A135" t="s">
        <v>30</v>
      </c>
      <c r="B135" t="s">
        <v>21</v>
      </c>
      <c r="C135">
        <v>54.977747999528006</v>
      </c>
      <c r="D135">
        <v>0.91688574082550789</v>
      </c>
      <c r="E135">
        <v>5.0408313203465317E-2</v>
      </c>
      <c r="F135">
        <v>16</v>
      </c>
      <c r="G135" t="s">
        <v>124</v>
      </c>
      <c r="H135">
        <v>8.0653301125544505E-4</v>
      </c>
      <c r="I135" t="s">
        <v>73</v>
      </c>
    </row>
    <row r="136" spans="1:9" x14ac:dyDescent="0.25">
      <c r="A136" t="s">
        <v>30</v>
      </c>
      <c r="B136" t="s">
        <v>12</v>
      </c>
      <c r="C136">
        <v>54.977747999528006</v>
      </c>
      <c r="D136">
        <v>5.5360287650909834</v>
      </c>
      <c r="E136">
        <v>0.30435839436531031</v>
      </c>
      <c r="F136">
        <v>16</v>
      </c>
      <c r="G136" t="s">
        <v>124</v>
      </c>
      <c r="H136">
        <v>4.8697343098449654E-3</v>
      </c>
      <c r="I136" t="s">
        <v>75</v>
      </c>
    </row>
    <row r="137" spans="1:9" x14ac:dyDescent="0.25">
      <c r="A137" t="s">
        <v>30</v>
      </c>
      <c r="B137" t="s">
        <v>14</v>
      </c>
      <c r="C137">
        <v>302.37761399740401</v>
      </c>
      <c r="D137">
        <v>1.7088885108851124</v>
      </c>
      <c r="E137">
        <v>0.5167296305090171</v>
      </c>
      <c r="F137">
        <v>16</v>
      </c>
      <c r="G137" t="s">
        <v>124</v>
      </c>
      <c r="H137">
        <v>8.267674088144274E-3</v>
      </c>
      <c r="I137" t="s">
        <v>73</v>
      </c>
    </row>
    <row r="138" spans="1:9" x14ac:dyDescent="0.25">
      <c r="A138" t="s">
        <v>30</v>
      </c>
      <c r="B138" t="s">
        <v>15</v>
      </c>
      <c r="C138">
        <v>1814.2656839844242</v>
      </c>
      <c r="D138">
        <v>1.3542602010948113</v>
      </c>
      <c r="E138">
        <v>2.4569878100321616</v>
      </c>
      <c r="F138">
        <v>16</v>
      </c>
      <c r="G138" t="s">
        <v>124</v>
      </c>
      <c r="H138">
        <v>3.9311804960514583E-2</v>
      </c>
      <c r="I138" t="s">
        <v>73</v>
      </c>
    </row>
    <row r="139" spans="1:9" x14ac:dyDescent="0.25">
      <c r="A139" t="s">
        <v>30</v>
      </c>
      <c r="B139" t="s">
        <v>17</v>
      </c>
      <c r="C139">
        <v>82.466621999292016</v>
      </c>
      <c r="D139">
        <v>4.3875024244472787</v>
      </c>
      <c r="E139">
        <v>0.36182250395787097</v>
      </c>
      <c r="F139">
        <v>16</v>
      </c>
      <c r="G139" t="s">
        <v>124</v>
      </c>
      <c r="H139">
        <v>5.7891600633259354E-3</v>
      </c>
      <c r="I139" t="s">
        <v>77</v>
      </c>
    </row>
    <row r="140" spans="1:9" x14ac:dyDescent="0.25">
      <c r="A140" t="s">
        <v>30</v>
      </c>
      <c r="B140" t="s">
        <v>18</v>
      </c>
      <c r="C140">
        <v>47.123783999595432</v>
      </c>
      <c r="D140">
        <v>2.5899904687504947</v>
      </c>
      <c r="E140">
        <v>0.12205015141040923</v>
      </c>
      <c r="F140">
        <v>16</v>
      </c>
      <c r="G140" t="s">
        <v>124</v>
      </c>
      <c r="H140">
        <v>1.9528024225665477E-3</v>
      </c>
      <c r="I140" t="s">
        <v>74</v>
      </c>
    </row>
    <row r="141" spans="1:9" x14ac:dyDescent="0.25">
      <c r="A141" t="s">
        <v>30</v>
      </c>
      <c r="B141" t="s">
        <v>19</v>
      </c>
      <c r="C141">
        <v>54.977747999528006</v>
      </c>
      <c r="D141">
        <v>4.7031142741236636</v>
      </c>
      <c r="E141">
        <v>0.25856663137575386</v>
      </c>
      <c r="F141">
        <v>16</v>
      </c>
      <c r="G141" t="s">
        <v>124</v>
      </c>
      <c r="H141">
        <v>4.137066102012062E-3</v>
      </c>
      <c r="I141" t="s">
        <v>77</v>
      </c>
    </row>
    <row r="142" spans="1:9" x14ac:dyDescent="0.25">
      <c r="A142" t="s">
        <v>30</v>
      </c>
      <c r="B142" t="s">
        <v>51</v>
      </c>
      <c r="C142">
        <v>1267.9243132391148</v>
      </c>
      <c r="D142">
        <v>9.3863086580423472E-2</v>
      </c>
      <c r="E142">
        <v>0.119011289590987</v>
      </c>
      <c r="F142">
        <v>16</v>
      </c>
      <c r="G142" t="s">
        <v>124</v>
      </c>
      <c r="H142">
        <v>1.9041806334557921E-3</v>
      </c>
      <c r="I142" t="s">
        <v>52</v>
      </c>
    </row>
    <row r="143" spans="1:9" x14ac:dyDescent="0.25">
      <c r="A143" t="s">
        <v>30</v>
      </c>
      <c r="B143" t="s">
        <v>53</v>
      </c>
      <c r="C143">
        <v>18701.883620276942</v>
      </c>
      <c r="D143">
        <v>0.29805446051388707</v>
      </c>
      <c r="E143">
        <v>5.5741798330351449</v>
      </c>
      <c r="F143">
        <v>16</v>
      </c>
      <c r="G143" t="s">
        <v>124</v>
      </c>
      <c r="H143">
        <v>8.9186877328562314E-2</v>
      </c>
      <c r="I143" t="s">
        <v>54</v>
      </c>
    </row>
    <row r="144" spans="1:9" x14ac:dyDescent="0.25">
      <c r="A144" t="s">
        <v>30</v>
      </c>
      <c r="B144" t="s">
        <v>44</v>
      </c>
      <c r="C144">
        <v>633.96215661955739</v>
      </c>
      <c r="D144">
        <v>3.6498965999999994E-2</v>
      </c>
      <c r="E144">
        <v>2.3138963199743894E-2</v>
      </c>
      <c r="F144">
        <v>16</v>
      </c>
      <c r="G144" t="s">
        <v>124</v>
      </c>
      <c r="H144">
        <v>3.7022341119590229E-4</v>
      </c>
      <c r="I144" t="s">
        <v>45</v>
      </c>
    </row>
    <row r="145" spans="1:9" x14ac:dyDescent="0.25">
      <c r="A145" t="s">
        <v>30</v>
      </c>
      <c r="B145" t="s">
        <v>46</v>
      </c>
      <c r="C145">
        <v>9509.4323492933599</v>
      </c>
      <c r="D145">
        <v>1.0938432600000001E-2</v>
      </c>
      <c r="E145">
        <v>0.10401828481700508</v>
      </c>
      <c r="F145">
        <v>16</v>
      </c>
      <c r="G145" t="s">
        <v>124</v>
      </c>
      <c r="H145">
        <v>1.6642925570720813E-3</v>
      </c>
      <c r="I145" t="s">
        <v>45</v>
      </c>
    </row>
    <row r="146" spans="1:9" x14ac:dyDescent="0.25">
      <c r="A146" t="s">
        <v>30</v>
      </c>
      <c r="B146" t="s">
        <v>47</v>
      </c>
      <c r="C146">
        <v>633.96215661955739</v>
      </c>
      <c r="D146">
        <v>3.2192197537499996</v>
      </c>
      <c r="E146">
        <v>2.0408634977196303</v>
      </c>
      <c r="F146">
        <v>16</v>
      </c>
      <c r="G146" t="s">
        <v>124</v>
      </c>
      <c r="H146">
        <v>3.2653815963514084E-2</v>
      </c>
      <c r="I146" t="s">
        <v>45</v>
      </c>
    </row>
    <row r="147" spans="1:9" x14ac:dyDescent="0.25">
      <c r="A147" t="s">
        <v>30</v>
      </c>
      <c r="B147" t="s">
        <v>48</v>
      </c>
      <c r="C147">
        <v>1267.9243132391148</v>
      </c>
      <c r="D147">
        <v>2.3825310265574999</v>
      </c>
      <c r="E147">
        <v>3.0208690156188012</v>
      </c>
      <c r="F147">
        <v>16</v>
      </c>
      <c r="G147" t="s">
        <v>124</v>
      </c>
      <c r="H147">
        <v>4.8333904249900819E-2</v>
      </c>
      <c r="I147" t="s">
        <v>45</v>
      </c>
    </row>
    <row r="148" spans="1:9" x14ac:dyDescent="0.25">
      <c r="A148" t="s">
        <v>30</v>
      </c>
      <c r="B148" t="s">
        <v>49</v>
      </c>
      <c r="C148">
        <v>1267.9243132391148</v>
      </c>
      <c r="D148">
        <v>2.0993894999999999E-2</v>
      </c>
      <c r="E148">
        <v>2.6618669900089084E-2</v>
      </c>
      <c r="F148">
        <v>16</v>
      </c>
      <c r="G148" t="s">
        <v>124</v>
      </c>
      <c r="H148">
        <v>4.2589871840142534E-4</v>
      </c>
      <c r="I148" t="s">
        <v>45</v>
      </c>
    </row>
    <row r="149" spans="1:9" x14ac:dyDescent="0.25">
      <c r="A149" t="s">
        <v>30</v>
      </c>
      <c r="B149" t="s">
        <v>50</v>
      </c>
      <c r="C149">
        <v>87803.758691808689</v>
      </c>
      <c r="D149">
        <v>1.2024498200000001E-2</v>
      </c>
      <c r="E149">
        <v>1.055796138342888</v>
      </c>
      <c r="F149">
        <v>16</v>
      </c>
      <c r="G149" t="s">
        <v>124</v>
      </c>
      <c r="H149">
        <v>1.6892738213486209E-2</v>
      </c>
      <c r="I149" t="s">
        <v>45</v>
      </c>
    </row>
    <row r="150" spans="1:9" x14ac:dyDescent="0.25">
      <c r="A150" t="s">
        <v>30</v>
      </c>
      <c r="B150" t="s">
        <v>55</v>
      </c>
      <c r="C150">
        <v>5071.6972529564591</v>
      </c>
      <c r="D150">
        <v>2.3393892499999999E-2</v>
      </c>
      <c r="E150">
        <v>0.11864674032820871</v>
      </c>
      <c r="F150">
        <v>16</v>
      </c>
      <c r="G150" t="s">
        <v>124</v>
      </c>
      <c r="H150">
        <v>1.8983478452513393E-3</v>
      </c>
      <c r="I150" t="s">
        <v>45</v>
      </c>
    </row>
    <row r="151" spans="1:9" x14ac:dyDescent="0.25">
      <c r="A151" t="s">
        <v>30</v>
      </c>
      <c r="B151" t="s">
        <v>56</v>
      </c>
      <c r="C151">
        <v>10777.356662532475</v>
      </c>
      <c r="D151">
        <v>7.8587282917499997E-3</v>
      </c>
      <c r="E151">
        <v>8.4696317714124322E-2</v>
      </c>
      <c r="F151">
        <v>16</v>
      </c>
      <c r="G151" t="s">
        <v>124</v>
      </c>
      <c r="H151">
        <v>1.3551410834259892E-3</v>
      </c>
      <c r="I151" t="s">
        <v>45</v>
      </c>
    </row>
    <row r="152" spans="1:9" x14ac:dyDescent="0.25">
      <c r="A152" t="s">
        <v>30</v>
      </c>
      <c r="B152" t="s">
        <v>57</v>
      </c>
      <c r="C152">
        <v>2852.8297047880078</v>
      </c>
      <c r="D152">
        <v>1.3593584444444445E-3</v>
      </c>
      <c r="E152">
        <v>3.8780181497655303E-3</v>
      </c>
      <c r="F152">
        <v>16</v>
      </c>
      <c r="G152" t="s">
        <v>124</v>
      </c>
      <c r="H152">
        <v>6.2048290396248484E-5</v>
      </c>
      <c r="I152" t="s">
        <v>45</v>
      </c>
    </row>
    <row r="153" spans="1:9" x14ac:dyDescent="0.25">
      <c r="A153" t="s">
        <v>30</v>
      </c>
      <c r="B153" t="s">
        <v>58</v>
      </c>
      <c r="C153">
        <v>316.9810783097787</v>
      </c>
      <c r="D153">
        <v>1.940598E-3</v>
      </c>
      <c r="E153">
        <v>6.151328466057999E-4</v>
      </c>
      <c r="F153">
        <v>16</v>
      </c>
      <c r="G153" t="s">
        <v>124</v>
      </c>
      <c r="H153">
        <v>9.8421255456927992E-6</v>
      </c>
      <c r="I153" t="s">
        <v>45</v>
      </c>
    </row>
    <row r="154" spans="1:9" x14ac:dyDescent="0.25">
      <c r="A154" t="s">
        <v>30</v>
      </c>
      <c r="B154" t="s">
        <v>59</v>
      </c>
      <c r="C154">
        <v>12362.262054081368</v>
      </c>
      <c r="D154">
        <v>3.5384665999999994E-3</v>
      </c>
      <c r="E154">
        <v>4.3743451378814309E-2</v>
      </c>
      <c r="F154">
        <v>16</v>
      </c>
      <c r="G154" t="s">
        <v>124</v>
      </c>
      <c r="H154">
        <v>6.9989522206102893E-4</v>
      </c>
      <c r="I154" t="s">
        <v>45</v>
      </c>
    </row>
    <row r="155" spans="1:9" x14ac:dyDescent="0.25">
      <c r="A155" t="s">
        <v>30</v>
      </c>
      <c r="B155" t="s">
        <v>60</v>
      </c>
      <c r="C155">
        <v>633.96215661955739</v>
      </c>
      <c r="D155">
        <v>2.1170870000000001E-3</v>
      </c>
      <c r="E155">
        <v>1.3421530402712289E-3</v>
      </c>
      <c r="F155">
        <v>16</v>
      </c>
      <c r="G155" t="s">
        <v>124</v>
      </c>
      <c r="H155">
        <v>2.1474448644339661E-5</v>
      </c>
      <c r="I155" t="s">
        <v>45</v>
      </c>
    </row>
    <row r="156" spans="1:9" x14ac:dyDescent="0.25">
      <c r="A156" t="s">
        <v>30</v>
      </c>
      <c r="B156" t="s">
        <v>62</v>
      </c>
      <c r="C156">
        <v>1584.9053915488932</v>
      </c>
      <c r="D156">
        <v>0.34526056399999999</v>
      </c>
      <c r="E156">
        <v>0.54720532937281163</v>
      </c>
      <c r="F156">
        <v>16</v>
      </c>
      <c r="G156" t="s">
        <v>124</v>
      </c>
      <c r="H156">
        <v>8.7552852699649859E-3</v>
      </c>
      <c r="I156" t="s">
        <v>45</v>
      </c>
    </row>
    <row r="157" spans="1:9" x14ac:dyDescent="0.25">
      <c r="A157" t="s">
        <v>30</v>
      </c>
      <c r="B157" t="s">
        <v>70</v>
      </c>
      <c r="C157">
        <v>316.9810783097787</v>
      </c>
      <c r="D157">
        <v>5.4517759999999998E-2</v>
      </c>
      <c r="E157">
        <v>1.728109835183372E-2</v>
      </c>
      <c r="F157">
        <v>16</v>
      </c>
      <c r="G157" t="s">
        <v>124</v>
      </c>
      <c r="H157">
        <v>2.7649757362933951E-4</v>
      </c>
      <c r="I157" t="s">
        <v>45</v>
      </c>
    </row>
    <row r="158" spans="1:9" x14ac:dyDescent="0.25">
      <c r="A158" t="s">
        <v>30</v>
      </c>
      <c r="B158" t="s">
        <v>63</v>
      </c>
      <c r="C158">
        <v>633.96215661955739</v>
      </c>
      <c r="D158">
        <v>1.8891730000000002E-2</v>
      </c>
      <c r="E158">
        <v>1.1976641893074392E-2</v>
      </c>
      <c r="F158">
        <v>16</v>
      </c>
      <c r="G158" t="s">
        <v>124</v>
      </c>
      <c r="H158">
        <v>1.9162627028919028E-4</v>
      </c>
      <c r="I158" t="s">
        <v>45</v>
      </c>
    </row>
    <row r="159" spans="1:9" x14ac:dyDescent="0.25">
      <c r="A159" t="s">
        <v>30</v>
      </c>
      <c r="B159" t="s">
        <v>67</v>
      </c>
      <c r="C159">
        <v>3486.7918614075652</v>
      </c>
      <c r="D159">
        <v>3.512899545454546E-2</v>
      </c>
      <c r="E159">
        <v>0.12248749545033245</v>
      </c>
      <c r="F159">
        <v>16</v>
      </c>
      <c r="G159" t="s">
        <v>124</v>
      </c>
      <c r="H159">
        <v>1.9597999272053194E-3</v>
      </c>
      <c r="I159" t="s">
        <v>45</v>
      </c>
    </row>
    <row r="160" spans="1:9" x14ac:dyDescent="0.25">
      <c r="A160" t="s">
        <v>30</v>
      </c>
      <c r="B160" t="s">
        <v>69</v>
      </c>
      <c r="C160">
        <v>11728.299897461811</v>
      </c>
      <c r="D160">
        <v>0.1069242266456</v>
      </c>
      <c r="E160">
        <v>1.2540393964037739</v>
      </c>
      <c r="F160">
        <v>16</v>
      </c>
      <c r="G160" t="s">
        <v>124</v>
      </c>
      <c r="H160">
        <v>2.0064630342460383E-2</v>
      </c>
      <c r="I160" t="s">
        <v>45</v>
      </c>
    </row>
    <row r="161" spans="1:9" x14ac:dyDescent="0.25">
      <c r="A161" t="s">
        <v>31</v>
      </c>
      <c r="B161" t="s">
        <v>6</v>
      </c>
      <c r="C161">
        <v>88.471473115745297</v>
      </c>
      <c r="D161">
        <v>1.1166907644187907</v>
      </c>
      <c r="E161">
        <v>9.879527694287811E-2</v>
      </c>
      <c r="F161">
        <v>20</v>
      </c>
      <c r="G161" t="s">
        <v>125</v>
      </c>
      <c r="H161">
        <v>1.9759055388575623E-3</v>
      </c>
      <c r="I161" t="s">
        <v>73</v>
      </c>
    </row>
    <row r="162" spans="1:9" x14ac:dyDescent="0.25">
      <c r="A162" t="s">
        <v>31</v>
      </c>
      <c r="B162" t="s">
        <v>7</v>
      </c>
      <c r="C162">
        <v>6.6991620267932142</v>
      </c>
      <c r="D162">
        <v>129.25253023323538</v>
      </c>
      <c r="E162">
        <v>0.86588364240543225</v>
      </c>
      <c r="F162">
        <v>20</v>
      </c>
      <c r="G162" t="s">
        <v>125</v>
      </c>
      <c r="H162">
        <v>1.7317672848108645E-2</v>
      </c>
      <c r="I162" t="s">
        <v>74</v>
      </c>
    </row>
    <row r="163" spans="1:9" x14ac:dyDescent="0.25">
      <c r="A163" t="s">
        <v>31</v>
      </c>
      <c r="B163" t="s">
        <v>8</v>
      </c>
      <c r="C163">
        <v>0.95702314668474486</v>
      </c>
      <c r="D163">
        <v>9.04205868606285</v>
      </c>
      <c r="E163">
        <v>8.6534594562439997E-3</v>
      </c>
      <c r="F163">
        <v>20</v>
      </c>
      <c r="G163" t="s">
        <v>125</v>
      </c>
      <c r="H163">
        <v>1.7306918912488002E-4</v>
      </c>
      <c r="I163" t="s">
        <v>74</v>
      </c>
    </row>
    <row r="164" spans="1:9" x14ac:dyDescent="0.25">
      <c r="A164" t="s">
        <v>31</v>
      </c>
      <c r="B164" t="s">
        <v>32</v>
      </c>
      <c r="C164">
        <v>27.22199172792163</v>
      </c>
      <c r="D164">
        <v>1.567448837304017</v>
      </c>
      <c r="E164">
        <v>4.2669079283030327E-2</v>
      </c>
      <c r="F164">
        <v>20</v>
      </c>
      <c r="G164" t="s">
        <v>125</v>
      </c>
      <c r="H164">
        <v>8.5338158566060655E-4</v>
      </c>
      <c r="I164" t="s">
        <v>73</v>
      </c>
    </row>
    <row r="165" spans="1:9" x14ac:dyDescent="0.25">
      <c r="A165" t="s">
        <v>31</v>
      </c>
      <c r="B165" t="s">
        <v>9</v>
      </c>
      <c r="C165">
        <v>34.027489659902038</v>
      </c>
      <c r="D165">
        <v>1.1308534783927733</v>
      </c>
      <c r="E165">
        <v>3.8480105042874344E-2</v>
      </c>
      <c r="F165">
        <v>20</v>
      </c>
      <c r="G165" t="s">
        <v>125</v>
      </c>
      <c r="H165">
        <v>7.6960210085748695E-4</v>
      </c>
      <c r="I165" t="s">
        <v>75</v>
      </c>
    </row>
    <row r="166" spans="1:9" x14ac:dyDescent="0.25">
      <c r="A166" t="s">
        <v>31</v>
      </c>
      <c r="B166" t="s">
        <v>10</v>
      </c>
      <c r="C166">
        <v>74.860477251784488</v>
      </c>
      <c r="D166">
        <v>2.2175390865519433</v>
      </c>
      <c r="E166">
        <v>0.16600603434376471</v>
      </c>
      <c r="F166">
        <v>20</v>
      </c>
      <c r="G166" t="s">
        <v>125</v>
      </c>
      <c r="H166">
        <v>3.3201206868752942E-3</v>
      </c>
      <c r="I166" t="s">
        <v>76</v>
      </c>
    </row>
    <row r="167" spans="1:9" x14ac:dyDescent="0.25">
      <c r="A167" t="s">
        <v>31</v>
      </c>
      <c r="B167" t="s">
        <v>11</v>
      </c>
      <c r="C167">
        <v>612.49481387823676</v>
      </c>
      <c r="D167">
        <v>1.804859606855193</v>
      </c>
      <c r="E167">
        <v>1.1054671489771191</v>
      </c>
      <c r="F167">
        <v>20</v>
      </c>
      <c r="G167" t="s">
        <v>125</v>
      </c>
      <c r="H167">
        <v>2.2109342979542382E-2</v>
      </c>
      <c r="I167" t="s">
        <v>77</v>
      </c>
    </row>
    <row r="168" spans="1:9" x14ac:dyDescent="0.25">
      <c r="A168" t="s">
        <v>31</v>
      </c>
      <c r="B168" t="s">
        <v>21</v>
      </c>
      <c r="C168">
        <v>13.610995863960815</v>
      </c>
      <c r="D168">
        <v>0.52073013543403379</v>
      </c>
      <c r="E168">
        <v>7.0876557196323893E-3</v>
      </c>
      <c r="F168">
        <v>20</v>
      </c>
      <c r="G168" t="s">
        <v>125</v>
      </c>
      <c r="H168">
        <v>1.4175311439264778E-4</v>
      </c>
      <c r="I168" t="s">
        <v>73</v>
      </c>
    </row>
    <row r="169" spans="1:9" x14ac:dyDescent="0.25">
      <c r="A169" t="s">
        <v>31</v>
      </c>
      <c r="B169" t="s">
        <v>12</v>
      </c>
      <c r="C169">
        <v>20.416493795941225</v>
      </c>
      <c r="D169">
        <v>4.6038094819450723</v>
      </c>
      <c r="E169">
        <v>9.3993647725826954E-2</v>
      </c>
      <c r="F169">
        <v>20</v>
      </c>
      <c r="G169" t="s">
        <v>125</v>
      </c>
      <c r="H169">
        <v>1.879872954516539E-3</v>
      </c>
      <c r="I169" t="s">
        <v>75</v>
      </c>
    </row>
    <row r="170" spans="1:9" x14ac:dyDescent="0.25">
      <c r="A170" t="s">
        <v>31</v>
      </c>
      <c r="B170" t="s">
        <v>25</v>
      </c>
      <c r="C170">
        <v>156.52645243554937</v>
      </c>
      <c r="D170">
        <v>1.2613934763730352</v>
      </c>
      <c r="E170">
        <v>0.19744144598201618</v>
      </c>
      <c r="F170">
        <v>20</v>
      </c>
      <c r="G170" t="s">
        <v>125</v>
      </c>
      <c r="H170">
        <v>3.9488289196403237E-3</v>
      </c>
      <c r="I170" t="s">
        <v>77</v>
      </c>
    </row>
    <row r="171" spans="1:9" x14ac:dyDescent="0.25">
      <c r="A171" t="s">
        <v>31</v>
      </c>
      <c r="B171" t="s">
        <v>13</v>
      </c>
      <c r="C171">
        <v>17.499851825092477</v>
      </c>
      <c r="D171">
        <v>19.388846757203911</v>
      </c>
      <c r="E171">
        <v>0.33930194531049324</v>
      </c>
      <c r="F171">
        <v>20</v>
      </c>
      <c r="G171" t="s">
        <v>125</v>
      </c>
      <c r="H171">
        <v>6.7860389062098653E-3</v>
      </c>
      <c r="I171" t="s">
        <v>77</v>
      </c>
    </row>
    <row r="172" spans="1:9" x14ac:dyDescent="0.25">
      <c r="A172" t="s">
        <v>31</v>
      </c>
      <c r="B172" t="s">
        <v>14</v>
      </c>
      <c r="C172">
        <v>13.610995863960815</v>
      </c>
      <c r="D172">
        <v>1.8652460737612824</v>
      </c>
      <c r="E172">
        <v>2.5387856595233963E-2</v>
      </c>
      <c r="F172">
        <v>20</v>
      </c>
      <c r="G172" t="s">
        <v>125</v>
      </c>
      <c r="H172">
        <v>5.077571319046793E-4</v>
      </c>
      <c r="I172" t="s">
        <v>73</v>
      </c>
    </row>
    <row r="173" spans="1:9" x14ac:dyDescent="0.25">
      <c r="A173" t="s">
        <v>31</v>
      </c>
      <c r="B173" t="s">
        <v>26</v>
      </c>
      <c r="C173">
        <v>13.610995863960815</v>
      </c>
      <c r="D173">
        <v>0.62709995900955084</v>
      </c>
      <c r="E173">
        <v>8.5354549483689941E-3</v>
      </c>
      <c r="F173">
        <v>20</v>
      </c>
      <c r="G173" t="s">
        <v>125</v>
      </c>
      <c r="H173">
        <v>1.7070909896737987E-4</v>
      </c>
      <c r="I173" t="s">
        <v>80</v>
      </c>
    </row>
    <row r="174" spans="1:9" x14ac:dyDescent="0.25">
      <c r="A174" t="s">
        <v>31</v>
      </c>
      <c r="B174" t="s">
        <v>17</v>
      </c>
      <c r="C174">
        <v>592.07832008229548</v>
      </c>
      <c r="D174">
        <v>3.9054992471935472</v>
      </c>
      <c r="E174">
        <v>2.312361433361025</v>
      </c>
      <c r="F174">
        <v>20</v>
      </c>
      <c r="G174" t="s">
        <v>125</v>
      </c>
      <c r="H174">
        <v>4.6247228667220495E-2</v>
      </c>
      <c r="I174" t="s">
        <v>77</v>
      </c>
    </row>
    <row r="175" spans="1:9" x14ac:dyDescent="0.25">
      <c r="A175" t="s">
        <v>31</v>
      </c>
      <c r="B175" t="s">
        <v>33</v>
      </c>
      <c r="C175">
        <v>40.83298759188245</v>
      </c>
      <c r="D175">
        <v>6.7323409793079181</v>
      </c>
      <c r="E175">
        <v>0.27490159567240197</v>
      </c>
      <c r="F175">
        <v>20</v>
      </c>
      <c r="G175" t="s">
        <v>125</v>
      </c>
      <c r="H175">
        <v>5.498031913448039E-3</v>
      </c>
      <c r="I175" t="s">
        <v>77</v>
      </c>
    </row>
    <row r="176" spans="1:9" x14ac:dyDescent="0.25">
      <c r="A176" t="s">
        <v>31</v>
      </c>
      <c r="B176" t="s">
        <v>18</v>
      </c>
      <c r="C176">
        <v>469.57935730664815</v>
      </c>
      <c r="D176">
        <v>2.0245216095664746</v>
      </c>
      <c r="E176">
        <v>0.95067355627364603</v>
      </c>
      <c r="F176">
        <v>20</v>
      </c>
      <c r="G176" t="s">
        <v>125</v>
      </c>
      <c r="H176">
        <v>1.9013471125472921E-2</v>
      </c>
      <c r="I176" t="s">
        <v>74</v>
      </c>
    </row>
    <row r="177" spans="1:9" x14ac:dyDescent="0.25">
      <c r="A177" t="s">
        <v>31</v>
      </c>
      <c r="B177" t="s">
        <v>19</v>
      </c>
      <c r="C177">
        <v>251.80342348327508</v>
      </c>
      <c r="D177">
        <v>7.7031668280688947</v>
      </c>
      <c r="E177">
        <v>1.9396837789705488</v>
      </c>
      <c r="F177">
        <v>20</v>
      </c>
      <c r="G177" t="s">
        <v>125</v>
      </c>
      <c r="H177">
        <v>3.879367557941097E-2</v>
      </c>
      <c r="I177" t="s">
        <v>77</v>
      </c>
    </row>
    <row r="178" spans="1:9" x14ac:dyDescent="0.25">
      <c r="A178" t="s">
        <v>31</v>
      </c>
      <c r="B178" t="s">
        <v>34</v>
      </c>
      <c r="C178">
        <v>20.416493795941225</v>
      </c>
      <c r="D178">
        <v>0.36475909525052558</v>
      </c>
      <c r="E178">
        <v>7.4471018051954895E-3</v>
      </c>
      <c r="F178">
        <v>20</v>
      </c>
      <c r="G178" t="s">
        <v>125</v>
      </c>
      <c r="H178">
        <v>1.4894203610390979E-4</v>
      </c>
      <c r="I178" t="s">
        <v>75</v>
      </c>
    </row>
    <row r="179" spans="1:9" x14ac:dyDescent="0.25">
      <c r="A179" t="s">
        <v>31</v>
      </c>
      <c r="B179" t="s">
        <v>51</v>
      </c>
      <c r="C179">
        <v>22662.308113494761</v>
      </c>
      <c r="D179">
        <v>0.15791870603595948</v>
      </c>
      <c r="E179">
        <v>3.5788023730713183</v>
      </c>
      <c r="F179">
        <v>20</v>
      </c>
      <c r="G179" t="s">
        <v>125</v>
      </c>
      <c r="H179">
        <v>7.1576047461426373E-2</v>
      </c>
      <c r="I179" t="s">
        <v>52</v>
      </c>
    </row>
    <row r="180" spans="1:9" x14ac:dyDescent="0.25">
      <c r="A180" t="s">
        <v>31</v>
      </c>
      <c r="B180" t="s">
        <v>53</v>
      </c>
      <c r="C180">
        <v>7554.1027044982529</v>
      </c>
      <c r="D180">
        <v>0.1436805805566036</v>
      </c>
      <c r="E180">
        <v>1.0853778621665182</v>
      </c>
      <c r="F180">
        <v>20</v>
      </c>
      <c r="G180" t="s">
        <v>125</v>
      </c>
      <c r="H180">
        <v>2.1707557243330365E-2</v>
      </c>
      <c r="I180" t="s">
        <v>54</v>
      </c>
    </row>
    <row r="181" spans="1:9" x14ac:dyDescent="0.25">
      <c r="A181" t="s">
        <v>31</v>
      </c>
      <c r="B181" t="s">
        <v>44</v>
      </c>
      <c r="C181">
        <v>755.41027044982536</v>
      </c>
      <c r="D181">
        <v>5.267711999999999E-3</v>
      </c>
      <c r="E181">
        <v>3.9792837465717898E-3</v>
      </c>
      <c r="F181">
        <v>20</v>
      </c>
      <c r="G181" t="s">
        <v>125</v>
      </c>
      <c r="H181">
        <v>7.9585674931435804E-5</v>
      </c>
      <c r="I181" t="s">
        <v>45</v>
      </c>
    </row>
    <row r="182" spans="1:9" x14ac:dyDescent="0.25">
      <c r="A182" t="s">
        <v>31</v>
      </c>
      <c r="B182" t="s">
        <v>46</v>
      </c>
      <c r="C182">
        <v>5287.8718931487774</v>
      </c>
      <c r="D182">
        <v>1.5591514285714283E-2</v>
      </c>
      <c r="E182">
        <v>8.2445930163056194E-2</v>
      </c>
      <c r="F182">
        <v>20</v>
      </c>
      <c r="G182" t="s">
        <v>125</v>
      </c>
      <c r="H182">
        <v>1.6489186032611239E-3</v>
      </c>
      <c r="I182" t="s">
        <v>45</v>
      </c>
    </row>
    <row r="183" spans="1:9" x14ac:dyDescent="0.25">
      <c r="A183" t="s">
        <v>31</v>
      </c>
      <c r="B183" t="s">
        <v>48</v>
      </c>
      <c r="C183">
        <v>755.41027044982536</v>
      </c>
      <c r="D183">
        <v>2.3957971564799996</v>
      </c>
      <c r="E183">
        <v>1.8098097779194791</v>
      </c>
      <c r="F183">
        <v>20</v>
      </c>
      <c r="G183" t="s">
        <v>125</v>
      </c>
      <c r="H183">
        <v>3.6196195558389585E-2</v>
      </c>
      <c r="I183" t="s">
        <v>45</v>
      </c>
    </row>
    <row r="184" spans="1:9" x14ac:dyDescent="0.25">
      <c r="A184" t="s">
        <v>31</v>
      </c>
      <c r="B184" t="s">
        <v>49</v>
      </c>
      <c r="C184">
        <v>3777.0513522491265</v>
      </c>
      <c r="D184">
        <v>7.0998480000000015E-3</v>
      </c>
      <c r="E184">
        <v>2.681649048916326E-2</v>
      </c>
      <c r="F184">
        <v>20</v>
      </c>
      <c r="G184" t="s">
        <v>125</v>
      </c>
      <c r="H184">
        <v>5.3632980978326518E-4</v>
      </c>
      <c r="I184" t="s">
        <v>45</v>
      </c>
    </row>
    <row r="185" spans="1:9" x14ac:dyDescent="0.25">
      <c r="A185" t="s">
        <v>31</v>
      </c>
      <c r="B185" t="s">
        <v>50</v>
      </c>
      <c r="C185">
        <v>177521.41355570895</v>
      </c>
      <c r="D185">
        <v>1.2575874999999997E-2</v>
      </c>
      <c r="E185">
        <v>2.2324871066999008</v>
      </c>
      <c r="F185">
        <v>20</v>
      </c>
      <c r="G185" t="s">
        <v>125</v>
      </c>
      <c r="H185">
        <v>4.464974213399802E-2</v>
      </c>
      <c r="I185" t="s">
        <v>45</v>
      </c>
    </row>
    <row r="186" spans="1:9" x14ac:dyDescent="0.25">
      <c r="A186" t="s">
        <v>31</v>
      </c>
      <c r="B186" t="s">
        <v>55</v>
      </c>
      <c r="C186">
        <v>4532.4616226989519</v>
      </c>
      <c r="D186">
        <v>3.1738296666666672E-2</v>
      </c>
      <c r="E186">
        <v>0.14385261161150079</v>
      </c>
      <c r="F186">
        <v>20</v>
      </c>
      <c r="G186" t="s">
        <v>125</v>
      </c>
      <c r="H186">
        <v>2.8770522322300158E-3</v>
      </c>
      <c r="I186" t="s">
        <v>45</v>
      </c>
    </row>
    <row r="187" spans="1:9" x14ac:dyDescent="0.25">
      <c r="A187" t="s">
        <v>31</v>
      </c>
      <c r="B187" t="s">
        <v>56</v>
      </c>
      <c r="C187">
        <v>3021.6410817993014</v>
      </c>
      <c r="D187">
        <v>9.1331219962500002E-3</v>
      </c>
      <c r="E187">
        <v>2.7597016628953846E-2</v>
      </c>
      <c r="F187">
        <v>20</v>
      </c>
      <c r="G187" t="s">
        <v>125</v>
      </c>
      <c r="H187">
        <v>5.5194033257907691E-4</v>
      </c>
      <c r="I187" t="s">
        <v>45</v>
      </c>
    </row>
    <row r="188" spans="1:9" x14ac:dyDescent="0.25">
      <c r="A188" t="s">
        <v>31</v>
      </c>
      <c r="B188" t="s">
        <v>57</v>
      </c>
      <c r="C188">
        <v>14352.79513854668</v>
      </c>
      <c r="D188">
        <v>1.7104640000000001E-3</v>
      </c>
      <c r="E188">
        <v>2.4549939383859111E-2</v>
      </c>
      <c r="F188">
        <v>20</v>
      </c>
      <c r="G188" t="s">
        <v>125</v>
      </c>
      <c r="H188">
        <v>4.9099878767718225E-4</v>
      </c>
      <c r="I188" t="s">
        <v>45</v>
      </c>
    </row>
    <row r="189" spans="1:9" x14ac:dyDescent="0.25">
      <c r="A189" t="s">
        <v>31</v>
      </c>
      <c r="B189" t="s">
        <v>58</v>
      </c>
      <c r="C189">
        <v>755.41027044982536</v>
      </c>
      <c r="D189">
        <v>2.1854539999999999E-3</v>
      </c>
      <c r="E189">
        <v>1.6509143971956525E-3</v>
      </c>
      <c r="F189">
        <v>20</v>
      </c>
      <c r="G189" t="s">
        <v>125</v>
      </c>
      <c r="H189">
        <v>3.3018287943913052E-5</v>
      </c>
      <c r="I189" t="s">
        <v>45</v>
      </c>
    </row>
    <row r="190" spans="1:9" x14ac:dyDescent="0.25">
      <c r="A190" t="s">
        <v>31</v>
      </c>
      <c r="B190" t="s">
        <v>59</v>
      </c>
      <c r="C190">
        <v>27194.76973619371</v>
      </c>
      <c r="D190">
        <v>3.9513876E-3</v>
      </c>
      <c r="E190">
        <v>0.10745707592045109</v>
      </c>
      <c r="F190">
        <v>20</v>
      </c>
      <c r="G190" t="s">
        <v>125</v>
      </c>
      <c r="H190">
        <v>2.1491415184090217E-3</v>
      </c>
      <c r="I190" t="s">
        <v>45</v>
      </c>
    </row>
    <row r="191" spans="1:9" x14ac:dyDescent="0.25">
      <c r="A191" t="s">
        <v>31</v>
      </c>
      <c r="B191" t="s">
        <v>62</v>
      </c>
      <c r="C191">
        <v>755.41027044982536</v>
      </c>
      <c r="D191">
        <v>0.19683</v>
      </c>
      <c r="E191">
        <v>0.14868740353263915</v>
      </c>
      <c r="F191">
        <v>20</v>
      </c>
      <c r="G191" t="s">
        <v>125</v>
      </c>
      <c r="H191">
        <v>2.9737480706527827E-3</v>
      </c>
      <c r="I191" t="s">
        <v>45</v>
      </c>
    </row>
    <row r="192" spans="1:9" x14ac:dyDescent="0.25">
      <c r="A192" t="s">
        <v>31</v>
      </c>
      <c r="B192" t="s">
        <v>63</v>
      </c>
      <c r="C192">
        <v>2266.230811349476</v>
      </c>
      <c r="D192">
        <v>1.0669680000000001E-2</v>
      </c>
      <c r="E192">
        <v>2.4179957563239277E-2</v>
      </c>
      <c r="F192">
        <v>20</v>
      </c>
      <c r="G192" t="s">
        <v>125</v>
      </c>
      <c r="H192">
        <v>4.8359915126478556E-4</v>
      </c>
      <c r="I192" t="s">
        <v>45</v>
      </c>
    </row>
    <row r="193" spans="1:17" x14ac:dyDescent="0.25">
      <c r="A193" t="s">
        <v>31</v>
      </c>
      <c r="B193" t="s">
        <v>64</v>
      </c>
      <c r="C193">
        <v>3777.0513522491265</v>
      </c>
      <c r="D193">
        <v>2.5452682640000002E-2</v>
      </c>
      <c r="E193">
        <v>9.6136089383779877E-2</v>
      </c>
      <c r="F193">
        <v>20</v>
      </c>
      <c r="G193" t="s">
        <v>125</v>
      </c>
      <c r="H193">
        <v>1.9227217876755976E-3</v>
      </c>
      <c r="I193" t="s">
        <v>45</v>
      </c>
      <c r="Q193">
        <v>20</v>
      </c>
    </row>
    <row r="194" spans="1:17" x14ac:dyDescent="0.25">
      <c r="A194" t="s">
        <v>31</v>
      </c>
      <c r="B194" t="s">
        <v>65</v>
      </c>
      <c r="C194">
        <v>10575.743786297555</v>
      </c>
      <c r="D194">
        <v>3.6994768800000008E-2</v>
      </c>
      <c r="E194">
        <v>0.39124719626211474</v>
      </c>
      <c r="F194">
        <v>20</v>
      </c>
      <c r="G194" t="s">
        <v>125</v>
      </c>
      <c r="H194">
        <v>7.8249439252422951E-3</v>
      </c>
      <c r="I194" t="s">
        <v>45</v>
      </c>
      <c r="Q194">
        <v>20</v>
      </c>
    </row>
    <row r="195" spans="1:17" x14ac:dyDescent="0.25">
      <c r="A195" t="s">
        <v>31</v>
      </c>
      <c r="B195" t="s">
        <v>67</v>
      </c>
      <c r="C195">
        <v>1510.8205408996507</v>
      </c>
      <c r="D195">
        <v>3.4011359999999997E-2</v>
      </c>
      <c r="E195">
        <v>5.1385061311932739E-2</v>
      </c>
      <c r="F195">
        <v>20</v>
      </c>
      <c r="G195" t="s">
        <v>125</v>
      </c>
      <c r="H195">
        <v>1.027701226238655E-3</v>
      </c>
      <c r="I195" t="s">
        <v>45</v>
      </c>
      <c r="Q195">
        <v>20</v>
      </c>
    </row>
    <row r="196" spans="1:17" x14ac:dyDescent="0.25">
      <c r="A196" t="s">
        <v>31</v>
      </c>
      <c r="B196" t="s">
        <v>69</v>
      </c>
      <c r="C196">
        <v>3021.6410817993014</v>
      </c>
      <c r="D196">
        <v>1.9500514254000002E-2</v>
      </c>
      <c r="E196">
        <v>5.8923554986099261E-2</v>
      </c>
      <c r="F196">
        <v>20</v>
      </c>
      <c r="G196" t="s">
        <v>125</v>
      </c>
      <c r="H196">
        <v>1.1784710997219852E-3</v>
      </c>
      <c r="I196" t="s">
        <v>45</v>
      </c>
      <c r="Q196">
        <v>20</v>
      </c>
    </row>
    <row r="197" spans="1:17" x14ac:dyDescent="0.25">
      <c r="A197" t="s">
        <v>31</v>
      </c>
      <c r="B197" t="s">
        <v>71</v>
      </c>
      <c r="C197">
        <v>755.41027044982536</v>
      </c>
      <c r="D197">
        <v>1.9500514254000002E-2</v>
      </c>
      <c r="E197">
        <v>1.4730888746524815E-2</v>
      </c>
      <c r="F197">
        <v>20</v>
      </c>
      <c r="G197" t="s">
        <v>125</v>
      </c>
      <c r="H197">
        <v>2.9461777493049629E-4</v>
      </c>
      <c r="I197" t="s">
        <v>45</v>
      </c>
      <c r="Q197">
        <v>20</v>
      </c>
    </row>
    <row r="198" spans="1:17" x14ac:dyDescent="0.25">
      <c r="A198" t="s">
        <v>35</v>
      </c>
      <c r="B198" t="s">
        <v>6</v>
      </c>
      <c r="C198">
        <v>2078.1588743821585</v>
      </c>
      <c r="D198">
        <v>0.62034654646282539</v>
      </c>
      <c r="E198">
        <v>1.2891786807240446</v>
      </c>
      <c r="F198">
        <v>20</v>
      </c>
      <c r="G198" t="s">
        <v>126</v>
      </c>
      <c r="H198">
        <v>2.5783573614480894E-2</v>
      </c>
      <c r="I198" t="s">
        <v>73</v>
      </c>
      <c r="Q198">
        <v>20</v>
      </c>
    </row>
    <row r="199" spans="1:17" x14ac:dyDescent="0.25">
      <c r="A199" t="s">
        <v>35</v>
      </c>
      <c r="B199" t="s">
        <v>7</v>
      </c>
      <c r="C199">
        <v>8.1178081030553066</v>
      </c>
      <c r="D199">
        <v>111.75905783141759</v>
      </c>
      <c r="E199">
        <v>0.90723858525370837</v>
      </c>
      <c r="F199">
        <v>20</v>
      </c>
      <c r="G199" t="s">
        <v>126</v>
      </c>
      <c r="H199">
        <v>1.8144771705074166E-2</v>
      </c>
      <c r="I199" t="s">
        <v>74</v>
      </c>
      <c r="Q199">
        <v>20</v>
      </c>
    </row>
    <row r="200" spans="1:17" x14ac:dyDescent="0.25">
      <c r="A200" t="s">
        <v>35</v>
      </c>
      <c r="B200" t="s">
        <v>9</v>
      </c>
      <c r="C200">
        <v>2078.1588743821585</v>
      </c>
      <c r="D200">
        <v>0.63222521303169144</v>
      </c>
      <c r="E200">
        <v>1.3138644370699604</v>
      </c>
      <c r="F200">
        <v>20</v>
      </c>
      <c r="G200" t="s">
        <v>126</v>
      </c>
      <c r="H200">
        <v>2.6277288741399209E-2</v>
      </c>
      <c r="I200" t="s">
        <v>75</v>
      </c>
      <c r="Q200">
        <v>20</v>
      </c>
    </row>
    <row r="201" spans="1:17" x14ac:dyDescent="0.25">
      <c r="A201" t="s">
        <v>35</v>
      </c>
      <c r="B201" t="s">
        <v>10</v>
      </c>
      <c r="C201">
        <v>626.7463271946192</v>
      </c>
      <c r="D201">
        <v>2.669938286759665</v>
      </c>
      <c r="E201">
        <v>1.6733740150629139</v>
      </c>
      <c r="F201">
        <v>20</v>
      </c>
      <c r="G201" t="s">
        <v>126</v>
      </c>
      <c r="H201">
        <v>3.3467480301258276E-2</v>
      </c>
      <c r="I201" t="s">
        <v>76</v>
      </c>
      <c r="Q201">
        <v>20</v>
      </c>
    </row>
    <row r="202" spans="1:17" x14ac:dyDescent="0.25">
      <c r="A202" t="s">
        <v>35</v>
      </c>
      <c r="B202" t="s">
        <v>11</v>
      </c>
      <c r="C202">
        <v>2078.1588743821585</v>
      </c>
      <c r="D202">
        <v>1.2128289802606687</v>
      </c>
      <c r="E202">
        <v>2.5204513084365723</v>
      </c>
      <c r="F202">
        <v>20</v>
      </c>
      <c r="G202" t="s">
        <v>126</v>
      </c>
      <c r="H202">
        <v>5.0409026168731441E-2</v>
      </c>
      <c r="I202" t="s">
        <v>77</v>
      </c>
      <c r="Q202">
        <v>20</v>
      </c>
    </row>
    <row r="203" spans="1:17" x14ac:dyDescent="0.25">
      <c r="A203" t="s">
        <v>35</v>
      </c>
      <c r="B203" t="s">
        <v>12</v>
      </c>
      <c r="C203">
        <v>758.69292239348636</v>
      </c>
      <c r="D203">
        <v>2.4900722776527884</v>
      </c>
      <c r="E203">
        <v>1.8892002133033989</v>
      </c>
      <c r="F203">
        <v>20</v>
      </c>
      <c r="G203" t="s">
        <v>126</v>
      </c>
      <c r="H203">
        <v>3.7784004266067983E-2</v>
      </c>
      <c r="I203" t="s">
        <v>75</v>
      </c>
      <c r="Q203">
        <v>20</v>
      </c>
    </row>
    <row r="204" spans="1:17" x14ac:dyDescent="0.25">
      <c r="A204" t="s">
        <v>35</v>
      </c>
      <c r="B204" t="s">
        <v>25</v>
      </c>
      <c r="C204">
        <v>197.91989279830079</v>
      </c>
      <c r="D204">
        <v>3.825239176159553</v>
      </c>
      <c r="E204">
        <v>0.75709092767335917</v>
      </c>
      <c r="F204">
        <v>20</v>
      </c>
      <c r="G204" t="s">
        <v>126</v>
      </c>
      <c r="H204">
        <v>1.5141818553467183E-2</v>
      </c>
      <c r="I204" t="s">
        <v>77</v>
      </c>
      <c r="Q204">
        <v>20</v>
      </c>
    </row>
    <row r="205" spans="1:17" x14ac:dyDescent="0.25">
      <c r="A205" t="s">
        <v>35</v>
      </c>
      <c r="B205" t="s">
        <v>13</v>
      </c>
      <c r="C205">
        <v>70.685675999393141</v>
      </c>
      <c r="D205">
        <v>10.239778631603309</v>
      </c>
      <c r="E205">
        <v>0.72380567465902079</v>
      </c>
      <c r="F205">
        <v>20</v>
      </c>
      <c r="G205" t="s">
        <v>126</v>
      </c>
      <c r="H205">
        <v>1.4476113493180415E-2</v>
      </c>
      <c r="I205" t="s">
        <v>77</v>
      </c>
      <c r="Q205">
        <v>20</v>
      </c>
    </row>
    <row r="206" spans="1:17" x14ac:dyDescent="0.25">
      <c r="A206" t="s">
        <v>35</v>
      </c>
      <c r="B206" t="s">
        <v>15</v>
      </c>
      <c r="C206">
        <v>42.411405599635884</v>
      </c>
      <c r="D206">
        <v>1.0488961347517116</v>
      </c>
      <c r="E206">
        <v>4.4485159402845177E-2</v>
      </c>
      <c r="F206">
        <v>20</v>
      </c>
      <c r="G206" t="s">
        <v>126</v>
      </c>
      <c r="H206">
        <v>8.8970318805690353E-4</v>
      </c>
      <c r="I206" t="s">
        <v>73</v>
      </c>
      <c r="Q206">
        <v>20</v>
      </c>
    </row>
    <row r="207" spans="1:17" x14ac:dyDescent="0.25">
      <c r="A207" t="s">
        <v>35</v>
      </c>
      <c r="B207" t="s">
        <v>17</v>
      </c>
      <c r="C207">
        <v>824.66621999291988</v>
      </c>
      <c r="D207">
        <v>3.4002302532357236</v>
      </c>
      <c r="E207">
        <v>2.8040550300414728</v>
      </c>
      <c r="F207">
        <v>20</v>
      </c>
      <c r="G207" t="s">
        <v>126</v>
      </c>
      <c r="H207">
        <v>5.6081100600829457E-2</v>
      </c>
      <c r="I207" t="s">
        <v>77</v>
      </c>
      <c r="Q207">
        <v>20</v>
      </c>
    </row>
    <row r="208" spans="1:17" x14ac:dyDescent="0.25">
      <c r="A208" t="s">
        <v>35</v>
      </c>
      <c r="B208" t="s">
        <v>18</v>
      </c>
      <c r="C208">
        <v>692.71962479405283</v>
      </c>
      <c r="D208">
        <v>4.2011242780910862</v>
      </c>
      <c r="E208">
        <v>2.9102012336324434</v>
      </c>
      <c r="F208">
        <v>20</v>
      </c>
      <c r="G208" t="s">
        <v>126</v>
      </c>
      <c r="H208">
        <v>5.8204024672648867E-2</v>
      </c>
      <c r="I208" t="s">
        <v>74</v>
      </c>
      <c r="Q208">
        <v>20</v>
      </c>
    </row>
    <row r="209" spans="1:17" x14ac:dyDescent="0.25">
      <c r="A209" t="s">
        <v>35</v>
      </c>
      <c r="B209" t="s">
        <v>28</v>
      </c>
      <c r="C209">
        <v>42.411405599635884</v>
      </c>
      <c r="D209">
        <v>3.8986031814601456</v>
      </c>
      <c r="E209">
        <v>0.1653452408009371</v>
      </c>
      <c r="F209">
        <v>20</v>
      </c>
      <c r="G209" t="s">
        <v>126</v>
      </c>
      <c r="H209">
        <v>3.3069048160187416E-3</v>
      </c>
      <c r="I209" t="s">
        <v>74</v>
      </c>
      <c r="Q209">
        <v>20</v>
      </c>
    </row>
    <row r="210" spans="1:17" x14ac:dyDescent="0.25">
      <c r="A210" t="s">
        <v>35</v>
      </c>
      <c r="B210" t="s">
        <v>19</v>
      </c>
      <c r="C210">
        <v>131.94659519886719</v>
      </c>
      <c r="D210">
        <v>6.955610575622539</v>
      </c>
      <c r="E210">
        <v>0.91776913298262675</v>
      </c>
      <c r="F210">
        <v>20</v>
      </c>
      <c r="G210" t="s">
        <v>126</v>
      </c>
      <c r="H210">
        <v>1.8355382659652534E-2</v>
      </c>
      <c r="I210" t="s">
        <v>77</v>
      </c>
      <c r="Q210">
        <v>20</v>
      </c>
    </row>
    <row r="211" spans="1:17" x14ac:dyDescent="0.25">
      <c r="A211" t="s">
        <v>35</v>
      </c>
      <c r="B211" t="s">
        <v>51</v>
      </c>
      <c r="C211">
        <v>12122.593433895925</v>
      </c>
      <c r="D211">
        <v>9.9349042665410114E-2</v>
      </c>
      <c r="E211">
        <v>1.2043680522795468</v>
      </c>
      <c r="F211">
        <v>20</v>
      </c>
      <c r="G211" t="s">
        <v>126</v>
      </c>
      <c r="H211">
        <v>2.4087361045590935E-2</v>
      </c>
      <c r="I211" t="s">
        <v>52</v>
      </c>
      <c r="Q211">
        <v>20</v>
      </c>
    </row>
    <row r="212" spans="1:17" x14ac:dyDescent="0.25">
      <c r="A212" t="s">
        <v>35</v>
      </c>
      <c r="B212" t="s">
        <v>53</v>
      </c>
      <c r="C212">
        <v>45719.495236407485</v>
      </c>
      <c r="D212">
        <v>0.16974615716480451</v>
      </c>
      <c r="E212">
        <v>7.7607086238947556</v>
      </c>
      <c r="F212">
        <v>20</v>
      </c>
      <c r="G212" t="s">
        <v>126</v>
      </c>
      <c r="H212">
        <v>0.15521417247789512</v>
      </c>
      <c r="I212" t="s">
        <v>54</v>
      </c>
      <c r="Q212">
        <v>20</v>
      </c>
    </row>
    <row r="213" spans="1:17" x14ac:dyDescent="0.25">
      <c r="A213" t="s">
        <v>35</v>
      </c>
      <c r="B213" t="s">
        <v>46</v>
      </c>
      <c r="C213">
        <v>1385.4392495881057</v>
      </c>
      <c r="D213">
        <v>1.1305166999999998E-2</v>
      </c>
      <c r="E213">
        <v>1.5662622084948213E-2</v>
      </c>
      <c r="F213">
        <v>20</v>
      </c>
      <c r="G213" t="s">
        <v>126</v>
      </c>
      <c r="H213">
        <v>3.1325244169896427E-4</v>
      </c>
      <c r="I213" t="s">
        <v>45</v>
      </c>
      <c r="Q213">
        <v>20</v>
      </c>
    </row>
    <row r="214" spans="1:17" x14ac:dyDescent="0.25">
      <c r="A214" t="s">
        <v>35</v>
      </c>
      <c r="B214" t="s">
        <v>48</v>
      </c>
      <c r="C214">
        <v>2770.8784991762113</v>
      </c>
      <c r="D214">
        <v>3.0458789439</v>
      </c>
      <c r="E214">
        <v>8.4397604767460557</v>
      </c>
      <c r="F214">
        <v>20</v>
      </c>
      <c r="G214" t="s">
        <v>126</v>
      </c>
      <c r="H214">
        <v>0.16879520953492114</v>
      </c>
      <c r="I214" t="s">
        <v>45</v>
      </c>
      <c r="Q214">
        <v>20</v>
      </c>
    </row>
    <row r="215" spans="1:17" x14ac:dyDescent="0.25">
      <c r="A215" t="s">
        <v>35</v>
      </c>
      <c r="B215" t="s">
        <v>49</v>
      </c>
      <c r="C215">
        <v>2424.5186867791849</v>
      </c>
      <c r="D215">
        <v>7.4409428571428574E-3</v>
      </c>
      <c r="E215">
        <v>1.8040705004398958E-2</v>
      </c>
      <c r="F215">
        <v>20</v>
      </c>
      <c r="G215" t="s">
        <v>126</v>
      </c>
      <c r="H215">
        <v>3.6081410008797913E-4</v>
      </c>
      <c r="I215" t="s">
        <v>45</v>
      </c>
      <c r="Q215">
        <v>20</v>
      </c>
    </row>
    <row r="216" spans="1:17" x14ac:dyDescent="0.25">
      <c r="A216" t="s">
        <v>35</v>
      </c>
      <c r="B216" t="s">
        <v>50</v>
      </c>
      <c r="C216">
        <v>55071.210171127197</v>
      </c>
      <c r="D216">
        <v>1.4119816100000002E-2</v>
      </c>
      <c r="E216">
        <v>0.77759536002076557</v>
      </c>
      <c r="F216">
        <v>20</v>
      </c>
      <c r="G216" t="s">
        <v>126</v>
      </c>
      <c r="H216">
        <v>1.5551907200415311E-2</v>
      </c>
      <c r="I216" t="s">
        <v>45</v>
      </c>
      <c r="Q216">
        <v>20</v>
      </c>
    </row>
    <row r="217" spans="1:17" x14ac:dyDescent="0.25">
      <c r="A217" t="s">
        <v>35</v>
      </c>
      <c r="B217" t="s">
        <v>55</v>
      </c>
      <c r="C217">
        <v>1039.0794371910793</v>
      </c>
      <c r="D217">
        <v>2.2387660000000004E-2</v>
      </c>
      <c r="E217">
        <v>2.3262557152825242E-2</v>
      </c>
      <c r="F217">
        <v>20</v>
      </c>
      <c r="G217" t="s">
        <v>126</v>
      </c>
      <c r="H217">
        <v>4.6525114305650481E-4</v>
      </c>
      <c r="I217" t="s">
        <v>45</v>
      </c>
      <c r="Q217">
        <v>20</v>
      </c>
    </row>
    <row r="218" spans="1:17" x14ac:dyDescent="0.25">
      <c r="A218" t="s">
        <v>35</v>
      </c>
      <c r="B218" t="s">
        <v>56</v>
      </c>
      <c r="C218">
        <v>4156.317748764317</v>
      </c>
      <c r="D218">
        <v>8.6436882349999987E-3</v>
      </c>
      <c r="E218">
        <v>3.5925914825915804E-2</v>
      </c>
      <c r="F218">
        <v>20</v>
      </c>
      <c r="G218" t="s">
        <v>126</v>
      </c>
      <c r="H218">
        <v>7.1851829651831611E-4</v>
      </c>
      <c r="I218" t="s">
        <v>45</v>
      </c>
      <c r="Q218">
        <v>20</v>
      </c>
    </row>
    <row r="219" spans="1:17" x14ac:dyDescent="0.25">
      <c r="A219" t="s">
        <v>35</v>
      </c>
      <c r="B219" t="s">
        <v>57</v>
      </c>
      <c r="C219">
        <v>19396.149494233479</v>
      </c>
      <c r="D219">
        <v>1.6525180000000004E-3</v>
      </c>
      <c r="E219">
        <v>3.2052486169911729E-2</v>
      </c>
      <c r="F219">
        <v>20</v>
      </c>
      <c r="G219" t="s">
        <v>126</v>
      </c>
      <c r="H219">
        <v>6.4104972339823463E-4</v>
      </c>
      <c r="I219" t="s">
        <v>45</v>
      </c>
      <c r="Q219">
        <v>20</v>
      </c>
    </row>
    <row r="220" spans="1:17" x14ac:dyDescent="0.25">
      <c r="A220" t="s">
        <v>35</v>
      </c>
      <c r="B220" t="s">
        <v>58</v>
      </c>
      <c r="C220">
        <v>2424.5186867791849</v>
      </c>
      <c r="D220">
        <v>1.8500274285714287E-3</v>
      </c>
      <c r="E220">
        <v>4.4854260716254727E-3</v>
      </c>
      <c r="F220">
        <v>20</v>
      </c>
      <c r="G220" t="s">
        <v>126</v>
      </c>
      <c r="H220">
        <v>8.9708521432509464E-5</v>
      </c>
      <c r="I220" t="s">
        <v>45</v>
      </c>
      <c r="Q220">
        <v>20</v>
      </c>
    </row>
    <row r="221" spans="1:17" x14ac:dyDescent="0.25">
      <c r="A221" t="s">
        <v>35</v>
      </c>
      <c r="B221" t="s">
        <v>59</v>
      </c>
      <c r="C221">
        <v>9005.3551223226859</v>
      </c>
      <c r="D221">
        <v>3.8766187999999995E-3</v>
      </c>
      <c r="E221">
        <v>3.4910328967872419E-2</v>
      </c>
      <c r="F221">
        <v>20</v>
      </c>
      <c r="G221" t="s">
        <v>126</v>
      </c>
      <c r="H221">
        <v>6.9820657935744834E-4</v>
      </c>
      <c r="I221" t="s">
        <v>45</v>
      </c>
      <c r="Q221">
        <v>20</v>
      </c>
    </row>
    <row r="222" spans="1:17" x14ac:dyDescent="0.25">
      <c r="A222" t="s">
        <v>35</v>
      </c>
      <c r="B222" t="s">
        <v>63</v>
      </c>
      <c r="C222">
        <v>1385.4392495881057</v>
      </c>
      <c r="D222">
        <v>2.5943644999999998E-2</v>
      </c>
      <c r="E222">
        <v>3.5943344060380203E-2</v>
      </c>
      <c r="F222">
        <v>20</v>
      </c>
      <c r="G222" t="s">
        <v>126</v>
      </c>
      <c r="H222">
        <v>7.1886688120760404E-4</v>
      </c>
      <c r="I222" t="s">
        <v>45</v>
      </c>
      <c r="Q222">
        <v>20</v>
      </c>
    </row>
    <row r="223" spans="1:17" x14ac:dyDescent="0.25">
      <c r="A223" t="s">
        <v>35</v>
      </c>
      <c r="B223" t="s">
        <v>65</v>
      </c>
      <c r="C223">
        <v>20088.869119027531</v>
      </c>
      <c r="D223">
        <v>3.4492236240000015E-2</v>
      </c>
      <c r="E223">
        <v>0.69291001944793862</v>
      </c>
      <c r="F223">
        <v>20</v>
      </c>
      <c r="G223" t="s">
        <v>126</v>
      </c>
      <c r="H223">
        <v>1.3858200388958773E-2</v>
      </c>
      <c r="I223" t="s">
        <v>45</v>
      </c>
      <c r="Q223">
        <v>20</v>
      </c>
    </row>
    <row r="224" spans="1:17" x14ac:dyDescent="0.25">
      <c r="A224" t="s">
        <v>35</v>
      </c>
      <c r="B224" t="s">
        <v>67</v>
      </c>
      <c r="C224">
        <v>2770.8784991762113</v>
      </c>
      <c r="D224">
        <v>2.5618470000000001E-2</v>
      </c>
      <c r="E224">
        <v>7.0985667704790797E-2</v>
      </c>
      <c r="F224">
        <v>20</v>
      </c>
      <c r="G224" t="s">
        <v>126</v>
      </c>
      <c r="H224">
        <v>1.419713354095816E-3</v>
      </c>
      <c r="I224" t="s">
        <v>45</v>
      </c>
      <c r="Q224">
        <v>20</v>
      </c>
    </row>
    <row r="225" spans="1:17" x14ac:dyDescent="0.25">
      <c r="A225" t="s">
        <v>35</v>
      </c>
      <c r="B225" t="s">
        <v>68</v>
      </c>
      <c r="C225">
        <v>692.71962479405283</v>
      </c>
      <c r="D225">
        <v>7.1397823952000006E-2</v>
      </c>
      <c r="E225">
        <v>4.9458673819141284E-2</v>
      </c>
      <c r="F225">
        <v>20</v>
      </c>
      <c r="G225" t="s">
        <v>126</v>
      </c>
      <c r="H225">
        <v>9.8917347638282564E-4</v>
      </c>
      <c r="I225" t="s">
        <v>45</v>
      </c>
      <c r="Q225">
        <v>20</v>
      </c>
    </row>
    <row r="226" spans="1:17" x14ac:dyDescent="0.25">
      <c r="A226" t="s">
        <v>35</v>
      </c>
      <c r="B226" t="s">
        <v>71</v>
      </c>
      <c r="C226">
        <v>692.71962479405283</v>
      </c>
      <c r="D226">
        <v>7.1397823952000006E-2</v>
      </c>
      <c r="E226">
        <v>4.9458673819141284E-2</v>
      </c>
      <c r="F226">
        <v>20</v>
      </c>
      <c r="G226" t="s">
        <v>126</v>
      </c>
      <c r="H226">
        <v>9.8917347638282564E-4</v>
      </c>
      <c r="I226" t="s">
        <v>45</v>
      </c>
      <c r="Q226">
        <v>20</v>
      </c>
    </row>
    <row r="227" spans="1:17" x14ac:dyDescent="0.25">
      <c r="A227" t="s">
        <v>36</v>
      </c>
      <c r="B227" t="s">
        <v>6</v>
      </c>
      <c r="C227">
        <v>386.74002041047288</v>
      </c>
      <c r="D227">
        <v>0.54070762324681643</v>
      </c>
      <c r="E227">
        <v>0.20911327725057205</v>
      </c>
      <c r="F227">
        <v>20</v>
      </c>
      <c r="G227" t="s">
        <v>127</v>
      </c>
      <c r="H227">
        <v>4.1822655450114415E-3</v>
      </c>
      <c r="I227" t="s">
        <v>73</v>
      </c>
      <c r="Q227">
        <v>20</v>
      </c>
    </row>
    <row r="228" spans="1:17" x14ac:dyDescent="0.25">
      <c r="A228" t="s">
        <v>36</v>
      </c>
      <c r="B228" t="s">
        <v>7</v>
      </c>
      <c r="C228">
        <v>4.5321096141852291</v>
      </c>
      <c r="D228">
        <v>109.96429429186539</v>
      </c>
      <c r="E228">
        <v>0.498370235377257</v>
      </c>
      <c r="F228">
        <v>20</v>
      </c>
      <c r="G228" t="s">
        <v>127</v>
      </c>
      <c r="H228">
        <v>9.9674047075451397E-3</v>
      </c>
      <c r="I228" t="s">
        <v>74</v>
      </c>
      <c r="Q228">
        <v>20</v>
      </c>
    </row>
    <row r="229" spans="1:17" x14ac:dyDescent="0.25">
      <c r="A229" t="s">
        <v>36</v>
      </c>
      <c r="B229" t="s">
        <v>9</v>
      </c>
      <c r="C229">
        <v>1305.247568885346</v>
      </c>
      <c r="D229">
        <v>0.79732520767195547</v>
      </c>
      <c r="E229">
        <v>1.0407067889248236</v>
      </c>
      <c r="F229">
        <v>20</v>
      </c>
      <c r="G229" t="s">
        <v>127</v>
      </c>
      <c r="H229">
        <v>2.081413577849647E-2</v>
      </c>
      <c r="I229" t="s">
        <v>75</v>
      </c>
      <c r="Q229">
        <v>20</v>
      </c>
    </row>
    <row r="230" spans="1:17" x14ac:dyDescent="0.25">
      <c r="A230" t="s">
        <v>36</v>
      </c>
      <c r="B230" t="s">
        <v>10</v>
      </c>
      <c r="C230">
        <v>338.39751785916377</v>
      </c>
      <c r="D230">
        <v>2.7680878208322035</v>
      </c>
      <c r="E230">
        <v>0.93671404778579925</v>
      </c>
      <c r="F230">
        <v>20</v>
      </c>
      <c r="G230" t="s">
        <v>127</v>
      </c>
      <c r="H230">
        <v>1.8734280955715985E-2</v>
      </c>
      <c r="I230" t="s">
        <v>76</v>
      </c>
      <c r="Q230">
        <v>20</v>
      </c>
    </row>
    <row r="231" spans="1:17" x14ac:dyDescent="0.25">
      <c r="A231" t="s">
        <v>36</v>
      </c>
      <c r="B231" t="s">
        <v>24</v>
      </c>
      <c r="C231">
        <v>96.68500510261822</v>
      </c>
      <c r="D231">
        <v>3.4541403503745562</v>
      </c>
      <c r="E231">
        <v>0.33396357740112348</v>
      </c>
      <c r="F231">
        <v>20</v>
      </c>
      <c r="G231" t="s">
        <v>127</v>
      </c>
      <c r="H231">
        <v>6.6792715480224699E-3</v>
      </c>
      <c r="I231" t="s">
        <v>76</v>
      </c>
      <c r="Q231">
        <v>20</v>
      </c>
    </row>
    <row r="232" spans="1:17" x14ac:dyDescent="0.25">
      <c r="A232" t="s">
        <v>36</v>
      </c>
      <c r="B232" t="s">
        <v>11</v>
      </c>
      <c r="C232">
        <v>354.51168537626683</v>
      </c>
      <c r="D232">
        <v>1.7776397238731385</v>
      </c>
      <c r="E232">
        <v>0.630194054502068</v>
      </c>
      <c r="F232">
        <v>20</v>
      </c>
      <c r="G232" t="s">
        <v>127</v>
      </c>
      <c r="H232">
        <v>1.2603881090041361E-2</v>
      </c>
      <c r="I232" t="s">
        <v>77</v>
      </c>
      <c r="Q232">
        <v>20</v>
      </c>
    </row>
    <row r="233" spans="1:17" x14ac:dyDescent="0.25">
      <c r="A233" t="s">
        <v>36</v>
      </c>
      <c r="B233" t="s">
        <v>12</v>
      </c>
      <c r="C233">
        <v>435.08252296178199</v>
      </c>
      <c r="D233">
        <v>3.2700743571227471</v>
      </c>
      <c r="E233">
        <v>1.4227522015695919</v>
      </c>
      <c r="F233">
        <v>20</v>
      </c>
      <c r="G233" t="s">
        <v>127</v>
      </c>
      <c r="H233">
        <v>2.8455044031391839E-2</v>
      </c>
      <c r="I233" t="s">
        <v>75</v>
      </c>
      <c r="Q233">
        <v>20</v>
      </c>
    </row>
    <row r="234" spans="1:17" x14ac:dyDescent="0.25">
      <c r="A234" t="s">
        <v>36</v>
      </c>
      <c r="B234" t="s">
        <v>13</v>
      </c>
      <c r="C234">
        <v>27.624287172176633</v>
      </c>
      <c r="D234">
        <v>13.388792598120331</v>
      </c>
      <c r="E234">
        <v>0.36985585161918894</v>
      </c>
      <c r="F234">
        <v>20</v>
      </c>
      <c r="G234" t="s">
        <v>127</v>
      </c>
      <c r="H234">
        <v>7.3971170323837787E-3</v>
      </c>
      <c r="I234" t="s">
        <v>77</v>
      </c>
      <c r="Q234">
        <v>20</v>
      </c>
    </row>
    <row r="235" spans="1:17" x14ac:dyDescent="0.25">
      <c r="A235" t="s">
        <v>36</v>
      </c>
      <c r="B235" t="s">
        <v>14</v>
      </c>
      <c r="C235">
        <v>338.39751785916377</v>
      </c>
      <c r="D235">
        <v>1.4064451226634005</v>
      </c>
      <c r="E235">
        <v>0.47593753851442189</v>
      </c>
      <c r="F235">
        <v>20</v>
      </c>
      <c r="G235" t="s">
        <v>127</v>
      </c>
      <c r="H235">
        <v>9.5187507702884384E-3</v>
      </c>
      <c r="I235" t="s">
        <v>73</v>
      </c>
      <c r="Q235">
        <v>20</v>
      </c>
    </row>
    <row r="236" spans="1:17" x14ac:dyDescent="0.25">
      <c r="A236" t="s">
        <v>36</v>
      </c>
      <c r="B236" t="s">
        <v>15</v>
      </c>
      <c r="C236">
        <v>1063.5350561288005</v>
      </c>
      <c r="D236">
        <v>2.0718631362538216</v>
      </c>
      <c r="E236">
        <v>2.2034990769069007</v>
      </c>
      <c r="F236">
        <v>20</v>
      </c>
      <c r="G236" t="s">
        <v>127</v>
      </c>
      <c r="H236">
        <v>4.4069981538138014E-2</v>
      </c>
      <c r="I236" t="s">
        <v>73</v>
      </c>
      <c r="Q236">
        <v>20</v>
      </c>
    </row>
    <row r="237" spans="1:17" x14ac:dyDescent="0.25">
      <c r="A237" t="s">
        <v>36</v>
      </c>
      <c r="B237" t="s">
        <v>17</v>
      </c>
      <c r="C237">
        <v>338.39751785916377</v>
      </c>
      <c r="D237">
        <v>4.1373036138108148</v>
      </c>
      <c r="E237">
        <v>1.400053273543328</v>
      </c>
      <c r="F237">
        <v>20</v>
      </c>
      <c r="G237" t="s">
        <v>127</v>
      </c>
      <c r="H237">
        <v>2.800106547086656E-2</v>
      </c>
      <c r="I237" t="s">
        <v>77</v>
      </c>
      <c r="Q237">
        <v>20</v>
      </c>
    </row>
    <row r="238" spans="1:17" x14ac:dyDescent="0.25">
      <c r="A238" t="s">
        <v>36</v>
      </c>
      <c r="B238" t="s">
        <v>18</v>
      </c>
      <c r="C238">
        <v>165.74572303305982</v>
      </c>
      <c r="D238">
        <v>4.5921659398622667</v>
      </c>
      <c r="E238">
        <v>0.76113186399026211</v>
      </c>
      <c r="F238">
        <v>20</v>
      </c>
      <c r="G238" t="s">
        <v>127</v>
      </c>
      <c r="H238">
        <v>1.5222637279805242E-2</v>
      </c>
      <c r="I238" t="s">
        <v>74</v>
      </c>
      <c r="Q238">
        <v>20</v>
      </c>
    </row>
    <row r="239" spans="1:17" x14ac:dyDescent="0.25">
      <c r="A239" t="s">
        <v>36</v>
      </c>
      <c r="B239" t="s">
        <v>19</v>
      </c>
      <c r="C239">
        <v>193.37001020523644</v>
      </c>
      <c r="D239">
        <v>6.7481623775794608</v>
      </c>
      <c r="E239">
        <v>1.3048922278191331</v>
      </c>
      <c r="F239">
        <v>20</v>
      </c>
      <c r="G239" t="s">
        <v>127</v>
      </c>
      <c r="H239">
        <v>2.6097844556382661E-2</v>
      </c>
      <c r="I239" t="s">
        <v>77</v>
      </c>
      <c r="Q239">
        <v>20</v>
      </c>
    </row>
    <row r="240" spans="1:17" x14ac:dyDescent="0.25">
      <c r="A240" t="s">
        <v>36</v>
      </c>
      <c r="B240" t="s">
        <v>51</v>
      </c>
      <c r="C240">
        <v>1849.1007225875735</v>
      </c>
      <c r="D240">
        <v>0.13110648416745477</v>
      </c>
      <c r="E240">
        <v>0.24242909460995687</v>
      </c>
      <c r="F240">
        <v>20</v>
      </c>
      <c r="G240" t="s">
        <v>127</v>
      </c>
      <c r="H240">
        <v>4.8485818921991369E-3</v>
      </c>
      <c r="I240" t="s">
        <v>52</v>
      </c>
      <c r="Q240">
        <v>20</v>
      </c>
    </row>
    <row r="241" spans="1:17" x14ac:dyDescent="0.25">
      <c r="A241" t="s">
        <v>36</v>
      </c>
      <c r="B241" t="s">
        <v>53</v>
      </c>
      <c r="C241">
        <v>12943.705058113015</v>
      </c>
      <c r="D241">
        <v>0.19357120648445253</v>
      </c>
      <c r="E241">
        <v>2.5055286044778473</v>
      </c>
      <c r="F241">
        <v>20</v>
      </c>
      <c r="G241" t="s">
        <v>127</v>
      </c>
      <c r="H241">
        <v>5.0110572089556944E-2</v>
      </c>
      <c r="I241" t="s">
        <v>54</v>
      </c>
      <c r="Q241">
        <v>20</v>
      </c>
    </row>
    <row r="242" spans="1:17" x14ac:dyDescent="0.25">
      <c r="A242" t="s">
        <v>36</v>
      </c>
      <c r="B242" t="s">
        <v>44</v>
      </c>
      <c r="C242">
        <v>410.91127168612746</v>
      </c>
      <c r="D242">
        <v>1.7411813999999998E-2</v>
      </c>
      <c r="E242">
        <v>7.154710633102317E-3</v>
      </c>
      <c r="F242">
        <v>20</v>
      </c>
      <c r="G242" t="s">
        <v>127</v>
      </c>
      <c r="H242">
        <v>1.4309421266204633E-4</v>
      </c>
      <c r="I242" t="s">
        <v>45</v>
      </c>
      <c r="Q242">
        <v>20</v>
      </c>
    </row>
    <row r="243" spans="1:17" x14ac:dyDescent="0.25">
      <c r="A243" t="s">
        <v>36</v>
      </c>
      <c r="B243" t="s">
        <v>46</v>
      </c>
      <c r="C243">
        <v>1643.6450867445099</v>
      </c>
      <c r="D243">
        <v>1.11242475E-2</v>
      </c>
      <c r="E243">
        <v>1.8284314747104898E-2</v>
      </c>
      <c r="F243">
        <v>20</v>
      </c>
      <c r="G243" t="s">
        <v>127</v>
      </c>
      <c r="H243">
        <v>3.6568629494209797E-4</v>
      </c>
      <c r="I243" t="s">
        <v>45</v>
      </c>
      <c r="Q243">
        <v>20</v>
      </c>
    </row>
    <row r="244" spans="1:17" x14ac:dyDescent="0.25">
      <c r="A244" t="s">
        <v>36</v>
      </c>
      <c r="B244" t="s">
        <v>48</v>
      </c>
      <c r="C244">
        <v>410.91127168612746</v>
      </c>
      <c r="D244">
        <v>1.724909584125</v>
      </c>
      <c r="E244">
        <v>0.708784790756393</v>
      </c>
      <c r="F244">
        <v>20</v>
      </c>
      <c r="G244" t="s">
        <v>127</v>
      </c>
      <c r="H244">
        <v>1.417569581512786E-2</v>
      </c>
      <c r="I244" t="s">
        <v>45</v>
      </c>
      <c r="Q244">
        <v>20</v>
      </c>
    </row>
    <row r="245" spans="1:17" x14ac:dyDescent="0.25">
      <c r="A245" t="s">
        <v>36</v>
      </c>
      <c r="B245" t="s">
        <v>49</v>
      </c>
      <c r="C245">
        <v>1438.1894509014462</v>
      </c>
      <c r="D245">
        <v>9.9416571428571458E-3</v>
      </c>
      <c r="E245">
        <v>1.429798642733616E-2</v>
      </c>
      <c r="F245">
        <v>20</v>
      </c>
      <c r="G245" t="s">
        <v>127</v>
      </c>
      <c r="H245">
        <v>2.8595972854672318E-4</v>
      </c>
      <c r="I245" t="s">
        <v>45</v>
      </c>
      <c r="Q245">
        <v>20</v>
      </c>
    </row>
    <row r="246" spans="1:17" x14ac:dyDescent="0.25">
      <c r="A246" t="s">
        <v>36</v>
      </c>
      <c r="B246" t="s">
        <v>50</v>
      </c>
      <c r="C246">
        <v>19518.285405091054</v>
      </c>
      <c r="D246">
        <v>1.2051475799999999E-2</v>
      </c>
      <c r="E246">
        <v>0.23522414421694801</v>
      </c>
      <c r="F246">
        <v>20</v>
      </c>
      <c r="G246" t="s">
        <v>127</v>
      </c>
      <c r="H246">
        <v>4.70448288433896E-3</v>
      </c>
      <c r="I246" t="s">
        <v>45</v>
      </c>
      <c r="Q246">
        <v>20</v>
      </c>
    </row>
    <row r="247" spans="1:17" x14ac:dyDescent="0.25">
      <c r="A247" t="s">
        <v>36</v>
      </c>
      <c r="B247" t="s">
        <v>55</v>
      </c>
      <c r="C247">
        <v>3081.8345376459561</v>
      </c>
      <c r="D247">
        <v>1.8405084000000002E-2</v>
      </c>
      <c r="E247">
        <v>5.6721423539474992E-2</v>
      </c>
      <c r="F247">
        <v>20</v>
      </c>
      <c r="G247" t="s">
        <v>127</v>
      </c>
      <c r="H247">
        <v>1.1344284707894999E-3</v>
      </c>
      <c r="I247" t="s">
        <v>45</v>
      </c>
      <c r="Q247">
        <v>20</v>
      </c>
    </row>
    <row r="248" spans="1:17" x14ac:dyDescent="0.25">
      <c r="A248" t="s">
        <v>36</v>
      </c>
      <c r="B248" t="s">
        <v>56</v>
      </c>
      <c r="C248">
        <v>5136.390896076593</v>
      </c>
      <c r="D248">
        <v>7.0232931090000008E-3</v>
      </c>
      <c r="E248">
        <v>3.6074378785545071E-2</v>
      </c>
      <c r="F248">
        <v>20</v>
      </c>
      <c r="G248" t="s">
        <v>127</v>
      </c>
      <c r="H248">
        <v>7.2148757571090141E-4</v>
      </c>
      <c r="I248" t="s">
        <v>45</v>
      </c>
      <c r="Q248">
        <v>20</v>
      </c>
    </row>
    <row r="249" spans="1:17" x14ac:dyDescent="0.25">
      <c r="A249" t="s">
        <v>36</v>
      </c>
      <c r="B249" t="s">
        <v>57</v>
      </c>
      <c r="C249">
        <v>11710.971243054633</v>
      </c>
      <c r="D249">
        <v>1.2958672000000003E-3</v>
      </c>
      <c r="E249">
        <v>1.5175863514017731E-2</v>
      </c>
      <c r="F249">
        <v>20</v>
      </c>
      <c r="G249" t="s">
        <v>127</v>
      </c>
      <c r="H249">
        <v>3.0351727028035463E-4</v>
      </c>
      <c r="I249" t="s">
        <v>45</v>
      </c>
      <c r="Q249">
        <v>20</v>
      </c>
    </row>
    <row r="250" spans="1:17" x14ac:dyDescent="0.25">
      <c r="A250" t="s">
        <v>36</v>
      </c>
      <c r="B250" t="s">
        <v>59</v>
      </c>
      <c r="C250">
        <v>7807.3141620364213</v>
      </c>
      <c r="D250">
        <v>3.4860185000000002E-3</v>
      </c>
      <c r="E250">
        <v>2.7216441604170964E-2</v>
      </c>
      <c r="F250">
        <v>20</v>
      </c>
      <c r="G250" t="s">
        <v>127</v>
      </c>
      <c r="H250">
        <v>5.4432883208341927E-4</v>
      </c>
      <c r="I250" t="s">
        <v>45</v>
      </c>
      <c r="Q250">
        <v>20</v>
      </c>
    </row>
    <row r="251" spans="1:17" x14ac:dyDescent="0.25">
      <c r="A251" t="s">
        <v>36</v>
      </c>
      <c r="B251" t="s">
        <v>60</v>
      </c>
      <c r="C251">
        <v>1438.1894509014462</v>
      </c>
      <c r="D251">
        <v>2.2410751428571427E-3</v>
      </c>
      <c r="E251">
        <v>3.2230906291345943E-3</v>
      </c>
      <c r="F251">
        <v>20</v>
      </c>
      <c r="G251" t="s">
        <v>127</v>
      </c>
      <c r="H251">
        <v>6.4461812582691894E-5</v>
      </c>
      <c r="I251" t="s">
        <v>45</v>
      </c>
      <c r="Q251">
        <v>20</v>
      </c>
    </row>
    <row r="252" spans="1:17" x14ac:dyDescent="0.25">
      <c r="A252" t="s">
        <v>36</v>
      </c>
      <c r="B252" t="s">
        <v>62</v>
      </c>
      <c r="C252">
        <v>410.91127168612746</v>
      </c>
      <c r="D252">
        <v>0.34661624000000002</v>
      </c>
      <c r="E252">
        <v>0.14242851996546399</v>
      </c>
      <c r="F252">
        <v>20</v>
      </c>
      <c r="G252" t="s">
        <v>127</v>
      </c>
      <c r="H252">
        <v>2.84857039930928E-3</v>
      </c>
      <c r="I252" t="s">
        <v>45</v>
      </c>
      <c r="Q252">
        <v>20</v>
      </c>
    </row>
    <row r="253" spans="1:17" x14ac:dyDescent="0.25">
      <c r="A253" t="s">
        <v>36</v>
      </c>
      <c r="B253" t="s">
        <v>70</v>
      </c>
      <c r="C253">
        <v>1232.7338150583823</v>
      </c>
      <c r="D253">
        <v>6.6933838333333343E-2</v>
      </c>
      <c r="E253">
        <v>8.251160588515101E-2</v>
      </c>
      <c r="F253">
        <v>20</v>
      </c>
      <c r="G253" t="s">
        <v>127</v>
      </c>
      <c r="H253">
        <v>1.6502321177030202E-3</v>
      </c>
      <c r="I253" t="s">
        <v>45</v>
      </c>
      <c r="Q253">
        <v>20</v>
      </c>
    </row>
    <row r="254" spans="1:17" x14ac:dyDescent="0.25">
      <c r="A254" t="s">
        <v>36</v>
      </c>
      <c r="B254" t="s">
        <v>63</v>
      </c>
      <c r="C254">
        <v>6574.5803469780394</v>
      </c>
      <c r="D254">
        <v>1.7570931499999998E-2</v>
      </c>
      <c r="E254">
        <v>0.11552150091799734</v>
      </c>
      <c r="F254">
        <v>20</v>
      </c>
      <c r="G254" t="s">
        <v>127</v>
      </c>
      <c r="H254">
        <v>2.3104300183599468E-3</v>
      </c>
      <c r="I254" t="s">
        <v>45</v>
      </c>
      <c r="Q254">
        <v>20</v>
      </c>
    </row>
    <row r="255" spans="1:17" x14ac:dyDescent="0.25">
      <c r="A255" t="s">
        <v>36</v>
      </c>
      <c r="B255" t="s">
        <v>65</v>
      </c>
      <c r="C255">
        <v>4109.1127168612747</v>
      </c>
      <c r="D255">
        <v>3.1724540539999999E-2</v>
      </c>
      <c r="E255">
        <v>0.13035971296949503</v>
      </c>
      <c r="F255">
        <v>20</v>
      </c>
      <c r="G255" t="s">
        <v>127</v>
      </c>
      <c r="H255">
        <v>2.6071942593899004E-3</v>
      </c>
      <c r="I255" t="s">
        <v>45</v>
      </c>
      <c r="Q255">
        <v>20</v>
      </c>
    </row>
    <row r="256" spans="1:17" x14ac:dyDescent="0.25">
      <c r="A256" t="s">
        <v>36</v>
      </c>
      <c r="B256" t="s">
        <v>66</v>
      </c>
      <c r="C256">
        <v>1232.7338150583823</v>
      </c>
      <c r="D256">
        <v>4.6289124933333342E-2</v>
      </c>
      <c r="E256">
        <v>5.70621695747821E-2</v>
      </c>
      <c r="F256">
        <v>20</v>
      </c>
      <c r="G256" t="s">
        <v>127</v>
      </c>
      <c r="H256">
        <v>1.141243391495642E-3</v>
      </c>
      <c r="I256" t="s">
        <v>45</v>
      </c>
      <c r="Q256">
        <v>20</v>
      </c>
    </row>
    <row r="257" spans="1:17" x14ac:dyDescent="0.25">
      <c r="A257" t="s">
        <v>36</v>
      </c>
      <c r="B257" t="s">
        <v>67</v>
      </c>
      <c r="C257">
        <v>6369.1247111349758</v>
      </c>
      <c r="D257">
        <v>2.7099097499999995E-2</v>
      </c>
      <c r="E257">
        <v>0.17259753153670601</v>
      </c>
      <c r="F257">
        <v>20</v>
      </c>
      <c r="G257" t="s">
        <v>127</v>
      </c>
      <c r="H257">
        <v>3.45195063073412E-3</v>
      </c>
      <c r="I257" t="s">
        <v>45</v>
      </c>
      <c r="Q257">
        <v>20</v>
      </c>
    </row>
    <row r="258" spans="1:17" x14ac:dyDescent="0.25">
      <c r="A258" t="s">
        <v>36</v>
      </c>
      <c r="B258" t="s">
        <v>68</v>
      </c>
      <c r="C258">
        <v>4725.4796243904657</v>
      </c>
      <c r="D258">
        <v>9.59309330824E-2</v>
      </c>
      <c r="E258">
        <v>0.45331966962964648</v>
      </c>
      <c r="F258">
        <v>20</v>
      </c>
      <c r="G258" t="s">
        <v>127</v>
      </c>
      <c r="H258">
        <v>9.0663933925929311E-3</v>
      </c>
      <c r="I258" t="s">
        <v>45</v>
      </c>
      <c r="Q258">
        <v>20</v>
      </c>
    </row>
    <row r="259" spans="1:17" x14ac:dyDescent="0.25">
      <c r="A259" t="s">
        <v>36</v>
      </c>
      <c r="B259" t="s">
        <v>69</v>
      </c>
      <c r="C259">
        <v>1027.2781792153187</v>
      </c>
      <c r="D259">
        <v>9.1614518257600003E-2</v>
      </c>
      <c r="E259">
        <v>9.4113595505355904E-2</v>
      </c>
      <c r="F259">
        <v>20</v>
      </c>
      <c r="G259" t="s">
        <v>127</v>
      </c>
      <c r="H259">
        <v>1.8822719101071182E-3</v>
      </c>
      <c r="I259" t="s">
        <v>45</v>
      </c>
      <c r="Q259">
        <v>13</v>
      </c>
    </row>
    <row r="260" spans="1:17" x14ac:dyDescent="0.25">
      <c r="A260" t="s">
        <v>37</v>
      </c>
      <c r="B260" t="s">
        <v>6</v>
      </c>
      <c r="C260">
        <v>308.4251662773521</v>
      </c>
      <c r="D260">
        <v>1.0851719682265857</v>
      </c>
      <c r="E260">
        <v>0.33469434473980614</v>
      </c>
      <c r="F260">
        <v>20</v>
      </c>
      <c r="G260" t="s">
        <v>128</v>
      </c>
      <c r="H260">
        <v>6.6938868947961222E-3</v>
      </c>
      <c r="I260" t="s">
        <v>73</v>
      </c>
      <c r="Q260">
        <v>13</v>
      </c>
    </row>
    <row r="261" spans="1:17" x14ac:dyDescent="0.25">
      <c r="A261" t="s">
        <v>37</v>
      </c>
      <c r="B261" t="s">
        <v>7</v>
      </c>
      <c r="C261">
        <v>6.9001368875970108</v>
      </c>
      <c r="D261">
        <v>134.28356637678948</v>
      </c>
      <c r="E261">
        <v>0.92657498975456676</v>
      </c>
      <c r="F261">
        <v>20</v>
      </c>
      <c r="G261" t="s">
        <v>128</v>
      </c>
      <c r="H261">
        <v>1.8531499795091336E-2</v>
      </c>
      <c r="I261" t="s">
        <v>74</v>
      </c>
      <c r="Q261">
        <v>13</v>
      </c>
    </row>
    <row r="262" spans="1:17" x14ac:dyDescent="0.25">
      <c r="A262" t="s">
        <v>37</v>
      </c>
      <c r="B262" t="s">
        <v>9</v>
      </c>
      <c r="C262">
        <v>1219.6813393695288</v>
      </c>
      <c r="D262">
        <v>0.44132942955593923</v>
      </c>
      <c r="E262">
        <v>0.53828126974397805</v>
      </c>
      <c r="F262">
        <v>20</v>
      </c>
      <c r="G262" t="s">
        <v>128</v>
      </c>
      <c r="H262">
        <v>1.076562539487956E-2</v>
      </c>
      <c r="I262" t="s">
        <v>75</v>
      </c>
      <c r="Q262">
        <v>13</v>
      </c>
    </row>
    <row r="263" spans="1:17" x14ac:dyDescent="0.25">
      <c r="A263" t="s">
        <v>37</v>
      </c>
      <c r="B263" t="s">
        <v>10</v>
      </c>
      <c r="C263">
        <v>168.23190887855571</v>
      </c>
      <c r="D263">
        <v>5.4586001809720246</v>
      </c>
      <c r="E263">
        <v>0.91831072824975346</v>
      </c>
      <c r="F263">
        <v>20</v>
      </c>
      <c r="G263" t="s">
        <v>128</v>
      </c>
      <c r="H263">
        <v>1.836621456499507E-2</v>
      </c>
      <c r="I263" t="s">
        <v>76</v>
      </c>
      <c r="Q263">
        <v>13</v>
      </c>
    </row>
    <row r="264" spans="1:17" x14ac:dyDescent="0.25">
      <c r="A264" t="s">
        <v>37</v>
      </c>
      <c r="B264" t="s">
        <v>11</v>
      </c>
      <c r="C264">
        <v>967.33347605169524</v>
      </c>
      <c r="D264">
        <v>1.3546579544999586</v>
      </c>
      <c r="E264">
        <v>1.3104059879875243</v>
      </c>
      <c r="F264">
        <v>20</v>
      </c>
      <c r="G264" t="s">
        <v>128</v>
      </c>
      <c r="H264">
        <v>2.6208119759750483E-2</v>
      </c>
      <c r="I264" t="s">
        <v>77</v>
      </c>
      <c r="Q264">
        <v>13</v>
      </c>
    </row>
    <row r="265" spans="1:17" x14ac:dyDescent="0.25">
      <c r="A265" t="s">
        <v>37</v>
      </c>
      <c r="B265" t="s">
        <v>12</v>
      </c>
      <c r="C265">
        <v>308.4251662773521</v>
      </c>
      <c r="D265">
        <v>4.5916660269167595</v>
      </c>
      <c r="E265">
        <v>1.4161853578418702</v>
      </c>
      <c r="F265">
        <v>20</v>
      </c>
      <c r="G265" t="s">
        <v>128</v>
      </c>
      <c r="H265">
        <v>2.8323707156837404E-2</v>
      </c>
      <c r="I265" t="s">
        <v>75</v>
      </c>
      <c r="Q265">
        <v>13</v>
      </c>
    </row>
    <row r="266" spans="1:17" x14ac:dyDescent="0.25">
      <c r="A266" t="s">
        <v>37</v>
      </c>
      <c r="B266" t="s">
        <v>25</v>
      </c>
      <c r="C266">
        <v>238.32853757795388</v>
      </c>
      <c r="D266">
        <v>2.7837974925809053</v>
      </c>
      <c r="E266">
        <v>0.66345838531998214</v>
      </c>
      <c r="F266">
        <v>20</v>
      </c>
      <c r="G266" t="s">
        <v>128</v>
      </c>
      <c r="H266">
        <v>1.3269167706399642E-2</v>
      </c>
      <c r="I266" t="s">
        <v>77</v>
      </c>
      <c r="Q266">
        <v>13</v>
      </c>
    </row>
    <row r="267" spans="1:17" x14ac:dyDescent="0.25">
      <c r="A267" t="s">
        <v>37</v>
      </c>
      <c r="B267" t="s">
        <v>13</v>
      </c>
      <c r="C267">
        <v>30.041412299742085</v>
      </c>
      <c r="D267">
        <v>14.618168760830832</v>
      </c>
      <c r="E267">
        <v>0.43915043481132887</v>
      </c>
      <c r="F267">
        <v>20</v>
      </c>
      <c r="G267" t="s">
        <v>128</v>
      </c>
      <c r="H267">
        <v>8.7830086962265783E-3</v>
      </c>
      <c r="I267" t="s">
        <v>77</v>
      </c>
      <c r="Q267">
        <v>13</v>
      </c>
    </row>
    <row r="268" spans="1:17" x14ac:dyDescent="0.25">
      <c r="A268" t="s">
        <v>37</v>
      </c>
      <c r="B268" t="s">
        <v>17</v>
      </c>
      <c r="C268">
        <v>1135.565384930251</v>
      </c>
      <c r="D268">
        <v>4.1634956648745689</v>
      </c>
      <c r="E268">
        <v>4.7279215573387212</v>
      </c>
      <c r="F268">
        <v>20</v>
      </c>
      <c r="G268" t="s">
        <v>128</v>
      </c>
      <c r="H268">
        <v>9.4558431146774424E-2</v>
      </c>
      <c r="I268" t="s">
        <v>77</v>
      </c>
      <c r="Q268">
        <v>13</v>
      </c>
    </row>
    <row r="269" spans="1:17" x14ac:dyDescent="0.25">
      <c r="A269" t="s">
        <v>37</v>
      </c>
      <c r="B269" t="s">
        <v>18</v>
      </c>
      <c r="C269">
        <v>925.27549883205631</v>
      </c>
      <c r="D269">
        <v>9.1239449017993675</v>
      </c>
      <c r="E269">
        <v>8.4421626703286066</v>
      </c>
      <c r="F269">
        <v>20</v>
      </c>
      <c r="G269" t="s">
        <v>128</v>
      </c>
      <c r="H269">
        <v>0.16884325340657214</v>
      </c>
      <c r="I269" t="s">
        <v>74</v>
      </c>
      <c r="Q269">
        <v>13</v>
      </c>
    </row>
    <row r="270" spans="1:17" x14ac:dyDescent="0.25">
      <c r="A270" t="s">
        <v>37</v>
      </c>
      <c r="B270" t="s">
        <v>27</v>
      </c>
      <c r="C270">
        <v>28.038651479759281</v>
      </c>
      <c r="D270">
        <v>0.38031911643132343</v>
      </c>
      <c r="E270">
        <v>1.0663635156707868E-2</v>
      </c>
      <c r="F270">
        <v>20</v>
      </c>
      <c r="G270" t="s">
        <v>128</v>
      </c>
      <c r="H270">
        <v>2.1327270313415737E-4</v>
      </c>
      <c r="I270" t="s">
        <v>75</v>
      </c>
      <c r="Q270">
        <v>13</v>
      </c>
    </row>
    <row r="271" spans="1:17" x14ac:dyDescent="0.25">
      <c r="A271" t="s">
        <v>37</v>
      </c>
      <c r="B271" t="s">
        <v>19</v>
      </c>
      <c r="C271">
        <v>182.25123461843532</v>
      </c>
      <c r="D271">
        <v>6.5680988584684661</v>
      </c>
      <c r="E271">
        <v>1.1970441260518137</v>
      </c>
      <c r="F271">
        <v>20</v>
      </c>
      <c r="G271" t="s">
        <v>128</v>
      </c>
      <c r="H271">
        <v>2.3940882521036273E-2</v>
      </c>
      <c r="I271" t="s">
        <v>77</v>
      </c>
      <c r="Q271">
        <v>13</v>
      </c>
    </row>
    <row r="272" spans="1:17" x14ac:dyDescent="0.25">
      <c r="A272" t="s">
        <v>37</v>
      </c>
      <c r="B272" t="s">
        <v>34</v>
      </c>
      <c r="C272">
        <v>28.038651479759281</v>
      </c>
      <c r="D272">
        <v>0.1934622989059851</v>
      </c>
      <c r="E272">
        <v>5.424421973497932E-3</v>
      </c>
      <c r="F272">
        <v>20</v>
      </c>
      <c r="G272" t="s">
        <v>128</v>
      </c>
      <c r="H272">
        <v>1.0848843946995864E-4</v>
      </c>
      <c r="I272" t="s">
        <v>75</v>
      </c>
      <c r="Q272">
        <v>13</v>
      </c>
    </row>
    <row r="273" spans="1:17" x14ac:dyDescent="0.25">
      <c r="A273" t="s">
        <v>37</v>
      </c>
      <c r="B273" t="s">
        <v>51</v>
      </c>
      <c r="C273">
        <v>8706.0012844652574</v>
      </c>
      <c r="D273">
        <v>0.15273626363331205</v>
      </c>
      <c r="E273">
        <v>1.3297221073760388</v>
      </c>
      <c r="F273">
        <v>20</v>
      </c>
      <c r="G273" t="s">
        <v>128</v>
      </c>
      <c r="H273">
        <v>2.6594442147520776E-2</v>
      </c>
      <c r="I273" t="s">
        <v>52</v>
      </c>
      <c r="Q273">
        <v>13</v>
      </c>
    </row>
    <row r="274" spans="1:17" x14ac:dyDescent="0.25">
      <c r="A274" t="s">
        <v>37</v>
      </c>
      <c r="B274" t="s">
        <v>53</v>
      </c>
      <c r="C274">
        <v>39660.672518119507</v>
      </c>
      <c r="D274">
        <v>0.22344748189347374</v>
      </c>
      <c r="E274">
        <v>8.8620774043755013</v>
      </c>
      <c r="F274">
        <v>20</v>
      </c>
      <c r="G274" t="s">
        <v>128</v>
      </c>
      <c r="H274">
        <v>0.17724154808751</v>
      </c>
      <c r="I274" t="s">
        <v>54</v>
      </c>
      <c r="Q274">
        <v>13</v>
      </c>
    </row>
    <row r="275" spans="1:17" x14ac:dyDescent="0.25">
      <c r="A275" t="s">
        <v>37</v>
      </c>
      <c r="B275" t="s">
        <v>46</v>
      </c>
      <c r="C275">
        <v>7255.0010703877142</v>
      </c>
      <c r="D275">
        <v>1.3986580000000002E-2</v>
      </c>
      <c r="E275">
        <v>0.1014726528710634</v>
      </c>
      <c r="F275">
        <v>20</v>
      </c>
      <c r="G275" t="s">
        <v>128</v>
      </c>
      <c r="H275">
        <v>2.0294530574212679E-3</v>
      </c>
      <c r="I275" t="s">
        <v>45</v>
      </c>
      <c r="Q275">
        <v>13</v>
      </c>
    </row>
    <row r="276" spans="1:17" x14ac:dyDescent="0.25">
      <c r="A276" t="s">
        <v>37</v>
      </c>
      <c r="B276" t="s">
        <v>48</v>
      </c>
      <c r="C276">
        <v>2902.000428155086</v>
      </c>
      <c r="D276">
        <v>1.8492350877650001</v>
      </c>
      <c r="E276">
        <v>5.366481016453438</v>
      </c>
      <c r="F276">
        <v>20</v>
      </c>
      <c r="G276" t="s">
        <v>128</v>
      </c>
      <c r="H276">
        <v>0.10732962032906876</v>
      </c>
      <c r="I276" t="s">
        <v>45</v>
      </c>
      <c r="Q276">
        <v>13</v>
      </c>
    </row>
    <row r="277" spans="1:17" x14ac:dyDescent="0.25">
      <c r="A277" t="s">
        <v>37</v>
      </c>
      <c r="B277" t="s">
        <v>49</v>
      </c>
      <c r="C277">
        <v>4353.0006422326287</v>
      </c>
      <c r="D277">
        <v>1.2488260000000003E-2</v>
      </c>
      <c r="E277">
        <v>5.4361403800368059E-2</v>
      </c>
      <c r="F277">
        <v>20</v>
      </c>
      <c r="G277" t="s">
        <v>128</v>
      </c>
      <c r="H277">
        <v>1.0872280760073612E-3</v>
      </c>
      <c r="I277" t="s">
        <v>45</v>
      </c>
      <c r="Q277">
        <v>13</v>
      </c>
    </row>
    <row r="278" spans="1:17" x14ac:dyDescent="0.25">
      <c r="A278" t="s">
        <v>37</v>
      </c>
      <c r="B278" t="s">
        <v>50</v>
      </c>
      <c r="C278">
        <v>65778.676371515277</v>
      </c>
      <c r="D278">
        <v>1.6221207600000002E-2</v>
      </c>
      <c r="E278">
        <v>1.0670095650755642</v>
      </c>
      <c r="F278">
        <v>20</v>
      </c>
      <c r="G278" t="s">
        <v>128</v>
      </c>
      <c r="H278">
        <v>2.1340191301511283E-2</v>
      </c>
      <c r="I278" t="s">
        <v>45</v>
      </c>
      <c r="Q278">
        <v>13</v>
      </c>
    </row>
    <row r="279" spans="1:17" x14ac:dyDescent="0.25">
      <c r="A279" t="s">
        <v>37</v>
      </c>
      <c r="B279" t="s">
        <v>55</v>
      </c>
      <c r="C279">
        <v>4836.6673802584764</v>
      </c>
      <c r="D279">
        <v>2.2153042000000001E-2</v>
      </c>
      <c r="E279">
        <v>0.10714689561489601</v>
      </c>
      <c r="F279">
        <v>20</v>
      </c>
      <c r="G279" t="s">
        <v>128</v>
      </c>
      <c r="H279">
        <v>2.1429379122979201E-3</v>
      </c>
      <c r="I279" t="s">
        <v>45</v>
      </c>
      <c r="Q279">
        <v>13</v>
      </c>
    </row>
    <row r="280" spans="1:17" x14ac:dyDescent="0.25">
      <c r="A280" t="s">
        <v>37</v>
      </c>
      <c r="B280" t="s">
        <v>56</v>
      </c>
      <c r="C280">
        <v>3869.333904206781</v>
      </c>
      <c r="D280">
        <v>6.3636202743749988E-3</v>
      </c>
      <c r="E280">
        <v>2.4622971681136838E-2</v>
      </c>
      <c r="F280">
        <v>20</v>
      </c>
      <c r="G280" t="s">
        <v>128</v>
      </c>
      <c r="H280">
        <v>4.9245943362273678E-4</v>
      </c>
      <c r="I280" t="s">
        <v>45</v>
      </c>
      <c r="Q280">
        <v>13</v>
      </c>
    </row>
    <row r="281" spans="1:17" x14ac:dyDescent="0.25">
      <c r="A281" t="s">
        <v>37</v>
      </c>
      <c r="B281" t="s">
        <v>57</v>
      </c>
      <c r="C281">
        <v>20797.669735111449</v>
      </c>
      <c r="D281">
        <v>1.8357885000000005E-3</v>
      </c>
      <c r="E281">
        <v>3.8180122926515653E-2</v>
      </c>
      <c r="F281">
        <v>20</v>
      </c>
      <c r="G281" t="s">
        <v>128</v>
      </c>
      <c r="H281">
        <v>7.6360245853031306E-4</v>
      </c>
      <c r="I281" t="s">
        <v>45</v>
      </c>
      <c r="Q281">
        <v>13</v>
      </c>
    </row>
    <row r="282" spans="1:17" x14ac:dyDescent="0.25">
      <c r="A282" t="s">
        <v>37</v>
      </c>
      <c r="B282" t="s">
        <v>58</v>
      </c>
      <c r="C282">
        <v>483.66673802584762</v>
      </c>
      <c r="D282">
        <v>3.2032260000000004E-3</v>
      </c>
      <c r="E282">
        <v>1.5492938705795841E-3</v>
      </c>
      <c r="F282">
        <v>20</v>
      </c>
      <c r="G282" t="s">
        <v>128</v>
      </c>
      <c r="H282">
        <v>3.0985877411591681E-5</v>
      </c>
      <c r="I282" t="s">
        <v>45</v>
      </c>
      <c r="Q282">
        <v>13</v>
      </c>
    </row>
    <row r="283" spans="1:17" x14ac:dyDescent="0.25">
      <c r="A283" t="s">
        <v>37</v>
      </c>
      <c r="B283" t="s">
        <v>59</v>
      </c>
      <c r="C283">
        <v>17895.669306956363</v>
      </c>
      <c r="D283">
        <v>4.1123686000000001E-3</v>
      </c>
      <c r="E283">
        <v>7.3593588533911097E-2</v>
      </c>
      <c r="F283">
        <v>20</v>
      </c>
      <c r="G283" t="s">
        <v>128</v>
      </c>
      <c r="H283">
        <v>1.4718717706782218E-3</v>
      </c>
      <c r="I283" t="s">
        <v>45</v>
      </c>
      <c r="Q283">
        <v>13</v>
      </c>
    </row>
    <row r="284" spans="1:17" x14ac:dyDescent="0.25">
      <c r="A284" t="s">
        <v>37</v>
      </c>
      <c r="B284" t="s">
        <v>60</v>
      </c>
      <c r="C284">
        <v>7738.6678084135619</v>
      </c>
      <c r="D284">
        <v>2.017703875E-3</v>
      </c>
      <c r="E284">
        <v>1.5614340024373801E-2</v>
      </c>
      <c r="F284">
        <v>20</v>
      </c>
      <c r="G284" t="s">
        <v>128</v>
      </c>
      <c r="H284">
        <v>3.1228680048747605E-4</v>
      </c>
      <c r="I284" t="s">
        <v>45</v>
      </c>
      <c r="Q284">
        <v>13</v>
      </c>
    </row>
    <row r="285" spans="1:17" x14ac:dyDescent="0.25">
      <c r="A285" t="s">
        <v>37</v>
      </c>
      <c r="B285" t="s">
        <v>62</v>
      </c>
      <c r="C285">
        <v>967.33347605169524</v>
      </c>
      <c r="D285">
        <v>5.1860210000000004E-2</v>
      </c>
      <c r="E285">
        <v>5.016611720807089E-2</v>
      </c>
      <c r="F285">
        <v>20</v>
      </c>
      <c r="G285" t="s">
        <v>128</v>
      </c>
      <c r="H285">
        <v>1.0033223441614177E-3</v>
      </c>
      <c r="I285" t="s">
        <v>45</v>
      </c>
      <c r="Q285">
        <v>13</v>
      </c>
    </row>
    <row r="286" spans="1:17" x14ac:dyDescent="0.25">
      <c r="A286" t="s">
        <v>37</v>
      </c>
      <c r="B286" t="s">
        <v>63</v>
      </c>
      <c r="C286">
        <v>10157.001498542801</v>
      </c>
      <c r="D286">
        <v>2.3693007000000006E-2</v>
      </c>
      <c r="E286">
        <v>0.24064990760398514</v>
      </c>
      <c r="F286">
        <v>20</v>
      </c>
      <c r="G286" t="s">
        <v>128</v>
      </c>
      <c r="H286">
        <v>4.8129981520797028E-3</v>
      </c>
      <c r="I286" t="s">
        <v>45</v>
      </c>
      <c r="Q286">
        <v>13</v>
      </c>
    </row>
    <row r="287" spans="1:17" x14ac:dyDescent="0.25">
      <c r="A287" t="s">
        <v>37</v>
      </c>
      <c r="B287" t="s">
        <v>64</v>
      </c>
      <c r="C287">
        <v>14993.668878801276</v>
      </c>
      <c r="D287">
        <v>2.9873428200000003E-2</v>
      </c>
      <c r="E287">
        <v>0.44791229070544447</v>
      </c>
      <c r="F287">
        <v>20</v>
      </c>
      <c r="G287" t="s">
        <v>128</v>
      </c>
      <c r="H287">
        <v>8.958245814108888E-3</v>
      </c>
      <c r="I287" t="s">
        <v>45</v>
      </c>
      <c r="Q287">
        <v>13</v>
      </c>
    </row>
    <row r="288" spans="1:17" x14ac:dyDescent="0.25">
      <c r="A288" t="s">
        <v>37</v>
      </c>
      <c r="B288" t="s">
        <v>65</v>
      </c>
      <c r="C288">
        <v>19346.669521033906</v>
      </c>
      <c r="D288">
        <v>3.4026771240000003E-2</v>
      </c>
      <c r="E288">
        <v>0.65830469804810121</v>
      </c>
      <c r="F288">
        <v>20</v>
      </c>
      <c r="G288" t="s">
        <v>128</v>
      </c>
      <c r="H288">
        <v>1.3166093960962025E-2</v>
      </c>
      <c r="I288" t="s">
        <v>45</v>
      </c>
      <c r="Q288">
        <v>13</v>
      </c>
    </row>
    <row r="289" spans="1:17" x14ac:dyDescent="0.25">
      <c r="A289" t="s">
        <v>37</v>
      </c>
      <c r="B289" t="s">
        <v>67</v>
      </c>
      <c r="C289">
        <v>2418.3336901292382</v>
      </c>
      <c r="D289">
        <v>3.6161214000000004E-2</v>
      </c>
      <c r="E289">
        <v>8.7449882092173081E-2</v>
      </c>
      <c r="F289">
        <v>20</v>
      </c>
      <c r="G289" t="s">
        <v>128</v>
      </c>
      <c r="H289">
        <v>1.7489976418434616E-3</v>
      </c>
      <c r="I289" t="s">
        <v>45</v>
      </c>
      <c r="Q289">
        <v>13</v>
      </c>
    </row>
    <row r="290" spans="1:17" x14ac:dyDescent="0.25">
      <c r="A290" t="s">
        <v>37</v>
      </c>
      <c r="B290" t="s">
        <v>68</v>
      </c>
      <c r="C290">
        <v>1934.6669521033905</v>
      </c>
      <c r="D290">
        <v>0.10104956027400001</v>
      </c>
      <c r="E290">
        <v>0.19549724478668745</v>
      </c>
      <c r="F290">
        <v>20</v>
      </c>
      <c r="G290" t="s">
        <v>128</v>
      </c>
      <c r="H290">
        <v>3.9099448957337487E-3</v>
      </c>
      <c r="I290" t="s">
        <v>45</v>
      </c>
      <c r="Q290">
        <v>13</v>
      </c>
    </row>
    <row r="291" spans="1:17" x14ac:dyDescent="0.25">
      <c r="A291" t="s">
        <v>37</v>
      </c>
      <c r="B291" t="s">
        <v>69</v>
      </c>
      <c r="C291">
        <v>7255.0010703877142</v>
      </c>
      <c r="D291">
        <v>7.7760748734933341E-2</v>
      </c>
      <c r="E291">
        <v>0.5641543153060915</v>
      </c>
      <c r="F291">
        <v>20</v>
      </c>
      <c r="G291" t="s">
        <v>128</v>
      </c>
      <c r="H291">
        <v>1.128308630612183E-2</v>
      </c>
      <c r="I291" t="s">
        <v>45</v>
      </c>
      <c r="Q291">
        <v>13</v>
      </c>
    </row>
    <row r="292" spans="1:17" x14ac:dyDescent="0.25">
      <c r="A292" t="s">
        <v>38</v>
      </c>
      <c r="B292" t="s">
        <v>6</v>
      </c>
      <c r="C292">
        <v>3154.3482914729193</v>
      </c>
      <c r="D292">
        <v>1.6989732785975822</v>
      </c>
      <c r="E292">
        <v>5.3591534586024272</v>
      </c>
      <c r="F292">
        <v>20</v>
      </c>
      <c r="G292" t="s">
        <v>129</v>
      </c>
      <c r="H292">
        <v>0.10718306917204855</v>
      </c>
      <c r="I292" t="s">
        <v>73</v>
      </c>
      <c r="Q292">
        <v>13</v>
      </c>
    </row>
    <row r="293" spans="1:17" x14ac:dyDescent="0.25">
      <c r="A293" t="s">
        <v>38</v>
      </c>
      <c r="B293" t="s">
        <v>7</v>
      </c>
      <c r="C293">
        <v>0.29337316698966887</v>
      </c>
      <c r="D293">
        <v>44.138847778588001</v>
      </c>
      <c r="E293">
        <v>1.2949153560079273E-2</v>
      </c>
      <c r="F293">
        <v>20</v>
      </c>
      <c r="G293" t="s">
        <v>129</v>
      </c>
      <c r="H293">
        <v>2.5898307120158549E-4</v>
      </c>
      <c r="I293" t="s">
        <v>74</v>
      </c>
      <c r="Q293">
        <v>20</v>
      </c>
    </row>
    <row r="294" spans="1:17" x14ac:dyDescent="0.25">
      <c r="A294" t="s">
        <v>38</v>
      </c>
      <c r="B294" t="s">
        <v>8</v>
      </c>
      <c r="C294">
        <v>6.1608365067830455</v>
      </c>
      <c r="D294">
        <v>2.675710687971542</v>
      </c>
      <c r="E294">
        <v>1.6484616088044652E-2</v>
      </c>
      <c r="F294">
        <v>20</v>
      </c>
      <c r="G294" t="s">
        <v>129</v>
      </c>
      <c r="H294">
        <v>3.2969232176089302E-4</v>
      </c>
      <c r="I294" t="s">
        <v>74</v>
      </c>
      <c r="Q294">
        <v>20</v>
      </c>
    </row>
    <row r="295" spans="1:17" x14ac:dyDescent="0.25">
      <c r="A295" t="s">
        <v>38</v>
      </c>
      <c r="B295" t="s">
        <v>32</v>
      </c>
      <c r="C295">
        <v>100.1380409991403</v>
      </c>
      <c r="D295">
        <v>0.86575424158281145</v>
      </c>
      <c r="E295">
        <v>8.669493373879919E-2</v>
      </c>
      <c r="F295">
        <v>20</v>
      </c>
      <c r="G295" t="s">
        <v>129</v>
      </c>
      <c r="H295">
        <v>1.733898674775984E-3</v>
      </c>
      <c r="I295" t="s">
        <v>73</v>
      </c>
      <c r="Q295">
        <v>20</v>
      </c>
    </row>
    <row r="296" spans="1:17" x14ac:dyDescent="0.25">
      <c r="A296" t="s">
        <v>38</v>
      </c>
      <c r="B296" t="s">
        <v>9</v>
      </c>
      <c r="C296">
        <v>3454.7624144703404</v>
      </c>
      <c r="D296">
        <v>0.73347340781222514</v>
      </c>
      <c r="E296">
        <v>2.5339763613231518</v>
      </c>
      <c r="F296">
        <v>20</v>
      </c>
      <c r="G296" t="s">
        <v>129</v>
      </c>
      <c r="H296">
        <v>5.0679527226463038E-2</v>
      </c>
      <c r="I296" t="s">
        <v>75</v>
      </c>
      <c r="Q296">
        <v>20</v>
      </c>
    </row>
    <row r="297" spans="1:17" x14ac:dyDescent="0.25">
      <c r="A297" t="s">
        <v>38</v>
      </c>
      <c r="B297" t="s">
        <v>10</v>
      </c>
      <c r="C297">
        <v>3004.1412299742092</v>
      </c>
      <c r="D297">
        <v>2.2982204245754869</v>
      </c>
      <c r="E297">
        <v>6.9041787330360522</v>
      </c>
      <c r="F297">
        <v>20</v>
      </c>
      <c r="G297" t="s">
        <v>129</v>
      </c>
      <c r="H297">
        <v>0.13808357466072105</v>
      </c>
      <c r="I297" t="s">
        <v>76</v>
      </c>
      <c r="Q297">
        <v>20</v>
      </c>
    </row>
    <row r="298" spans="1:17" x14ac:dyDescent="0.25">
      <c r="A298" t="s">
        <v>38</v>
      </c>
      <c r="B298" t="s">
        <v>24</v>
      </c>
      <c r="C298">
        <v>3004.1412299742092</v>
      </c>
      <c r="D298">
        <v>2.5215812312365649</v>
      </c>
      <c r="E298">
        <v>7.5751861414868946</v>
      </c>
      <c r="F298">
        <v>20</v>
      </c>
      <c r="G298" t="s">
        <v>129</v>
      </c>
      <c r="H298">
        <v>0.15150372282973787</v>
      </c>
      <c r="I298" t="s">
        <v>76</v>
      </c>
      <c r="Q298">
        <v>20</v>
      </c>
    </row>
    <row r="299" spans="1:17" x14ac:dyDescent="0.25">
      <c r="A299" t="s">
        <v>38</v>
      </c>
      <c r="B299" t="s">
        <v>11</v>
      </c>
      <c r="C299">
        <v>1301.7945329888239</v>
      </c>
      <c r="D299">
        <v>2.0909278485508476</v>
      </c>
      <c r="E299">
        <v>2.7219584421175766</v>
      </c>
      <c r="F299">
        <v>20</v>
      </c>
      <c r="G299" t="s">
        <v>129</v>
      </c>
      <c r="H299">
        <v>5.4439168842351532E-2</v>
      </c>
      <c r="I299" t="s">
        <v>77</v>
      </c>
      <c r="Q299">
        <v>20</v>
      </c>
    </row>
    <row r="300" spans="1:17" x14ac:dyDescent="0.25">
      <c r="A300" t="s">
        <v>38</v>
      </c>
      <c r="B300" t="s">
        <v>12</v>
      </c>
      <c r="C300">
        <v>3454.7624144703404</v>
      </c>
      <c r="D300">
        <v>2.9869060251336608</v>
      </c>
      <c r="E300">
        <v>10.319050671186773</v>
      </c>
      <c r="F300">
        <v>20</v>
      </c>
      <c r="G300" t="s">
        <v>129</v>
      </c>
      <c r="H300">
        <v>0.20638101342373547</v>
      </c>
      <c r="I300" t="s">
        <v>75</v>
      </c>
      <c r="Q300">
        <v>20</v>
      </c>
    </row>
    <row r="301" spans="1:17" x14ac:dyDescent="0.25">
      <c r="A301" t="s">
        <v>38</v>
      </c>
      <c r="B301" t="s">
        <v>15</v>
      </c>
      <c r="C301">
        <v>3004.1412299742092</v>
      </c>
      <c r="D301">
        <v>1.2295119145157867</v>
      </c>
      <c r="E301">
        <v>3.6936274351414</v>
      </c>
      <c r="F301">
        <v>20</v>
      </c>
      <c r="G301" t="s">
        <v>129</v>
      </c>
      <c r="H301">
        <v>7.3872548702828E-2</v>
      </c>
      <c r="I301" t="s">
        <v>73</v>
      </c>
      <c r="Q301">
        <v>20</v>
      </c>
    </row>
    <row r="302" spans="1:17" x14ac:dyDescent="0.25">
      <c r="A302" t="s">
        <v>38</v>
      </c>
      <c r="B302" t="s">
        <v>17</v>
      </c>
      <c r="C302">
        <v>200.2760819982806</v>
      </c>
      <c r="D302">
        <v>3.9370107385283966</v>
      </c>
      <c r="E302">
        <v>0.78848908549762442</v>
      </c>
      <c r="F302">
        <v>20</v>
      </c>
      <c r="G302" t="s">
        <v>129</v>
      </c>
      <c r="H302">
        <v>1.5769781709952489E-2</v>
      </c>
      <c r="I302" t="s">
        <v>77</v>
      </c>
      <c r="Q302">
        <v>20</v>
      </c>
    </row>
    <row r="303" spans="1:17" x14ac:dyDescent="0.25">
      <c r="A303" t="s">
        <v>38</v>
      </c>
      <c r="B303" t="s">
        <v>18</v>
      </c>
      <c r="C303">
        <v>107.2907582133646</v>
      </c>
      <c r="D303">
        <v>7.2845399337771877</v>
      </c>
      <c r="E303">
        <v>0.78156381273048714</v>
      </c>
      <c r="F303">
        <v>20</v>
      </c>
      <c r="G303" t="s">
        <v>129</v>
      </c>
      <c r="H303">
        <v>1.5631276254609743E-2</v>
      </c>
      <c r="I303" t="s">
        <v>74</v>
      </c>
      <c r="Q303">
        <v>20</v>
      </c>
    </row>
    <row r="304" spans="1:17" x14ac:dyDescent="0.25">
      <c r="A304" t="s">
        <v>38</v>
      </c>
      <c r="B304" t="s">
        <v>28</v>
      </c>
      <c r="C304">
        <v>300.41412299742092</v>
      </c>
      <c r="D304">
        <v>5.2241388980113257</v>
      </c>
      <c r="E304">
        <v>1.5694051054627853</v>
      </c>
      <c r="F304">
        <v>20</v>
      </c>
      <c r="G304" t="s">
        <v>129</v>
      </c>
      <c r="H304">
        <v>3.1388102109255703E-2</v>
      </c>
      <c r="I304" t="s">
        <v>74</v>
      </c>
      <c r="Q304">
        <v>20</v>
      </c>
    </row>
    <row r="305" spans="1:17" x14ac:dyDescent="0.25">
      <c r="A305" t="s">
        <v>38</v>
      </c>
      <c r="B305" t="s">
        <v>19</v>
      </c>
      <c r="C305">
        <v>150.20706149871046</v>
      </c>
      <c r="D305">
        <v>7.945556194019666</v>
      </c>
      <c r="E305">
        <v>1.1934786478765718</v>
      </c>
      <c r="F305">
        <v>20</v>
      </c>
      <c r="G305" t="s">
        <v>129</v>
      </c>
      <c r="H305">
        <v>2.3869572957531435E-2</v>
      </c>
      <c r="I305" t="s">
        <v>77</v>
      </c>
      <c r="Q305">
        <v>20</v>
      </c>
    </row>
    <row r="306" spans="1:17" x14ac:dyDescent="0.25">
      <c r="A306" t="s">
        <v>38</v>
      </c>
      <c r="B306" t="s">
        <v>51</v>
      </c>
      <c r="C306">
        <v>65340.071751939045</v>
      </c>
      <c r="D306">
        <v>8.760195880778282E-2</v>
      </c>
      <c r="E306">
        <v>5.7239182741109378</v>
      </c>
      <c r="F306">
        <v>20</v>
      </c>
      <c r="G306" t="s">
        <v>129</v>
      </c>
      <c r="H306">
        <v>0.11447836548221875</v>
      </c>
      <c r="I306" t="s">
        <v>52</v>
      </c>
      <c r="Q306">
        <v>20</v>
      </c>
    </row>
    <row r="307" spans="1:17" x14ac:dyDescent="0.25">
      <c r="A307" t="s">
        <v>38</v>
      </c>
      <c r="B307" t="s">
        <v>53</v>
      </c>
      <c r="C307">
        <v>66973.573545737527</v>
      </c>
      <c r="D307">
        <v>0.16062870523494416</v>
      </c>
      <c r="E307">
        <v>10.757878403609128</v>
      </c>
      <c r="F307">
        <v>20</v>
      </c>
      <c r="G307" t="s">
        <v>129</v>
      </c>
      <c r="H307">
        <v>0.21515756807218256</v>
      </c>
      <c r="I307" t="s">
        <v>54</v>
      </c>
      <c r="Q307">
        <v>20</v>
      </c>
    </row>
    <row r="308" spans="1:17" x14ac:dyDescent="0.25">
      <c r="A308" t="s">
        <v>38</v>
      </c>
      <c r="B308" t="s">
        <v>46</v>
      </c>
      <c r="C308">
        <v>3811.5041855297777</v>
      </c>
      <c r="D308">
        <v>1.6682482285714284E-2</v>
      </c>
      <c r="E308">
        <v>6.3585351057026368E-2</v>
      </c>
      <c r="F308">
        <v>20</v>
      </c>
      <c r="G308" t="s">
        <v>129</v>
      </c>
      <c r="H308">
        <v>1.2717070211405272E-3</v>
      </c>
      <c r="I308" t="s">
        <v>45</v>
      </c>
      <c r="Q308">
        <v>20</v>
      </c>
    </row>
    <row r="309" spans="1:17" x14ac:dyDescent="0.25">
      <c r="A309" t="s">
        <v>38</v>
      </c>
      <c r="B309" t="s">
        <v>48</v>
      </c>
      <c r="C309">
        <v>544.50059793282537</v>
      </c>
      <c r="D309">
        <v>2.53223473152</v>
      </c>
      <c r="E309">
        <v>1.3788033254189074</v>
      </c>
      <c r="F309">
        <v>20</v>
      </c>
      <c r="G309" t="s">
        <v>129</v>
      </c>
      <c r="H309">
        <v>2.7576066508378148E-2</v>
      </c>
      <c r="I309" t="s">
        <v>45</v>
      </c>
      <c r="Q309">
        <v>20</v>
      </c>
    </row>
    <row r="310" spans="1:17" x14ac:dyDescent="0.25">
      <c r="A310" t="s">
        <v>38</v>
      </c>
      <c r="B310" t="s">
        <v>49</v>
      </c>
      <c r="C310">
        <v>2178.0023917313015</v>
      </c>
      <c r="D310">
        <v>7.0125750000000018E-3</v>
      </c>
      <c r="E310">
        <v>1.5273405122195136E-2</v>
      </c>
      <c r="F310">
        <v>20</v>
      </c>
      <c r="G310" t="s">
        <v>129</v>
      </c>
      <c r="H310">
        <v>3.0546810244390274E-4</v>
      </c>
      <c r="I310" t="s">
        <v>45</v>
      </c>
      <c r="Q310">
        <v>20</v>
      </c>
    </row>
    <row r="311" spans="1:17" x14ac:dyDescent="0.25">
      <c r="A311" t="s">
        <v>38</v>
      </c>
      <c r="B311" t="s">
        <v>50</v>
      </c>
      <c r="C311">
        <v>13612.514948320635</v>
      </c>
      <c r="D311">
        <v>1.4670451899999996E-2</v>
      </c>
      <c r="E311">
        <v>0.1997017457873688</v>
      </c>
      <c r="F311">
        <v>20</v>
      </c>
      <c r="G311" t="s">
        <v>129</v>
      </c>
      <c r="H311">
        <v>3.994034915747376E-3</v>
      </c>
      <c r="I311" t="s">
        <v>45</v>
      </c>
      <c r="Q311">
        <v>20</v>
      </c>
    </row>
    <row r="312" spans="1:17" x14ac:dyDescent="0.25">
      <c r="A312" t="s">
        <v>38</v>
      </c>
      <c r="B312" t="s">
        <v>55</v>
      </c>
      <c r="C312">
        <v>544.50059793282537</v>
      </c>
      <c r="D312">
        <v>2.1854540000000002E-2</v>
      </c>
      <c r="E312">
        <v>1.1899810097546851E-2</v>
      </c>
      <c r="F312">
        <v>20</v>
      </c>
      <c r="G312" t="s">
        <v>129</v>
      </c>
      <c r="H312">
        <v>2.3799620195093701E-4</v>
      </c>
      <c r="I312" t="s">
        <v>45</v>
      </c>
      <c r="Q312">
        <v>20</v>
      </c>
    </row>
    <row r="313" spans="1:17" x14ac:dyDescent="0.25">
      <c r="A313" t="s">
        <v>38</v>
      </c>
      <c r="B313" t="s">
        <v>56</v>
      </c>
      <c r="C313">
        <v>14701.516144186286</v>
      </c>
      <c r="D313">
        <v>8.8343459872499992E-3</v>
      </c>
      <c r="E313">
        <v>0.12987828015488317</v>
      </c>
      <c r="F313">
        <v>20</v>
      </c>
      <c r="G313" t="s">
        <v>129</v>
      </c>
      <c r="H313">
        <v>2.5975656030976639E-3</v>
      </c>
      <c r="I313" t="s">
        <v>45</v>
      </c>
      <c r="Q313">
        <v>20</v>
      </c>
    </row>
    <row r="314" spans="1:17" x14ac:dyDescent="0.25">
      <c r="A314" t="s">
        <v>38</v>
      </c>
      <c r="B314" t="s">
        <v>57</v>
      </c>
      <c r="C314">
        <v>56628.062185013841</v>
      </c>
      <c r="D314">
        <v>1.6652588999999998E-3</v>
      </c>
      <c r="E314">
        <v>9.4300384543347729E-2</v>
      </c>
      <c r="F314">
        <v>20</v>
      </c>
      <c r="G314" t="s">
        <v>129</v>
      </c>
      <c r="H314">
        <v>1.8860076908669544E-3</v>
      </c>
      <c r="I314" t="s">
        <v>45</v>
      </c>
      <c r="Q314">
        <v>20</v>
      </c>
    </row>
    <row r="315" spans="1:17" x14ac:dyDescent="0.25">
      <c r="A315" t="s">
        <v>38</v>
      </c>
      <c r="B315" t="s">
        <v>58</v>
      </c>
      <c r="C315">
        <v>8167.5089689923807</v>
      </c>
      <c r="D315">
        <v>2.0344952000000008E-3</v>
      </c>
      <c r="E315">
        <v>1.6616757793371954E-2</v>
      </c>
      <c r="F315">
        <v>20</v>
      </c>
      <c r="G315" t="s">
        <v>129</v>
      </c>
      <c r="H315">
        <v>3.3233515586743914E-4</v>
      </c>
      <c r="I315" t="s">
        <v>45</v>
      </c>
      <c r="Q315">
        <v>20</v>
      </c>
    </row>
    <row r="316" spans="1:17" x14ac:dyDescent="0.25">
      <c r="A316" t="s">
        <v>38</v>
      </c>
      <c r="B316" t="s">
        <v>59</v>
      </c>
      <c r="C316">
        <v>6534.0071751939049</v>
      </c>
      <c r="D316">
        <v>3.4540980000000005E-3</v>
      </c>
      <c r="E316">
        <v>2.2569101115822922E-2</v>
      </c>
      <c r="F316">
        <v>20</v>
      </c>
      <c r="G316" t="s">
        <v>129</v>
      </c>
      <c r="H316">
        <v>4.5138202231645842E-4</v>
      </c>
      <c r="I316" t="s">
        <v>45</v>
      </c>
      <c r="Q316">
        <v>20</v>
      </c>
    </row>
    <row r="317" spans="1:17" x14ac:dyDescent="0.25">
      <c r="A317" t="s">
        <v>38</v>
      </c>
      <c r="B317" t="s">
        <v>61</v>
      </c>
      <c r="C317">
        <v>544.50059793282537</v>
      </c>
      <c r="D317">
        <v>9.1113607200000016E-2</v>
      </c>
      <c r="E317">
        <v>4.9611413600216592E-2</v>
      </c>
      <c r="F317">
        <v>20</v>
      </c>
      <c r="G317" t="s">
        <v>129</v>
      </c>
      <c r="H317">
        <v>9.9222827200433177E-4</v>
      </c>
      <c r="I317" t="s">
        <v>45</v>
      </c>
      <c r="Q317">
        <v>20</v>
      </c>
    </row>
    <row r="318" spans="1:17" x14ac:dyDescent="0.25">
      <c r="A318" t="s">
        <v>38</v>
      </c>
      <c r="B318" t="s">
        <v>62</v>
      </c>
      <c r="C318">
        <v>544.50059793282537</v>
      </c>
      <c r="D318">
        <v>0.25672374999999997</v>
      </c>
      <c r="E318">
        <v>0.13978623537855717</v>
      </c>
      <c r="F318">
        <v>20</v>
      </c>
      <c r="G318" t="s">
        <v>129</v>
      </c>
      <c r="H318">
        <v>2.7957247075711435E-3</v>
      </c>
      <c r="I318" t="s">
        <v>45</v>
      </c>
      <c r="Q318">
        <v>20</v>
      </c>
    </row>
    <row r="319" spans="1:17" x14ac:dyDescent="0.25">
      <c r="A319" t="s">
        <v>38</v>
      </c>
      <c r="B319" t="s">
        <v>63</v>
      </c>
      <c r="C319">
        <v>544.50059793282537</v>
      </c>
      <c r="D319">
        <v>1.1248640000000001E-2</v>
      </c>
      <c r="E319">
        <v>6.1248912059310972E-3</v>
      </c>
      <c r="F319">
        <v>20</v>
      </c>
      <c r="G319" t="s">
        <v>129</v>
      </c>
      <c r="H319">
        <v>1.2249782411862195E-4</v>
      </c>
      <c r="I319" t="s">
        <v>45</v>
      </c>
      <c r="Q319">
        <v>20</v>
      </c>
    </row>
    <row r="320" spans="1:17" x14ac:dyDescent="0.25">
      <c r="A320" t="s">
        <v>38</v>
      </c>
      <c r="B320" t="s">
        <v>65</v>
      </c>
      <c r="C320">
        <v>544.50059793282537</v>
      </c>
      <c r="D320">
        <v>6.0156249999999994E-2</v>
      </c>
      <c r="E320">
        <v>3.2755114094396527E-2</v>
      </c>
      <c r="F320">
        <v>20</v>
      </c>
      <c r="G320" t="s">
        <v>129</v>
      </c>
      <c r="H320">
        <v>6.551022818879305E-4</v>
      </c>
      <c r="I320" t="s">
        <v>45</v>
      </c>
      <c r="Q320">
        <v>16</v>
      </c>
    </row>
    <row r="321" spans="1:17" x14ac:dyDescent="0.25">
      <c r="A321" t="s">
        <v>38</v>
      </c>
      <c r="B321" t="s">
        <v>67</v>
      </c>
      <c r="C321">
        <v>544.50059793282537</v>
      </c>
      <c r="D321">
        <v>4.2515280000000003E-2</v>
      </c>
      <c r="E321">
        <v>2.3149595381281494E-2</v>
      </c>
      <c r="F321">
        <v>20</v>
      </c>
      <c r="G321" t="s">
        <v>129</v>
      </c>
      <c r="H321">
        <v>4.6299190762562993E-4</v>
      </c>
      <c r="I321" t="s">
        <v>45</v>
      </c>
      <c r="Q321">
        <v>16</v>
      </c>
    </row>
    <row r="322" spans="1:17" x14ac:dyDescent="0.25">
      <c r="A322" t="s">
        <v>38</v>
      </c>
      <c r="B322" t="s">
        <v>71</v>
      </c>
      <c r="C322">
        <v>2722.5029896641267</v>
      </c>
      <c r="D322">
        <v>0.09</v>
      </c>
      <c r="E322">
        <v>0.2450252690697714</v>
      </c>
      <c r="F322">
        <v>20</v>
      </c>
      <c r="G322" t="s">
        <v>129</v>
      </c>
      <c r="H322">
        <v>4.9005053813954277E-3</v>
      </c>
      <c r="I322" t="s">
        <v>45</v>
      </c>
      <c r="Q322">
        <v>16</v>
      </c>
    </row>
    <row r="323" spans="1:17" x14ac:dyDescent="0.25">
      <c r="A323" t="s">
        <v>39</v>
      </c>
      <c r="B323" t="s">
        <v>6</v>
      </c>
      <c r="C323">
        <v>1766.4350432248348</v>
      </c>
      <c r="D323">
        <v>0.9526311346128532</v>
      </c>
      <c r="E323">
        <v>1.6827610194471787</v>
      </c>
      <c r="F323">
        <v>20</v>
      </c>
      <c r="G323" t="s">
        <v>130</v>
      </c>
      <c r="H323">
        <v>3.3655220388943578E-2</v>
      </c>
      <c r="I323" t="s">
        <v>73</v>
      </c>
      <c r="Q323">
        <v>16</v>
      </c>
    </row>
    <row r="324" spans="1:17" x14ac:dyDescent="0.25">
      <c r="A324" t="s">
        <v>39</v>
      </c>
      <c r="B324" t="s">
        <v>7</v>
      </c>
      <c r="C324">
        <v>6.9001368875970108</v>
      </c>
      <c r="D324">
        <v>116.64744861071844</v>
      </c>
      <c r="E324">
        <v>0.80488336300289509</v>
      </c>
      <c r="F324">
        <v>20</v>
      </c>
      <c r="G324" t="s">
        <v>130</v>
      </c>
      <c r="H324">
        <v>1.6097667260057905E-2</v>
      </c>
      <c r="I324" t="s">
        <v>74</v>
      </c>
      <c r="Q324">
        <v>16</v>
      </c>
    </row>
    <row r="325" spans="1:17" x14ac:dyDescent="0.25">
      <c r="A325" t="s">
        <v>39</v>
      </c>
      <c r="B325" t="s">
        <v>8</v>
      </c>
      <c r="C325">
        <v>3.61435741731272</v>
      </c>
      <c r="D325">
        <v>3.6884913138328219</v>
      </c>
      <c r="E325">
        <v>1.33315259388452E-2</v>
      </c>
      <c r="F325">
        <v>20</v>
      </c>
      <c r="G325" t="s">
        <v>130</v>
      </c>
      <c r="H325">
        <v>2.6663051877690404E-4</v>
      </c>
      <c r="I325" t="s">
        <v>74</v>
      </c>
      <c r="Q325">
        <v>16</v>
      </c>
    </row>
    <row r="326" spans="1:17" x14ac:dyDescent="0.25">
      <c r="A326" t="s">
        <v>39</v>
      </c>
      <c r="B326" t="s">
        <v>32</v>
      </c>
      <c r="C326">
        <v>56.077302959518562</v>
      </c>
      <c r="D326">
        <v>1.0295682059997973</v>
      </c>
      <c r="E326">
        <v>5.7735408205338651E-2</v>
      </c>
      <c r="F326">
        <v>20</v>
      </c>
      <c r="G326" t="s">
        <v>130</v>
      </c>
      <c r="H326">
        <v>1.1547081641067728E-3</v>
      </c>
      <c r="I326" t="s">
        <v>73</v>
      </c>
      <c r="Q326">
        <v>16</v>
      </c>
    </row>
    <row r="327" spans="1:17" x14ac:dyDescent="0.25">
      <c r="A327" t="s">
        <v>39</v>
      </c>
      <c r="B327" t="s">
        <v>9</v>
      </c>
      <c r="C327">
        <v>1766.4350432248348</v>
      </c>
      <c r="D327">
        <v>0.61623222935721189</v>
      </c>
      <c r="E327">
        <v>1.0885342047011428</v>
      </c>
      <c r="F327">
        <v>20</v>
      </c>
      <c r="G327" t="s">
        <v>130</v>
      </c>
      <c r="H327">
        <v>2.1770684094022854E-2</v>
      </c>
      <c r="I327" t="s">
        <v>75</v>
      </c>
      <c r="Q327">
        <v>16</v>
      </c>
    </row>
    <row r="328" spans="1:17" x14ac:dyDescent="0.25">
      <c r="A328" t="s">
        <v>39</v>
      </c>
      <c r="B328" t="s">
        <v>10</v>
      </c>
      <c r="C328">
        <v>616.85033255470421</v>
      </c>
      <c r="D328">
        <v>4.2437957651678797</v>
      </c>
      <c r="E328">
        <v>2.6177868290380522</v>
      </c>
      <c r="F328">
        <v>20</v>
      </c>
      <c r="G328" t="s">
        <v>130</v>
      </c>
      <c r="H328">
        <v>5.2355736580761043E-2</v>
      </c>
      <c r="I328" t="s">
        <v>76</v>
      </c>
      <c r="Q328">
        <v>16</v>
      </c>
    </row>
    <row r="329" spans="1:17" x14ac:dyDescent="0.25">
      <c r="A329" t="s">
        <v>39</v>
      </c>
      <c r="B329" t="s">
        <v>11</v>
      </c>
      <c r="C329">
        <v>1766.4350432248348</v>
      </c>
      <c r="D329">
        <v>1.1925955386713947</v>
      </c>
      <c r="E329">
        <v>2.1066425519027501</v>
      </c>
      <c r="F329">
        <v>20</v>
      </c>
      <c r="G329" t="s">
        <v>130</v>
      </c>
      <c r="H329">
        <v>4.2132851038055003E-2</v>
      </c>
      <c r="I329" t="s">
        <v>77</v>
      </c>
      <c r="Q329">
        <v>16</v>
      </c>
    </row>
    <row r="330" spans="1:17" x14ac:dyDescent="0.25">
      <c r="A330" t="s">
        <v>39</v>
      </c>
      <c r="B330" t="s">
        <v>21</v>
      </c>
      <c r="C330">
        <v>56.077302959518562</v>
      </c>
      <c r="D330">
        <v>1.613842123107559</v>
      </c>
      <c r="E330">
        <v>9.0499913666335252E-2</v>
      </c>
      <c r="F330">
        <v>20</v>
      </c>
      <c r="G330" t="s">
        <v>130</v>
      </c>
      <c r="H330">
        <v>1.809998273326705E-3</v>
      </c>
      <c r="I330" t="s">
        <v>73</v>
      </c>
      <c r="Q330">
        <v>16</v>
      </c>
    </row>
    <row r="331" spans="1:17" x14ac:dyDescent="0.25">
      <c r="A331" t="s">
        <v>39</v>
      </c>
      <c r="B331" t="s">
        <v>12</v>
      </c>
      <c r="C331">
        <v>616.85033255470421</v>
      </c>
      <c r="D331">
        <v>3.16485683356419</v>
      </c>
      <c r="E331">
        <v>1.9522429902720988</v>
      </c>
      <c r="F331">
        <v>20</v>
      </c>
      <c r="G331" t="s">
        <v>130</v>
      </c>
      <c r="H331">
        <v>3.9044859805441971E-2</v>
      </c>
      <c r="I331" t="s">
        <v>75</v>
      </c>
      <c r="Q331">
        <v>16</v>
      </c>
    </row>
    <row r="332" spans="1:17" x14ac:dyDescent="0.25">
      <c r="A332" t="s">
        <v>39</v>
      </c>
      <c r="B332" t="s">
        <v>25</v>
      </c>
      <c r="C332">
        <v>168.23190887855571</v>
      </c>
      <c r="D332">
        <v>3.8097154954878123</v>
      </c>
      <c r="E332">
        <v>0.64091571009012738</v>
      </c>
      <c r="F332">
        <v>20</v>
      </c>
      <c r="G332" t="s">
        <v>130</v>
      </c>
      <c r="H332">
        <v>1.2818314201802548E-2</v>
      </c>
      <c r="I332" t="s">
        <v>77</v>
      </c>
      <c r="Q332">
        <v>16</v>
      </c>
    </row>
    <row r="333" spans="1:17" x14ac:dyDescent="0.25">
      <c r="A333" t="s">
        <v>39</v>
      </c>
      <c r="B333" t="s">
        <v>13</v>
      </c>
      <c r="C333">
        <v>72.099389519381006</v>
      </c>
      <c r="D333">
        <v>13.928754444071053</v>
      </c>
      <c r="E333">
        <v>1.0042546921828881</v>
      </c>
      <c r="F333">
        <v>20</v>
      </c>
      <c r="G333" t="s">
        <v>130</v>
      </c>
      <c r="H333">
        <v>2.0085093843657763E-2</v>
      </c>
      <c r="I333" t="s">
        <v>77</v>
      </c>
      <c r="Q333">
        <v>16</v>
      </c>
    </row>
    <row r="334" spans="1:17" x14ac:dyDescent="0.25">
      <c r="A334" t="s">
        <v>39</v>
      </c>
      <c r="B334" t="s">
        <v>15</v>
      </c>
      <c r="C334">
        <v>56.077302959518562</v>
      </c>
      <c r="D334">
        <v>1.6522097591244622</v>
      </c>
      <c r="E334">
        <v>9.2651467215095651E-2</v>
      </c>
      <c r="F334">
        <v>20</v>
      </c>
      <c r="G334" t="s">
        <v>130</v>
      </c>
      <c r="H334">
        <v>1.8530293443019131E-3</v>
      </c>
      <c r="I334" t="s">
        <v>73</v>
      </c>
      <c r="Q334">
        <v>16</v>
      </c>
    </row>
    <row r="335" spans="1:17" x14ac:dyDescent="0.25">
      <c r="A335" t="s">
        <v>39</v>
      </c>
      <c r="B335" t="s">
        <v>17</v>
      </c>
      <c r="C335">
        <v>1850.5509976641126</v>
      </c>
      <c r="D335">
        <v>3.4065955971286579</v>
      </c>
      <c r="E335">
        <v>6.304078880904612</v>
      </c>
      <c r="F335">
        <v>20</v>
      </c>
      <c r="G335" t="s">
        <v>130</v>
      </c>
      <c r="H335">
        <v>0.12608157761809224</v>
      </c>
      <c r="I335" t="s">
        <v>77</v>
      </c>
      <c r="Q335">
        <v>16</v>
      </c>
    </row>
    <row r="336" spans="1:17" x14ac:dyDescent="0.25">
      <c r="A336" t="s">
        <v>39</v>
      </c>
      <c r="B336" t="s">
        <v>18</v>
      </c>
      <c r="C336">
        <v>672.92763551422286</v>
      </c>
      <c r="D336">
        <v>2.5936556339498433</v>
      </c>
      <c r="E336">
        <v>1.7453425530920108</v>
      </c>
      <c r="F336">
        <v>20</v>
      </c>
      <c r="G336" t="s">
        <v>130</v>
      </c>
      <c r="H336">
        <v>3.4906851061840216E-2</v>
      </c>
      <c r="I336" t="s">
        <v>74</v>
      </c>
      <c r="Q336">
        <v>16</v>
      </c>
    </row>
    <row r="337" spans="1:17" x14ac:dyDescent="0.25">
      <c r="A337" t="s">
        <v>39</v>
      </c>
      <c r="B337" t="s">
        <v>19</v>
      </c>
      <c r="C337">
        <v>168.23190887855571</v>
      </c>
      <c r="D337">
        <v>6.5829339001693192</v>
      </c>
      <c r="E337">
        <v>1.1074595360468402</v>
      </c>
      <c r="F337">
        <v>20</v>
      </c>
      <c r="G337" t="s">
        <v>130</v>
      </c>
      <c r="H337">
        <v>2.2149190720936806E-2</v>
      </c>
      <c r="I337" t="s">
        <v>77</v>
      </c>
      <c r="Q337">
        <v>16</v>
      </c>
    </row>
    <row r="338" spans="1:17" x14ac:dyDescent="0.25">
      <c r="A338" t="s">
        <v>39</v>
      </c>
      <c r="B338" t="s">
        <v>51</v>
      </c>
      <c r="C338">
        <v>5719.8849018708943</v>
      </c>
      <c r="D338">
        <v>0.15798214854539833</v>
      </c>
      <c r="E338">
        <v>0.90363970622994871</v>
      </c>
      <c r="F338">
        <v>20</v>
      </c>
      <c r="G338" t="s">
        <v>130</v>
      </c>
      <c r="H338">
        <v>1.8072794124598973E-2</v>
      </c>
      <c r="I338" t="s">
        <v>52</v>
      </c>
      <c r="Q338">
        <v>16</v>
      </c>
    </row>
    <row r="339" spans="1:17" x14ac:dyDescent="0.25">
      <c r="A339" t="s">
        <v>39</v>
      </c>
      <c r="B339" t="s">
        <v>53</v>
      </c>
      <c r="C339">
        <v>34140.5630080419</v>
      </c>
      <c r="D339">
        <v>0.14169849299560594</v>
      </c>
      <c r="E339">
        <v>4.8376663282610677</v>
      </c>
      <c r="F339">
        <v>20</v>
      </c>
      <c r="G339" t="s">
        <v>130</v>
      </c>
      <c r="H339">
        <v>9.6753326565221356E-2</v>
      </c>
      <c r="I339" t="s">
        <v>54</v>
      </c>
      <c r="Q339">
        <v>16</v>
      </c>
    </row>
    <row r="340" spans="1:17" x14ac:dyDescent="0.25">
      <c r="A340" t="s">
        <v>39</v>
      </c>
      <c r="B340" t="s">
        <v>46</v>
      </c>
      <c r="C340">
        <v>357.49280636693089</v>
      </c>
      <c r="D340">
        <v>1.0616832E-2</v>
      </c>
      <c r="E340">
        <v>3.7954410664062356E-3</v>
      </c>
      <c r="F340">
        <v>20</v>
      </c>
      <c r="G340" t="s">
        <v>130</v>
      </c>
      <c r="H340">
        <v>7.5908821328124712E-5</v>
      </c>
      <c r="I340" t="s">
        <v>45</v>
      </c>
      <c r="Q340">
        <v>16</v>
      </c>
    </row>
    <row r="341" spans="1:17" x14ac:dyDescent="0.25">
      <c r="A341" t="s">
        <v>39</v>
      </c>
      <c r="B341" t="s">
        <v>48</v>
      </c>
      <c r="C341">
        <v>357.49280636693089</v>
      </c>
      <c r="D341">
        <v>3.9798067968749997</v>
      </c>
      <c r="E341">
        <v>1.4227523006130298</v>
      </c>
      <c r="F341">
        <v>20</v>
      </c>
      <c r="G341" t="s">
        <v>130</v>
      </c>
      <c r="H341">
        <v>2.8455046012260597E-2</v>
      </c>
      <c r="I341" t="s">
        <v>45</v>
      </c>
      <c r="Q341">
        <v>16</v>
      </c>
    </row>
    <row r="342" spans="1:17" x14ac:dyDescent="0.25">
      <c r="A342" t="s">
        <v>39</v>
      </c>
      <c r="B342" t="s">
        <v>49</v>
      </c>
      <c r="C342">
        <v>2144.956838201585</v>
      </c>
      <c r="D342">
        <v>9.1814850000000014E-3</v>
      </c>
      <c r="E342">
        <v>1.9693889035595283E-2</v>
      </c>
      <c r="F342">
        <v>20</v>
      </c>
      <c r="G342" t="s">
        <v>130</v>
      </c>
      <c r="H342">
        <v>3.9387778071190566E-4</v>
      </c>
      <c r="I342" t="s">
        <v>45</v>
      </c>
      <c r="Q342">
        <v>16</v>
      </c>
    </row>
    <row r="343" spans="1:17" x14ac:dyDescent="0.25">
      <c r="A343" t="s">
        <v>39</v>
      </c>
      <c r="B343" t="s">
        <v>50</v>
      </c>
      <c r="C343">
        <v>23058.286010667041</v>
      </c>
      <c r="D343">
        <v>1.7791277400000003E-2</v>
      </c>
      <c r="E343">
        <v>0.4102363627843168</v>
      </c>
      <c r="F343">
        <v>20</v>
      </c>
      <c r="G343" t="s">
        <v>130</v>
      </c>
      <c r="H343">
        <v>8.2047272556863369E-3</v>
      </c>
      <c r="I343" t="s">
        <v>45</v>
      </c>
      <c r="Q343">
        <v>16</v>
      </c>
    </row>
    <row r="344" spans="1:17" x14ac:dyDescent="0.25">
      <c r="A344" t="s">
        <v>39</v>
      </c>
      <c r="B344" t="s">
        <v>55</v>
      </c>
      <c r="C344">
        <v>1966.2104350181198</v>
      </c>
      <c r="D344">
        <v>1.5166707272727275E-2</v>
      </c>
      <c r="E344">
        <v>2.9820938104501576E-2</v>
      </c>
      <c r="F344">
        <v>20</v>
      </c>
      <c r="G344" t="s">
        <v>130</v>
      </c>
      <c r="H344">
        <v>5.9641876209003152E-4</v>
      </c>
      <c r="I344" t="s">
        <v>45</v>
      </c>
      <c r="Q344">
        <v>16</v>
      </c>
    </row>
    <row r="345" spans="1:17" x14ac:dyDescent="0.25">
      <c r="A345" t="s">
        <v>39</v>
      </c>
      <c r="B345" t="s">
        <v>56</v>
      </c>
      <c r="C345">
        <v>2323.7032413850507</v>
      </c>
      <c r="D345">
        <v>9.1020374065384612E-3</v>
      </c>
      <c r="E345">
        <v>2.1150433824781403E-2</v>
      </c>
      <c r="F345">
        <v>20</v>
      </c>
      <c r="G345" t="s">
        <v>130</v>
      </c>
      <c r="H345">
        <v>4.2300867649562807E-4</v>
      </c>
      <c r="I345" t="s">
        <v>45</v>
      </c>
      <c r="Q345">
        <v>16</v>
      </c>
    </row>
    <row r="346" spans="1:17" x14ac:dyDescent="0.25">
      <c r="A346" t="s">
        <v>39</v>
      </c>
      <c r="B346" t="s">
        <v>57</v>
      </c>
      <c r="C346">
        <v>13942.219448310303</v>
      </c>
      <c r="D346">
        <v>1.4911894000000001E-3</v>
      </c>
      <c r="E346">
        <v>2.0790489853794173E-2</v>
      </c>
      <c r="F346">
        <v>20</v>
      </c>
      <c r="G346" t="s">
        <v>130</v>
      </c>
      <c r="H346">
        <v>4.1580979707588344E-4</v>
      </c>
      <c r="I346" t="s">
        <v>45</v>
      </c>
      <c r="Q346">
        <v>16</v>
      </c>
    </row>
    <row r="347" spans="1:17" x14ac:dyDescent="0.25">
      <c r="A347" t="s">
        <v>39</v>
      </c>
      <c r="B347" t="s">
        <v>59</v>
      </c>
      <c r="C347">
        <v>4289.91367640317</v>
      </c>
      <c r="D347">
        <v>4.2734065000000002E-3</v>
      </c>
      <c r="E347">
        <v>1.8332544989180202E-2</v>
      </c>
      <c r="F347">
        <v>20</v>
      </c>
      <c r="G347" t="s">
        <v>130</v>
      </c>
      <c r="H347">
        <v>3.6665089978360406E-4</v>
      </c>
      <c r="I347" t="s">
        <v>45</v>
      </c>
      <c r="Q347">
        <v>16</v>
      </c>
    </row>
    <row r="348" spans="1:17" x14ac:dyDescent="0.25">
      <c r="A348" t="s">
        <v>39</v>
      </c>
      <c r="B348" t="s">
        <v>62</v>
      </c>
      <c r="C348">
        <v>178.74640318346545</v>
      </c>
      <c r="D348">
        <v>0.13997521000000002</v>
      </c>
      <c r="E348">
        <v>2.5020065322350248E-2</v>
      </c>
      <c r="F348">
        <v>20</v>
      </c>
      <c r="G348" t="s">
        <v>130</v>
      </c>
      <c r="H348">
        <v>5.0040130644700496E-4</v>
      </c>
      <c r="I348" t="s">
        <v>45</v>
      </c>
      <c r="Q348">
        <v>16</v>
      </c>
    </row>
    <row r="349" spans="1:17" x14ac:dyDescent="0.25">
      <c r="A349" t="s">
        <v>39</v>
      </c>
      <c r="B349" t="s">
        <v>63</v>
      </c>
      <c r="C349">
        <v>357.49280636693089</v>
      </c>
      <c r="D349">
        <v>3.6866875E-2</v>
      </c>
      <c r="E349">
        <v>1.3179642605728846E-2</v>
      </c>
      <c r="F349">
        <v>20</v>
      </c>
      <c r="G349" t="s">
        <v>130</v>
      </c>
      <c r="H349">
        <v>2.6359285211457692E-4</v>
      </c>
      <c r="I349" t="s">
        <v>45</v>
      </c>
      <c r="Q349">
        <v>16</v>
      </c>
    </row>
    <row r="350" spans="1:17" x14ac:dyDescent="0.25">
      <c r="A350" t="s">
        <v>39</v>
      </c>
      <c r="B350" t="s">
        <v>65</v>
      </c>
      <c r="C350">
        <v>20913.329172465455</v>
      </c>
      <c r="D350">
        <v>3.6815050580000008E-2</v>
      </c>
      <c r="E350">
        <v>0.76992527128050547</v>
      </c>
      <c r="F350">
        <v>20</v>
      </c>
      <c r="G350" t="s">
        <v>130</v>
      </c>
      <c r="H350">
        <v>1.5398505425610109E-2</v>
      </c>
      <c r="I350" t="s">
        <v>45</v>
      </c>
      <c r="Q350">
        <v>16</v>
      </c>
    </row>
    <row r="351" spans="1:17" x14ac:dyDescent="0.25">
      <c r="A351" t="s">
        <v>39</v>
      </c>
      <c r="B351" t="s">
        <v>67</v>
      </c>
      <c r="C351">
        <v>1429.9712254677236</v>
      </c>
      <c r="D351">
        <v>3.4433351250000001E-2</v>
      </c>
      <c r="E351">
        <v>4.9238701483923071E-2</v>
      </c>
      <c r="F351">
        <v>20</v>
      </c>
      <c r="G351" t="s">
        <v>130</v>
      </c>
      <c r="H351">
        <v>9.847740296784614E-4</v>
      </c>
      <c r="I351" t="s">
        <v>45</v>
      </c>
      <c r="Q351">
        <v>16</v>
      </c>
    </row>
    <row r="352" spans="1:17" x14ac:dyDescent="0.25">
      <c r="A352" t="s">
        <v>39</v>
      </c>
      <c r="B352" t="s">
        <v>68</v>
      </c>
      <c r="C352">
        <v>178.74640318346545</v>
      </c>
      <c r="D352">
        <v>0.09</v>
      </c>
      <c r="E352">
        <v>1.6087176286511892E-2</v>
      </c>
      <c r="F352">
        <v>20</v>
      </c>
      <c r="G352" t="s">
        <v>130</v>
      </c>
      <c r="H352">
        <v>3.2174352573023787E-4</v>
      </c>
      <c r="I352" t="s">
        <v>45</v>
      </c>
      <c r="Q352">
        <v>20</v>
      </c>
    </row>
    <row r="353" spans="1:17" x14ac:dyDescent="0.25">
      <c r="A353" t="s">
        <v>39</v>
      </c>
      <c r="B353" t="s">
        <v>71</v>
      </c>
      <c r="C353">
        <v>1608.717628651189</v>
      </c>
      <c r="D353">
        <v>0.09</v>
      </c>
      <c r="E353">
        <v>0.14478458657860699</v>
      </c>
      <c r="F353">
        <v>20</v>
      </c>
      <c r="G353" t="s">
        <v>130</v>
      </c>
      <c r="H353">
        <v>2.8956917315721398E-3</v>
      </c>
      <c r="I353" t="s">
        <v>45</v>
      </c>
      <c r="Q353">
        <v>20</v>
      </c>
    </row>
    <row r="354" spans="1:17" x14ac:dyDescent="0.25">
      <c r="A354" t="s">
        <v>40</v>
      </c>
      <c r="B354" t="s">
        <v>6</v>
      </c>
      <c r="C354">
        <v>2867.5893558844723</v>
      </c>
      <c r="D354">
        <v>1.3589296327516915</v>
      </c>
      <c r="E354">
        <v>3.896852150274746</v>
      </c>
      <c r="F354">
        <v>16</v>
      </c>
      <c r="G354" t="s">
        <v>131</v>
      </c>
      <c r="H354">
        <v>6.2349634404395934E-2</v>
      </c>
      <c r="I354" t="s">
        <v>73</v>
      </c>
      <c r="Q354">
        <v>20</v>
      </c>
    </row>
    <row r="355" spans="1:17" x14ac:dyDescent="0.25">
      <c r="A355" t="s">
        <v>40</v>
      </c>
      <c r="B355" t="s">
        <v>8</v>
      </c>
      <c r="C355">
        <v>7.8410646449966031</v>
      </c>
      <c r="D355">
        <v>2.5447407290129584</v>
      </c>
      <c r="E355">
        <v>1.9953476560946388E-2</v>
      </c>
      <c r="F355">
        <v>16</v>
      </c>
      <c r="G355" t="s">
        <v>131</v>
      </c>
      <c r="H355">
        <v>3.1925562497514223E-4</v>
      </c>
      <c r="I355" t="s">
        <v>74</v>
      </c>
      <c r="Q355">
        <v>20</v>
      </c>
    </row>
    <row r="356" spans="1:17" x14ac:dyDescent="0.25">
      <c r="A356" t="s">
        <v>40</v>
      </c>
      <c r="B356" t="s">
        <v>32</v>
      </c>
      <c r="C356">
        <v>63.724207908543825</v>
      </c>
      <c r="D356">
        <v>0.44827254079329065</v>
      </c>
      <c r="E356">
        <v>2.8565812589202846E-2</v>
      </c>
      <c r="F356">
        <v>16</v>
      </c>
      <c r="G356" t="s">
        <v>131</v>
      </c>
      <c r="H356">
        <v>4.5705300142724555E-4</v>
      </c>
      <c r="I356" t="s">
        <v>73</v>
      </c>
      <c r="Q356">
        <v>20</v>
      </c>
    </row>
    <row r="357" spans="1:17" x14ac:dyDescent="0.25">
      <c r="A357" t="s">
        <v>40</v>
      </c>
      <c r="B357" t="s">
        <v>9</v>
      </c>
      <c r="C357">
        <v>2198.485172844762</v>
      </c>
      <c r="D357">
        <v>0.55499954058394363</v>
      </c>
      <c r="E357">
        <v>1.2201582609094548</v>
      </c>
      <c r="F357">
        <v>16</v>
      </c>
      <c r="G357" t="s">
        <v>131</v>
      </c>
      <c r="H357">
        <v>1.9522532174551275E-2</v>
      </c>
      <c r="I357" t="s">
        <v>75</v>
      </c>
      <c r="Q357">
        <v>20</v>
      </c>
    </row>
    <row r="358" spans="1:17" x14ac:dyDescent="0.25">
      <c r="A358" t="s">
        <v>40</v>
      </c>
      <c r="B358" t="s">
        <v>10</v>
      </c>
      <c r="C358">
        <v>2676.4167321588407</v>
      </c>
      <c r="D358">
        <v>3.4399175692238457</v>
      </c>
      <c r="E358">
        <v>9.206652939517868</v>
      </c>
      <c r="F358">
        <v>16</v>
      </c>
      <c r="G358" t="s">
        <v>131</v>
      </c>
      <c r="H358">
        <v>0.14730644703228588</v>
      </c>
      <c r="I358" t="s">
        <v>76</v>
      </c>
      <c r="Q358">
        <v>20</v>
      </c>
    </row>
    <row r="359" spans="1:17" x14ac:dyDescent="0.25">
      <c r="A359" t="s">
        <v>40</v>
      </c>
      <c r="B359" t="s">
        <v>11</v>
      </c>
      <c r="C359">
        <v>2198.485172844762</v>
      </c>
      <c r="D359">
        <v>2.7591166879467552</v>
      </c>
      <c r="E359">
        <v>6.0658771285994897</v>
      </c>
      <c r="F359">
        <v>16</v>
      </c>
      <c r="G359" t="s">
        <v>131</v>
      </c>
      <c r="H359">
        <v>9.7054034057591831E-2</v>
      </c>
      <c r="I359" t="s">
        <v>77</v>
      </c>
      <c r="Q359">
        <v>20</v>
      </c>
    </row>
    <row r="360" spans="1:17" x14ac:dyDescent="0.25">
      <c r="A360" t="s">
        <v>40</v>
      </c>
      <c r="B360" t="s">
        <v>12</v>
      </c>
      <c r="C360">
        <v>892.13891071961348</v>
      </c>
      <c r="D360">
        <v>3.6170650670263091</v>
      </c>
      <c r="E360">
        <v>3.2269244888988173</v>
      </c>
      <c r="F360">
        <v>16</v>
      </c>
      <c r="G360" t="s">
        <v>131</v>
      </c>
      <c r="H360">
        <v>5.1630791822381075E-2</v>
      </c>
      <c r="I360" t="s">
        <v>75</v>
      </c>
      <c r="Q360">
        <v>20</v>
      </c>
    </row>
    <row r="361" spans="1:17" x14ac:dyDescent="0.25">
      <c r="A361" t="s">
        <v>40</v>
      </c>
      <c r="B361" t="s">
        <v>25</v>
      </c>
      <c r="C361">
        <v>127.44841581708765</v>
      </c>
      <c r="D361">
        <v>3.4497316286305915</v>
      </c>
      <c r="E361">
        <v>0.43966283106307058</v>
      </c>
      <c r="F361">
        <v>16</v>
      </c>
      <c r="G361" t="s">
        <v>131</v>
      </c>
      <c r="H361">
        <v>7.0346052970091293E-3</v>
      </c>
      <c r="I361" t="s">
        <v>77</v>
      </c>
      <c r="Q361">
        <v>20</v>
      </c>
    </row>
    <row r="362" spans="1:17" x14ac:dyDescent="0.25">
      <c r="A362" t="s">
        <v>40</v>
      </c>
      <c r="B362" t="s">
        <v>13</v>
      </c>
      <c r="C362">
        <v>40.96556222692103</v>
      </c>
      <c r="D362">
        <v>19.000117649578016</v>
      </c>
      <c r="E362">
        <v>0.77835050189260868</v>
      </c>
      <c r="F362">
        <v>16</v>
      </c>
      <c r="G362" t="s">
        <v>131</v>
      </c>
      <c r="H362">
        <v>1.2453608030281739E-2</v>
      </c>
      <c r="I362" t="s">
        <v>77</v>
      </c>
      <c r="Q362">
        <v>20</v>
      </c>
    </row>
    <row r="363" spans="1:17" x14ac:dyDescent="0.25">
      <c r="A363" t="s">
        <v>40</v>
      </c>
      <c r="B363" t="s">
        <v>14</v>
      </c>
      <c r="C363">
        <v>191.17262372563147</v>
      </c>
      <c r="D363">
        <v>2.1538507275073866</v>
      </c>
      <c r="E363">
        <v>0.41175729469094724</v>
      </c>
      <c r="F363">
        <v>16</v>
      </c>
      <c r="G363" t="s">
        <v>131</v>
      </c>
      <c r="H363">
        <v>6.5881167150551555E-3</v>
      </c>
      <c r="I363" t="s">
        <v>73</v>
      </c>
      <c r="Q363">
        <v>20</v>
      </c>
    </row>
    <row r="364" spans="1:17" x14ac:dyDescent="0.25">
      <c r="A364" t="s">
        <v>40</v>
      </c>
      <c r="B364" t="s">
        <v>17</v>
      </c>
      <c r="C364">
        <v>637.24207908543815</v>
      </c>
      <c r="D364">
        <v>4.419593400950224</v>
      </c>
      <c r="E364">
        <v>2.8163508875338032</v>
      </c>
      <c r="F364">
        <v>16</v>
      </c>
      <c r="G364" t="s">
        <v>131</v>
      </c>
      <c r="H364">
        <v>4.5061614200540855E-2</v>
      </c>
      <c r="I364" t="s">
        <v>77</v>
      </c>
      <c r="Q364">
        <v>20</v>
      </c>
    </row>
    <row r="365" spans="1:17" x14ac:dyDescent="0.25">
      <c r="A365" t="s">
        <v>40</v>
      </c>
      <c r="B365" t="s">
        <v>18</v>
      </c>
      <c r="C365">
        <v>54.620749635894704</v>
      </c>
      <c r="D365">
        <v>2.0981256535768793</v>
      </c>
      <c r="E365">
        <v>0.11460119602867067</v>
      </c>
      <c r="F365">
        <v>16</v>
      </c>
      <c r="G365" t="s">
        <v>131</v>
      </c>
      <c r="H365">
        <v>1.8336191364587307E-3</v>
      </c>
      <c r="I365" t="s">
        <v>74</v>
      </c>
      <c r="Q365">
        <v>20</v>
      </c>
    </row>
    <row r="366" spans="1:17" x14ac:dyDescent="0.25">
      <c r="A366" t="s">
        <v>40</v>
      </c>
      <c r="B366" t="s">
        <v>19</v>
      </c>
      <c r="C366">
        <v>95.586311862815734</v>
      </c>
      <c r="D366">
        <v>5.7741021930152234</v>
      </c>
      <c r="E366">
        <v>0.55192513294932144</v>
      </c>
      <c r="F366">
        <v>16</v>
      </c>
      <c r="G366" t="s">
        <v>131</v>
      </c>
      <c r="H366">
        <v>8.8308021271891433E-3</v>
      </c>
      <c r="I366" t="s">
        <v>77</v>
      </c>
      <c r="Q366">
        <v>20</v>
      </c>
    </row>
    <row r="367" spans="1:17" x14ac:dyDescent="0.25">
      <c r="A367" t="s">
        <v>40</v>
      </c>
      <c r="B367" t="s">
        <v>51</v>
      </c>
      <c r="C367">
        <v>32230.50953124318</v>
      </c>
      <c r="D367">
        <v>6.0343868815147653E-2</v>
      </c>
      <c r="E367">
        <v>1.9449136389987045</v>
      </c>
      <c r="F367">
        <v>16</v>
      </c>
      <c r="G367" t="s">
        <v>131</v>
      </c>
      <c r="H367">
        <v>3.1118618223979273E-2</v>
      </c>
      <c r="I367" t="s">
        <v>52</v>
      </c>
      <c r="Q367">
        <v>20</v>
      </c>
    </row>
    <row r="368" spans="1:17" x14ac:dyDescent="0.25">
      <c r="A368" t="s">
        <v>40</v>
      </c>
      <c r="B368" t="s">
        <v>53</v>
      </c>
      <c r="C368">
        <v>71450.768117454762</v>
      </c>
      <c r="D368">
        <v>0.18255700623495158</v>
      </c>
      <c r="E368">
        <v>13.043838320710268</v>
      </c>
      <c r="F368">
        <v>16</v>
      </c>
      <c r="G368" t="s">
        <v>131</v>
      </c>
      <c r="H368">
        <v>0.20870141313136428</v>
      </c>
      <c r="I368" t="s">
        <v>54</v>
      </c>
      <c r="Q368">
        <v>20</v>
      </c>
    </row>
    <row r="369" spans="1:17" x14ac:dyDescent="0.25">
      <c r="A369" t="s">
        <v>40</v>
      </c>
      <c r="B369" t="s">
        <v>46</v>
      </c>
      <c r="C369">
        <v>3106.5551355415114</v>
      </c>
      <c r="D369">
        <v>1.73653665E-2</v>
      </c>
      <c r="E369">
        <v>5.3946468481135518E-2</v>
      </c>
      <c r="F369">
        <v>16</v>
      </c>
      <c r="G369" t="s">
        <v>131</v>
      </c>
      <c r="H369">
        <v>8.631434956981683E-4</v>
      </c>
      <c r="I369" t="s">
        <v>45</v>
      </c>
      <c r="Q369">
        <v>20</v>
      </c>
    </row>
    <row r="370" spans="1:17" x14ac:dyDescent="0.25">
      <c r="A370" t="s">
        <v>40</v>
      </c>
      <c r="B370" t="s">
        <v>48</v>
      </c>
      <c r="C370">
        <v>388.31939194268892</v>
      </c>
      <c r="D370">
        <v>1.35823234989</v>
      </c>
      <c r="E370">
        <v>0.52742796022617422</v>
      </c>
      <c r="F370">
        <v>16</v>
      </c>
      <c r="G370" t="s">
        <v>131</v>
      </c>
      <c r="H370">
        <v>8.4388473636187872E-3</v>
      </c>
      <c r="I370" t="s">
        <v>45</v>
      </c>
      <c r="Q370">
        <v>20</v>
      </c>
    </row>
    <row r="371" spans="1:17" x14ac:dyDescent="0.25">
      <c r="A371" t="s">
        <v>40</v>
      </c>
      <c r="B371" t="s">
        <v>49</v>
      </c>
      <c r="C371">
        <v>1164.9581758280667</v>
      </c>
      <c r="D371">
        <v>1.2479520000000003E-2</v>
      </c>
      <c r="E371">
        <v>1.4538118854409879E-2</v>
      </c>
      <c r="F371">
        <v>16</v>
      </c>
      <c r="G371" t="s">
        <v>131</v>
      </c>
      <c r="H371">
        <v>2.3260990167055806E-4</v>
      </c>
      <c r="I371" t="s">
        <v>45</v>
      </c>
      <c r="Q371">
        <v>20</v>
      </c>
    </row>
    <row r="372" spans="1:17" x14ac:dyDescent="0.25">
      <c r="A372" t="s">
        <v>40</v>
      </c>
      <c r="B372" t="s">
        <v>50</v>
      </c>
      <c r="C372">
        <v>13591.178717994113</v>
      </c>
      <c r="D372">
        <v>2.0535095100000005E-2</v>
      </c>
      <c r="E372">
        <v>0.27909614749510525</v>
      </c>
      <c r="F372">
        <v>16</v>
      </c>
      <c r="G372" t="s">
        <v>131</v>
      </c>
      <c r="H372">
        <v>4.4655383599216843E-3</v>
      </c>
      <c r="I372" t="s">
        <v>45</v>
      </c>
      <c r="Q372">
        <v>20</v>
      </c>
    </row>
    <row r="373" spans="1:17" x14ac:dyDescent="0.25">
      <c r="A373" t="s">
        <v>40</v>
      </c>
      <c r="B373" t="s">
        <v>55</v>
      </c>
      <c r="C373">
        <v>1941.5969597134447</v>
      </c>
      <c r="D373">
        <v>1.9752260000000001E-2</v>
      </c>
      <c r="E373">
        <v>3.8350927963469485E-2</v>
      </c>
      <c r="F373">
        <v>16</v>
      </c>
      <c r="G373" t="s">
        <v>131</v>
      </c>
      <c r="H373">
        <v>6.1361484741551174E-4</v>
      </c>
      <c r="I373" t="s">
        <v>45</v>
      </c>
      <c r="Q373">
        <v>20</v>
      </c>
    </row>
    <row r="374" spans="1:17" x14ac:dyDescent="0.25">
      <c r="A374" t="s">
        <v>40</v>
      </c>
      <c r="B374" t="s">
        <v>56</v>
      </c>
      <c r="C374">
        <v>18639.330813249067</v>
      </c>
      <c r="D374">
        <v>1.1886867593999999E-2</v>
      </c>
      <c r="E374">
        <v>0.22156325741785599</v>
      </c>
      <c r="F374">
        <v>16</v>
      </c>
      <c r="G374" t="s">
        <v>131</v>
      </c>
      <c r="H374">
        <v>3.545012118685696E-3</v>
      </c>
      <c r="I374" t="s">
        <v>45</v>
      </c>
      <c r="Q374">
        <v>20</v>
      </c>
    </row>
    <row r="375" spans="1:17" x14ac:dyDescent="0.25">
      <c r="A375" t="s">
        <v>40</v>
      </c>
      <c r="B375" t="s">
        <v>57</v>
      </c>
      <c r="C375">
        <v>37666.981018440827</v>
      </c>
      <c r="D375">
        <v>2.4829778000000002E-3</v>
      </c>
      <c r="E375">
        <v>9.3526277661809973E-2</v>
      </c>
      <c r="F375">
        <v>16</v>
      </c>
      <c r="G375" t="s">
        <v>131</v>
      </c>
      <c r="H375">
        <v>1.4964204425889597E-3</v>
      </c>
      <c r="I375" t="s">
        <v>45</v>
      </c>
      <c r="Q375">
        <v>20</v>
      </c>
    </row>
    <row r="376" spans="1:17" x14ac:dyDescent="0.25">
      <c r="A376" t="s">
        <v>40</v>
      </c>
      <c r="B376" t="s">
        <v>58</v>
      </c>
      <c r="C376">
        <v>10872.94297439529</v>
      </c>
      <c r="D376">
        <v>2.5439171000000002E-3</v>
      </c>
      <c r="E376">
        <v>2.765986555988904E-2</v>
      </c>
      <c r="F376">
        <v>16</v>
      </c>
      <c r="G376" t="s">
        <v>131</v>
      </c>
      <c r="H376">
        <v>4.4255784895822463E-4</v>
      </c>
      <c r="I376" t="s">
        <v>45</v>
      </c>
      <c r="Q376">
        <v>20</v>
      </c>
    </row>
    <row r="377" spans="1:17" x14ac:dyDescent="0.25">
      <c r="A377" t="s">
        <v>40</v>
      </c>
      <c r="B377" t="s">
        <v>59</v>
      </c>
      <c r="C377">
        <v>7766.3878388537787</v>
      </c>
      <c r="D377">
        <v>4.1193736999999998E-3</v>
      </c>
      <c r="E377">
        <v>3.1992653807374094E-2</v>
      </c>
      <c r="F377">
        <v>16</v>
      </c>
      <c r="G377" t="s">
        <v>131</v>
      </c>
      <c r="H377">
        <v>5.1188246091798549E-4</v>
      </c>
      <c r="I377" t="s">
        <v>45</v>
      </c>
      <c r="Q377">
        <v>20</v>
      </c>
    </row>
    <row r="378" spans="1:17" x14ac:dyDescent="0.25">
      <c r="A378" t="s">
        <v>40</v>
      </c>
      <c r="B378" t="s">
        <v>60</v>
      </c>
      <c r="C378">
        <v>3494.8745274842004</v>
      </c>
      <c r="D378">
        <v>2.2064795555555555E-3</v>
      </c>
      <c r="E378">
        <v>7.7113691941257702E-3</v>
      </c>
      <c r="F378">
        <v>16</v>
      </c>
      <c r="G378" t="s">
        <v>131</v>
      </c>
      <c r="H378">
        <v>1.2338190710601231E-4</v>
      </c>
      <c r="I378" t="s">
        <v>45</v>
      </c>
      <c r="Q378">
        <v>20</v>
      </c>
    </row>
    <row r="379" spans="1:17" x14ac:dyDescent="0.25">
      <c r="A379" t="s">
        <v>40</v>
      </c>
      <c r="B379" t="s">
        <v>70</v>
      </c>
      <c r="C379">
        <v>776.63878388537785</v>
      </c>
      <c r="D379">
        <v>2.5434045000000002E-2</v>
      </c>
      <c r="E379">
        <v>1.9753065778085974E-2</v>
      </c>
      <c r="F379">
        <v>16</v>
      </c>
      <c r="G379" t="s">
        <v>131</v>
      </c>
      <c r="H379">
        <v>3.1604905244937557E-4</v>
      </c>
      <c r="I379" t="s">
        <v>45</v>
      </c>
      <c r="Q379">
        <v>20</v>
      </c>
    </row>
    <row r="380" spans="1:17" x14ac:dyDescent="0.25">
      <c r="A380" t="s">
        <v>40</v>
      </c>
      <c r="B380" t="s">
        <v>63</v>
      </c>
      <c r="C380">
        <v>7378.0684469110902</v>
      </c>
      <c r="D380">
        <v>2.4981571052631574E-2</v>
      </c>
      <c r="E380">
        <v>0.1843157411376885</v>
      </c>
      <c r="F380">
        <v>16</v>
      </c>
      <c r="G380" t="s">
        <v>131</v>
      </c>
      <c r="H380">
        <v>2.9490518582030159E-3</v>
      </c>
      <c r="I380" t="s">
        <v>45</v>
      </c>
      <c r="Q380">
        <v>20</v>
      </c>
    </row>
    <row r="381" spans="1:17" x14ac:dyDescent="0.25">
      <c r="A381" t="s">
        <v>40</v>
      </c>
      <c r="B381" t="s">
        <v>64</v>
      </c>
      <c r="C381">
        <v>1164.9581758280667</v>
      </c>
      <c r="D381">
        <v>1.8703074133333334E-2</v>
      </c>
      <c r="E381">
        <v>2.17882991247451E-2</v>
      </c>
      <c r="F381">
        <v>16</v>
      </c>
      <c r="G381" t="s">
        <v>131</v>
      </c>
      <c r="H381">
        <v>3.486127859959216E-4</v>
      </c>
      <c r="I381" t="s">
        <v>45</v>
      </c>
      <c r="Q381">
        <v>20</v>
      </c>
    </row>
    <row r="382" spans="1:17" x14ac:dyDescent="0.25">
      <c r="A382" t="s">
        <v>40</v>
      </c>
      <c r="B382" t="s">
        <v>65</v>
      </c>
      <c r="C382">
        <v>3106.5551355415114</v>
      </c>
      <c r="D382">
        <v>2.3904688500000007E-2</v>
      </c>
      <c r="E382">
        <v>7.4261232823195134E-2</v>
      </c>
      <c r="F382">
        <v>16</v>
      </c>
      <c r="G382" t="s">
        <v>131</v>
      </c>
      <c r="H382">
        <v>1.1881797251711221E-3</v>
      </c>
      <c r="I382" t="s">
        <v>45</v>
      </c>
      <c r="Q382">
        <v>20</v>
      </c>
    </row>
    <row r="383" spans="1:17" x14ac:dyDescent="0.25">
      <c r="A383" t="s">
        <v>40</v>
      </c>
      <c r="B383" t="s">
        <v>67</v>
      </c>
      <c r="C383">
        <v>7378.0684469110902</v>
      </c>
      <c r="D383">
        <v>1.7745948947368424E-2</v>
      </c>
      <c r="E383">
        <v>0.13093082598907405</v>
      </c>
      <c r="F383">
        <v>16</v>
      </c>
      <c r="G383" t="s">
        <v>131</v>
      </c>
      <c r="H383">
        <v>2.0948932158251846E-3</v>
      </c>
      <c r="I383" t="s">
        <v>45</v>
      </c>
      <c r="Q383">
        <v>20</v>
      </c>
    </row>
    <row r="384" spans="1:17" x14ac:dyDescent="0.25">
      <c r="A384" t="s">
        <v>40</v>
      </c>
      <c r="B384" t="s">
        <v>69</v>
      </c>
      <c r="C384">
        <v>388.31939194268892</v>
      </c>
      <c r="D384">
        <v>0.09</v>
      </c>
      <c r="E384">
        <v>3.4948745274842007E-2</v>
      </c>
      <c r="F384">
        <v>16</v>
      </c>
      <c r="G384" t="s">
        <v>131</v>
      </c>
      <c r="H384">
        <v>5.5917992439747212E-4</v>
      </c>
      <c r="I384" t="s">
        <v>45</v>
      </c>
      <c r="Q384">
        <v>20</v>
      </c>
    </row>
    <row r="385" spans="1:17" x14ac:dyDescent="0.25">
      <c r="A385" t="s">
        <v>41</v>
      </c>
      <c r="B385" t="s">
        <v>6</v>
      </c>
      <c r="C385">
        <v>329.55877672105129</v>
      </c>
      <c r="D385">
        <v>0.92063424082422274</v>
      </c>
      <c r="E385">
        <v>0.30340309421354461</v>
      </c>
      <c r="F385">
        <v>11</v>
      </c>
      <c r="G385" t="s">
        <v>132</v>
      </c>
      <c r="H385">
        <v>3.3374340363489905E-3</v>
      </c>
      <c r="I385" t="s">
        <v>73</v>
      </c>
      <c r="Q385">
        <v>20</v>
      </c>
    </row>
    <row r="386" spans="1:17" x14ac:dyDescent="0.25">
      <c r="A386" t="s">
        <v>41</v>
      </c>
      <c r="B386" t="s">
        <v>7</v>
      </c>
      <c r="C386">
        <v>0.49041484631108823</v>
      </c>
      <c r="D386">
        <v>70.050110863607216</v>
      </c>
      <c r="E386">
        <v>3.4353614353250628E-2</v>
      </c>
      <c r="F386">
        <v>11</v>
      </c>
      <c r="G386" t="s">
        <v>132</v>
      </c>
      <c r="H386">
        <v>3.7788975788575688E-4</v>
      </c>
      <c r="I386" t="s">
        <v>74</v>
      </c>
      <c r="Q386">
        <v>20</v>
      </c>
    </row>
    <row r="387" spans="1:17" x14ac:dyDescent="0.25">
      <c r="A387" t="s">
        <v>41</v>
      </c>
      <c r="B387" t="s">
        <v>8</v>
      </c>
      <c r="C387">
        <v>10.298711772532853</v>
      </c>
      <c r="D387">
        <v>2.4803311648951798</v>
      </c>
      <c r="E387">
        <v>2.5544215767686111E-2</v>
      </c>
      <c r="F387">
        <v>11</v>
      </c>
      <c r="G387" t="s">
        <v>132</v>
      </c>
      <c r="H387">
        <v>2.8098637344454725E-4</v>
      </c>
      <c r="I387" t="s">
        <v>74</v>
      </c>
      <c r="Q387">
        <v>20</v>
      </c>
    </row>
    <row r="388" spans="1:17" x14ac:dyDescent="0.25">
      <c r="A388" t="s">
        <v>41</v>
      </c>
      <c r="B388" t="s">
        <v>9</v>
      </c>
      <c r="C388">
        <v>115.0840172676687</v>
      </c>
      <c r="D388">
        <v>0.66568845445389724</v>
      </c>
      <c r="E388">
        <v>7.6610101587260004E-2</v>
      </c>
      <c r="F388">
        <v>11</v>
      </c>
      <c r="G388" t="s">
        <v>132</v>
      </c>
      <c r="H388">
        <v>8.4271111745986009E-4</v>
      </c>
      <c r="I388" t="s">
        <v>75</v>
      </c>
      <c r="Q388">
        <v>20</v>
      </c>
    </row>
    <row r="389" spans="1:17" x14ac:dyDescent="0.25">
      <c r="A389" t="s">
        <v>41</v>
      </c>
      <c r="B389" t="s">
        <v>10</v>
      </c>
      <c r="C389">
        <v>313.86550163909646</v>
      </c>
      <c r="D389">
        <v>2.5268476683632137</v>
      </c>
      <c r="E389">
        <v>0.79309031099640126</v>
      </c>
      <c r="F389">
        <v>11</v>
      </c>
      <c r="G389" t="s">
        <v>132</v>
      </c>
      <c r="H389">
        <v>8.7239934209604134E-3</v>
      </c>
      <c r="I389" t="s">
        <v>76</v>
      </c>
      <c r="Q389">
        <v>20</v>
      </c>
    </row>
    <row r="390" spans="1:17" x14ac:dyDescent="0.25">
      <c r="A390" t="s">
        <v>41</v>
      </c>
      <c r="B390" t="s">
        <v>11</v>
      </c>
      <c r="C390">
        <v>41.848733551879526</v>
      </c>
      <c r="D390">
        <v>3.0095337103059148</v>
      </c>
      <c r="E390">
        <v>0.12594517435799163</v>
      </c>
      <c r="F390">
        <v>11</v>
      </c>
      <c r="G390" t="s">
        <v>132</v>
      </c>
      <c r="H390">
        <v>1.3853969179379081E-3</v>
      </c>
      <c r="I390" t="s">
        <v>77</v>
      </c>
      <c r="Q390">
        <v>20</v>
      </c>
    </row>
    <row r="391" spans="1:17" x14ac:dyDescent="0.25">
      <c r="A391" t="s">
        <v>41</v>
      </c>
      <c r="B391" t="s">
        <v>21</v>
      </c>
      <c r="C391">
        <v>10.462183387969882</v>
      </c>
      <c r="D391">
        <v>0.47141687387345149</v>
      </c>
      <c r="E391">
        <v>4.9320497866475171E-3</v>
      </c>
      <c r="F391">
        <v>11</v>
      </c>
      <c r="G391" t="s">
        <v>132</v>
      </c>
      <c r="H391">
        <v>5.4252547653122689E-5</v>
      </c>
      <c r="I391" t="s">
        <v>73</v>
      </c>
      <c r="Q391">
        <v>20</v>
      </c>
    </row>
    <row r="392" spans="1:17" x14ac:dyDescent="0.25">
      <c r="A392" t="s">
        <v>41</v>
      </c>
      <c r="B392" t="s">
        <v>12</v>
      </c>
      <c r="C392">
        <v>73.235283715789166</v>
      </c>
      <c r="D392">
        <v>3.2873576511449456</v>
      </c>
      <c r="E392">
        <v>0.24075057025687036</v>
      </c>
      <c r="F392">
        <v>11</v>
      </c>
      <c r="G392" t="s">
        <v>132</v>
      </c>
      <c r="H392">
        <v>2.6482562728255741E-3</v>
      </c>
      <c r="I392" t="s">
        <v>75</v>
      </c>
      <c r="Q392">
        <v>20</v>
      </c>
    </row>
    <row r="393" spans="1:17" x14ac:dyDescent="0.25">
      <c r="A393" t="s">
        <v>41</v>
      </c>
      <c r="B393" t="s">
        <v>25</v>
      </c>
      <c r="C393">
        <v>10.462183387969882</v>
      </c>
      <c r="D393">
        <v>4.1546417175615193</v>
      </c>
      <c r="E393">
        <v>4.3466623560438782E-2</v>
      </c>
      <c r="F393">
        <v>11</v>
      </c>
      <c r="G393" t="s">
        <v>132</v>
      </c>
      <c r="H393">
        <v>4.7813285916482661E-4</v>
      </c>
      <c r="I393" t="s">
        <v>77</v>
      </c>
      <c r="Q393">
        <v>20</v>
      </c>
    </row>
    <row r="394" spans="1:17" x14ac:dyDescent="0.25">
      <c r="A394" t="s">
        <v>41</v>
      </c>
      <c r="B394" t="s">
        <v>14</v>
      </c>
      <c r="C394">
        <v>68.004192021804229</v>
      </c>
      <c r="D394">
        <v>1.5368142788840191</v>
      </c>
      <c r="E394">
        <v>0.10450981332307943</v>
      </c>
      <c r="F394">
        <v>11</v>
      </c>
      <c r="G394" t="s">
        <v>132</v>
      </c>
      <c r="H394">
        <v>1.1496079465538737E-3</v>
      </c>
      <c r="I394" t="s">
        <v>73</v>
      </c>
      <c r="Q394">
        <v>20</v>
      </c>
    </row>
    <row r="395" spans="1:17" x14ac:dyDescent="0.25">
      <c r="A395" t="s">
        <v>41</v>
      </c>
      <c r="B395" t="s">
        <v>26</v>
      </c>
      <c r="C395">
        <v>20.924366775939763</v>
      </c>
      <c r="D395">
        <v>0.19932570509340042</v>
      </c>
      <c r="E395">
        <v>4.170764161247115E-3</v>
      </c>
      <c r="F395">
        <v>11</v>
      </c>
      <c r="G395" t="s">
        <v>132</v>
      </c>
      <c r="H395">
        <v>4.5878405773718266E-5</v>
      </c>
      <c r="I395" t="s">
        <v>80</v>
      </c>
      <c r="Q395">
        <v>20</v>
      </c>
    </row>
    <row r="396" spans="1:17" x14ac:dyDescent="0.25">
      <c r="A396" t="s">
        <v>41</v>
      </c>
      <c r="B396" t="s">
        <v>42</v>
      </c>
      <c r="C396">
        <v>20.924366775939763</v>
      </c>
      <c r="D396">
        <v>1.1487189712043993</v>
      </c>
      <c r="E396">
        <v>2.4036217075961038E-2</v>
      </c>
      <c r="F396">
        <v>11</v>
      </c>
      <c r="G396" t="s">
        <v>132</v>
      </c>
      <c r="H396">
        <v>2.6439838783557138E-4</v>
      </c>
      <c r="I396" t="s">
        <v>80</v>
      </c>
      <c r="Q396">
        <v>20</v>
      </c>
    </row>
    <row r="397" spans="1:17" x14ac:dyDescent="0.25">
      <c r="A397" t="s">
        <v>41</v>
      </c>
      <c r="B397" t="s">
        <v>15</v>
      </c>
      <c r="C397">
        <v>329.55877672105129</v>
      </c>
      <c r="D397">
        <v>1.5874181420088973</v>
      </c>
      <c r="E397">
        <v>0.52314758102525627</v>
      </c>
      <c r="F397">
        <v>11</v>
      </c>
      <c r="G397" t="s">
        <v>132</v>
      </c>
      <c r="H397">
        <v>5.7546233912778187E-3</v>
      </c>
      <c r="I397" t="s">
        <v>73</v>
      </c>
      <c r="Q397">
        <v>20</v>
      </c>
    </row>
    <row r="398" spans="1:17" x14ac:dyDescent="0.25">
      <c r="A398" t="s">
        <v>41</v>
      </c>
      <c r="B398" t="s">
        <v>17</v>
      </c>
      <c r="C398">
        <v>52.310916939849406</v>
      </c>
      <c r="D398">
        <v>5.3394104401771978</v>
      </c>
      <c r="E398">
        <v>0.27930945604387414</v>
      </c>
      <c r="F398">
        <v>11</v>
      </c>
      <c r="G398" t="s">
        <v>132</v>
      </c>
      <c r="H398">
        <v>3.0724040164826156E-3</v>
      </c>
      <c r="I398" t="s">
        <v>77</v>
      </c>
      <c r="Q398">
        <v>20</v>
      </c>
    </row>
    <row r="399" spans="1:17" x14ac:dyDescent="0.25">
      <c r="A399" t="s">
        <v>41</v>
      </c>
      <c r="B399" t="s">
        <v>18</v>
      </c>
      <c r="C399">
        <v>24.660860843071866</v>
      </c>
      <c r="D399">
        <v>8.51078707229542</v>
      </c>
      <c r="E399">
        <v>0.20988333565489237</v>
      </c>
      <c r="F399">
        <v>11</v>
      </c>
      <c r="G399" t="s">
        <v>132</v>
      </c>
      <c r="H399">
        <v>2.3087166922038161E-3</v>
      </c>
      <c r="I399" t="s">
        <v>74</v>
      </c>
      <c r="Q399">
        <v>20</v>
      </c>
    </row>
    <row r="400" spans="1:17" x14ac:dyDescent="0.25">
      <c r="A400" t="s">
        <v>41</v>
      </c>
      <c r="B400" t="s">
        <v>28</v>
      </c>
      <c r="C400">
        <v>360.94532688496093</v>
      </c>
      <c r="D400">
        <v>3.9142739955386929</v>
      </c>
      <c r="E400">
        <v>1.4128389068370157</v>
      </c>
      <c r="F400">
        <v>11</v>
      </c>
      <c r="G400" t="s">
        <v>132</v>
      </c>
      <c r="H400">
        <v>1.5541227975207173E-2</v>
      </c>
      <c r="I400" t="s">
        <v>74</v>
      </c>
      <c r="Q400">
        <v>20</v>
      </c>
    </row>
    <row r="401" spans="1:17" x14ac:dyDescent="0.25">
      <c r="A401" t="s">
        <v>41</v>
      </c>
      <c r="B401" t="s">
        <v>19</v>
      </c>
      <c r="C401">
        <v>20.924366775939763</v>
      </c>
      <c r="D401">
        <v>6.98840977594128</v>
      </c>
      <c r="E401">
        <v>0.14622804933235836</v>
      </c>
      <c r="F401">
        <v>11</v>
      </c>
      <c r="G401" t="s">
        <v>132</v>
      </c>
      <c r="H401">
        <v>1.6085085426559419E-3</v>
      </c>
      <c r="I401" t="s">
        <v>77</v>
      </c>
      <c r="Q401">
        <v>20</v>
      </c>
    </row>
    <row r="402" spans="1:17" x14ac:dyDescent="0.25">
      <c r="A402" t="s">
        <v>41</v>
      </c>
      <c r="B402" t="s">
        <v>43</v>
      </c>
      <c r="C402">
        <v>10.462183387969882</v>
      </c>
      <c r="D402">
        <v>5.8429505449105221</v>
      </c>
      <c r="E402">
        <v>6.1130020127692433E-2</v>
      </c>
      <c r="F402">
        <v>11</v>
      </c>
      <c r="G402" t="s">
        <v>132</v>
      </c>
      <c r="H402">
        <v>6.7243022140461677E-4</v>
      </c>
      <c r="I402" t="s">
        <v>77</v>
      </c>
      <c r="Q402">
        <v>20</v>
      </c>
    </row>
    <row r="403" spans="1:17" x14ac:dyDescent="0.25">
      <c r="A403" t="s">
        <v>41</v>
      </c>
      <c r="B403" t="s">
        <v>51</v>
      </c>
      <c r="C403">
        <v>494.33816508157696</v>
      </c>
      <c r="D403">
        <v>8.9234171616680416E-2</v>
      </c>
      <c r="E403">
        <v>4.4111856659564332E-2</v>
      </c>
      <c r="F403">
        <v>11</v>
      </c>
      <c r="G403" t="s">
        <v>132</v>
      </c>
      <c r="H403">
        <v>4.8523042325520764E-4</v>
      </c>
      <c r="I403" t="s">
        <v>52</v>
      </c>
      <c r="Q403">
        <v>20</v>
      </c>
    </row>
    <row r="404" spans="1:17" x14ac:dyDescent="0.25">
      <c r="A404" t="s">
        <v>41</v>
      </c>
      <c r="B404" t="s">
        <v>53</v>
      </c>
      <c r="C404">
        <v>7662.2415587644427</v>
      </c>
      <c r="D404">
        <v>0.17119940700552502</v>
      </c>
      <c r="E404">
        <v>1.3117712111935622</v>
      </c>
      <c r="F404">
        <v>11</v>
      </c>
      <c r="G404" t="s">
        <v>132</v>
      </c>
      <c r="H404">
        <v>1.4429483323129185E-2</v>
      </c>
      <c r="I404" t="s">
        <v>54</v>
      </c>
      <c r="Q404">
        <v>20</v>
      </c>
    </row>
    <row r="405" spans="1:17" x14ac:dyDescent="0.25">
      <c r="A405" t="s">
        <v>41</v>
      </c>
      <c r="B405" t="s">
        <v>46</v>
      </c>
      <c r="C405">
        <v>659.11755344210258</v>
      </c>
      <c r="D405">
        <v>1.1385277499999999E-2</v>
      </c>
      <c r="E405">
        <v>7.5042362510594172E-3</v>
      </c>
      <c r="F405">
        <v>11</v>
      </c>
      <c r="G405" t="s">
        <v>132</v>
      </c>
      <c r="H405">
        <v>8.2546598761653586E-5</v>
      </c>
      <c r="I405" t="s">
        <v>45</v>
      </c>
      <c r="Q405">
        <v>20</v>
      </c>
    </row>
    <row r="406" spans="1:17" x14ac:dyDescent="0.25">
      <c r="A406" t="s">
        <v>41</v>
      </c>
      <c r="B406" t="s">
        <v>48</v>
      </c>
      <c r="C406">
        <v>247.16908254078848</v>
      </c>
      <c r="D406">
        <v>2.3523970613</v>
      </c>
      <c r="E406">
        <v>0.58143982341316791</v>
      </c>
      <c r="F406">
        <v>11</v>
      </c>
      <c r="G406" t="s">
        <v>132</v>
      </c>
      <c r="H406">
        <v>6.3958380575448465E-3</v>
      </c>
      <c r="I406" t="s">
        <v>45</v>
      </c>
      <c r="Q406">
        <v>20</v>
      </c>
    </row>
    <row r="407" spans="1:17" x14ac:dyDescent="0.25">
      <c r="A407" t="s">
        <v>41</v>
      </c>
      <c r="B407" t="s">
        <v>49</v>
      </c>
      <c r="C407">
        <v>659.11755344210258</v>
      </c>
      <c r="D407">
        <v>1.3593217500000003E-2</v>
      </c>
      <c r="E407">
        <v>8.9595282620063763E-3</v>
      </c>
      <c r="F407">
        <v>11</v>
      </c>
      <c r="G407" t="s">
        <v>132</v>
      </c>
      <c r="H407">
        <v>9.8554810882070127E-5</v>
      </c>
      <c r="I407" t="s">
        <v>45</v>
      </c>
      <c r="Q407">
        <v>20</v>
      </c>
    </row>
    <row r="408" spans="1:17" x14ac:dyDescent="0.25">
      <c r="A408" t="s">
        <v>41</v>
      </c>
      <c r="B408" t="s">
        <v>50</v>
      </c>
      <c r="C408">
        <v>22986.724676293328</v>
      </c>
      <c r="D408">
        <v>1.99328766E-2</v>
      </c>
      <c r="E408">
        <v>0.45819154641072984</v>
      </c>
      <c r="F408">
        <v>11</v>
      </c>
      <c r="G408" t="s">
        <v>132</v>
      </c>
      <c r="H408">
        <v>5.0401070105180277E-3</v>
      </c>
      <c r="I408" t="s">
        <v>45</v>
      </c>
      <c r="Q408">
        <v>20</v>
      </c>
    </row>
    <row r="409" spans="1:17" x14ac:dyDescent="0.25">
      <c r="A409" t="s">
        <v>41</v>
      </c>
      <c r="B409" t="s">
        <v>55</v>
      </c>
      <c r="C409">
        <v>4201.8744031934039</v>
      </c>
      <c r="D409">
        <v>1.7018785714285715E-2</v>
      </c>
      <c r="E409">
        <v>7.1510800066290708E-2</v>
      </c>
      <c r="F409">
        <v>11</v>
      </c>
      <c r="G409" t="s">
        <v>132</v>
      </c>
      <c r="H409">
        <v>7.8661880072919779E-4</v>
      </c>
      <c r="I409" t="s">
        <v>45</v>
      </c>
      <c r="Q409">
        <v>20</v>
      </c>
    </row>
    <row r="410" spans="1:17" x14ac:dyDescent="0.25">
      <c r="A410" t="s">
        <v>41</v>
      </c>
      <c r="B410" t="s">
        <v>56</v>
      </c>
      <c r="C410">
        <v>4366.6537915539293</v>
      </c>
      <c r="D410">
        <v>1.0675521528E-2</v>
      </c>
      <c r="E410">
        <v>4.6616306557056793E-2</v>
      </c>
      <c r="F410">
        <v>11</v>
      </c>
      <c r="G410" t="s">
        <v>132</v>
      </c>
      <c r="H410">
        <v>5.1277937212762471E-4</v>
      </c>
      <c r="I410" t="s">
        <v>45</v>
      </c>
      <c r="Q410">
        <v>20</v>
      </c>
    </row>
    <row r="411" spans="1:17" x14ac:dyDescent="0.25">
      <c r="A411" t="s">
        <v>41</v>
      </c>
      <c r="B411" t="s">
        <v>57</v>
      </c>
      <c r="C411">
        <v>3048.4186846697244</v>
      </c>
      <c r="D411">
        <v>2.0955694054054061E-3</v>
      </c>
      <c r="E411">
        <v>6.3881729304600642E-3</v>
      </c>
      <c r="F411">
        <v>11</v>
      </c>
      <c r="G411" t="s">
        <v>132</v>
      </c>
      <c r="H411">
        <v>7.0269902235060698E-5</v>
      </c>
      <c r="I411" t="s">
        <v>45</v>
      </c>
      <c r="Q411">
        <v>20</v>
      </c>
    </row>
    <row r="412" spans="1:17" x14ac:dyDescent="0.25">
      <c r="A412" t="s">
        <v>41</v>
      </c>
      <c r="B412" t="s">
        <v>59</v>
      </c>
      <c r="C412">
        <v>1071.0660243434168</v>
      </c>
      <c r="D412">
        <v>4.4043144615384614E-3</v>
      </c>
      <c r="E412">
        <v>4.7173115802782162E-3</v>
      </c>
      <c r="F412">
        <v>11</v>
      </c>
      <c r="G412" t="s">
        <v>132</v>
      </c>
      <c r="H412">
        <v>5.1890427383060379E-5</v>
      </c>
      <c r="I412" t="s">
        <v>45</v>
      </c>
      <c r="Q412">
        <v>20</v>
      </c>
    </row>
    <row r="413" spans="1:17" x14ac:dyDescent="0.25">
      <c r="A413" t="s">
        <v>41</v>
      </c>
      <c r="B413" t="s">
        <v>62</v>
      </c>
      <c r="C413">
        <v>329.55877672105129</v>
      </c>
      <c r="D413">
        <v>0.39776791750000001</v>
      </c>
      <c r="E413">
        <v>0.13108790831018005</v>
      </c>
      <c r="F413">
        <v>11</v>
      </c>
      <c r="G413" t="s">
        <v>132</v>
      </c>
      <c r="H413">
        <v>1.4419669914119805E-3</v>
      </c>
      <c r="I413" t="s">
        <v>45</v>
      </c>
      <c r="Q413">
        <v>20</v>
      </c>
    </row>
    <row r="414" spans="1:17" x14ac:dyDescent="0.25">
      <c r="A414" t="s">
        <v>41</v>
      </c>
      <c r="B414" t="s">
        <v>63</v>
      </c>
      <c r="C414">
        <v>329.55877672105129</v>
      </c>
      <c r="D414">
        <v>4.3184677500000004E-2</v>
      </c>
      <c r="E414">
        <v>1.4231889489993108E-2</v>
      </c>
      <c r="F414">
        <v>11</v>
      </c>
      <c r="G414" t="s">
        <v>132</v>
      </c>
      <c r="H414">
        <v>1.5655078438992417E-4</v>
      </c>
      <c r="I414" t="s">
        <v>45</v>
      </c>
      <c r="Q414">
        <v>20</v>
      </c>
    </row>
    <row r="415" spans="1:17" x14ac:dyDescent="0.25">
      <c r="A415" t="s">
        <v>41</v>
      </c>
      <c r="B415" t="s">
        <v>65</v>
      </c>
      <c r="C415">
        <v>1977.3526603263078</v>
      </c>
      <c r="D415">
        <v>2.8986203399999997E-2</v>
      </c>
      <c r="E415">
        <v>5.7315946405749461E-2</v>
      </c>
      <c r="F415">
        <v>11</v>
      </c>
      <c r="G415" t="s">
        <v>132</v>
      </c>
      <c r="H415">
        <v>6.3047541046324404E-4</v>
      </c>
      <c r="I415" t="s">
        <v>45</v>
      </c>
      <c r="Q415">
        <v>20</v>
      </c>
    </row>
    <row r="416" spans="1:17" x14ac:dyDescent="0.25">
      <c r="A416" t="s">
        <v>41</v>
      </c>
      <c r="B416" t="s">
        <v>66</v>
      </c>
      <c r="C416">
        <v>82.389694180262822</v>
      </c>
      <c r="D416">
        <v>1.4061216400000002E-2</v>
      </c>
      <c r="E416">
        <v>1.1584993189984961E-3</v>
      </c>
      <c r="F416">
        <v>11</v>
      </c>
      <c r="G416" t="s">
        <v>132</v>
      </c>
      <c r="H416">
        <v>1.2743492508983459E-5</v>
      </c>
      <c r="I416" t="s">
        <v>45</v>
      </c>
      <c r="Q416">
        <v>20</v>
      </c>
    </row>
    <row r="417" spans="1:17" x14ac:dyDescent="0.25">
      <c r="A417" t="s">
        <v>41</v>
      </c>
      <c r="B417" t="s">
        <v>67</v>
      </c>
      <c r="C417">
        <v>3295.587767210513</v>
      </c>
      <c r="D417">
        <v>1.9234458500000003E-2</v>
      </c>
      <c r="E417">
        <v>6.3388846141518282E-2</v>
      </c>
      <c r="F417">
        <v>11</v>
      </c>
      <c r="G417" t="s">
        <v>132</v>
      </c>
      <c r="H417">
        <v>6.9727730755670119E-4</v>
      </c>
      <c r="I417" t="s">
        <v>45</v>
      </c>
      <c r="Q417">
        <v>20</v>
      </c>
    </row>
    <row r="418" spans="1:17" x14ac:dyDescent="0.25">
      <c r="A418" t="s">
        <v>41</v>
      </c>
      <c r="B418" t="s">
        <v>69</v>
      </c>
      <c r="C418">
        <v>82.389694180262822</v>
      </c>
      <c r="D418">
        <v>0.09</v>
      </c>
      <c r="E418">
        <v>7.4150724762236534E-3</v>
      </c>
      <c r="F418">
        <v>11</v>
      </c>
      <c r="G418" t="s">
        <v>132</v>
      </c>
      <c r="H418">
        <v>8.1565797238460194E-5</v>
      </c>
      <c r="I418" t="s">
        <v>45</v>
      </c>
      <c r="Q418">
        <v>20</v>
      </c>
    </row>
    <row r="419" spans="1:17" x14ac:dyDescent="0.25">
      <c r="A419" t="s">
        <v>41</v>
      </c>
      <c r="B419" t="s">
        <v>71</v>
      </c>
      <c r="C419">
        <v>164.77938836052564</v>
      </c>
      <c r="D419">
        <v>0.09</v>
      </c>
      <c r="E419">
        <v>1.4830144952447307E-2</v>
      </c>
      <c r="F419">
        <v>11</v>
      </c>
      <c r="G419" t="s">
        <v>132</v>
      </c>
      <c r="H419">
        <v>1.6313159447692039E-4</v>
      </c>
      <c r="I419" t="s">
        <v>45</v>
      </c>
      <c r="Q419">
        <v>20</v>
      </c>
    </row>
    <row r="420" spans="1:17" x14ac:dyDescent="0.25">
      <c r="Q420">
        <v>20</v>
      </c>
    </row>
    <row r="421" spans="1:17" x14ac:dyDescent="0.25">
      <c r="Q421">
        <v>20</v>
      </c>
    </row>
    <row r="422" spans="1:17" x14ac:dyDescent="0.25">
      <c r="Q422">
        <v>20</v>
      </c>
    </row>
    <row r="423" spans="1:17" x14ac:dyDescent="0.25">
      <c r="Q423">
        <v>20</v>
      </c>
    </row>
    <row r="424" spans="1:17" x14ac:dyDescent="0.25">
      <c r="Q424">
        <v>20</v>
      </c>
    </row>
    <row r="425" spans="1:17" x14ac:dyDescent="0.25">
      <c r="Q425">
        <v>20</v>
      </c>
    </row>
    <row r="426" spans="1:17" x14ac:dyDescent="0.25">
      <c r="Q426">
        <v>20</v>
      </c>
    </row>
    <row r="427" spans="1:17" x14ac:dyDescent="0.25">
      <c r="Q427">
        <v>20</v>
      </c>
    </row>
    <row r="428" spans="1:17" x14ac:dyDescent="0.25">
      <c r="Q428">
        <v>20</v>
      </c>
    </row>
    <row r="429" spans="1:17" x14ac:dyDescent="0.25">
      <c r="Q429">
        <v>20</v>
      </c>
    </row>
    <row r="430" spans="1:17" x14ac:dyDescent="0.25">
      <c r="Q430">
        <v>20</v>
      </c>
    </row>
    <row r="431" spans="1:17" x14ac:dyDescent="0.25">
      <c r="Q431">
        <v>20</v>
      </c>
    </row>
    <row r="432" spans="1:17" x14ac:dyDescent="0.25">
      <c r="Q432">
        <v>20</v>
      </c>
    </row>
    <row r="433" spans="17:17" x14ac:dyDescent="0.25">
      <c r="Q433">
        <v>20</v>
      </c>
    </row>
    <row r="434" spans="17:17" x14ac:dyDescent="0.25">
      <c r="Q434">
        <v>20</v>
      </c>
    </row>
    <row r="435" spans="17:17" x14ac:dyDescent="0.25">
      <c r="Q435">
        <v>20</v>
      </c>
    </row>
    <row r="436" spans="17:17" x14ac:dyDescent="0.25">
      <c r="Q436">
        <v>20</v>
      </c>
    </row>
    <row r="437" spans="17:17" x14ac:dyDescent="0.25">
      <c r="Q437">
        <v>20</v>
      </c>
    </row>
    <row r="438" spans="17:17" x14ac:dyDescent="0.25">
      <c r="Q438">
        <v>20</v>
      </c>
    </row>
    <row r="439" spans="17:17" x14ac:dyDescent="0.25">
      <c r="Q439">
        <v>20</v>
      </c>
    </row>
    <row r="440" spans="17:17" x14ac:dyDescent="0.25">
      <c r="Q440">
        <v>20</v>
      </c>
    </row>
    <row r="441" spans="17:17" x14ac:dyDescent="0.25">
      <c r="Q441">
        <v>20</v>
      </c>
    </row>
    <row r="442" spans="17:17" x14ac:dyDescent="0.25">
      <c r="Q442">
        <v>20</v>
      </c>
    </row>
    <row r="443" spans="17:17" x14ac:dyDescent="0.25">
      <c r="Q443">
        <v>20</v>
      </c>
    </row>
    <row r="444" spans="17:17" x14ac:dyDescent="0.25">
      <c r="Q444">
        <v>20</v>
      </c>
    </row>
    <row r="445" spans="17:17" x14ac:dyDescent="0.25">
      <c r="Q445">
        <v>20</v>
      </c>
    </row>
    <row r="446" spans="17:17" x14ac:dyDescent="0.25">
      <c r="Q446">
        <v>20</v>
      </c>
    </row>
    <row r="447" spans="17:17" x14ac:dyDescent="0.25">
      <c r="Q447">
        <v>20</v>
      </c>
    </row>
    <row r="448" spans="17:17" x14ac:dyDescent="0.25">
      <c r="Q448">
        <v>20</v>
      </c>
    </row>
    <row r="449" spans="17:17" x14ac:dyDescent="0.25">
      <c r="Q449">
        <v>20</v>
      </c>
    </row>
    <row r="450" spans="17:17" x14ac:dyDescent="0.25">
      <c r="Q450">
        <v>20</v>
      </c>
    </row>
    <row r="451" spans="17:17" x14ac:dyDescent="0.25">
      <c r="Q451">
        <v>20</v>
      </c>
    </row>
    <row r="452" spans="17:17" x14ac:dyDescent="0.25">
      <c r="Q452">
        <v>20</v>
      </c>
    </row>
    <row r="453" spans="17:17" x14ac:dyDescent="0.25">
      <c r="Q453">
        <v>20</v>
      </c>
    </row>
    <row r="454" spans="17:17" x14ac:dyDescent="0.25">
      <c r="Q454">
        <v>20</v>
      </c>
    </row>
    <row r="455" spans="17:17" x14ac:dyDescent="0.25">
      <c r="Q455">
        <v>20</v>
      </c>
    </row>
    <row r="456" spans="17:17" x14ac:dyDescent="0.25">
      <c r="Q456">
        <v>20</v>
      </c>
    </row>
    <row r="457" spans="17:17" x14ac:dyDescent="0.25">
      <c r="Q457">
        <v>20</v>
      </c>
    </row>
    <row r="458" spans="17:17" x14ac:dyDescent="0.25">
      <c r="Q458">
        <v>20</v>
      </c>
    </row>
    <row r="459" spans="17:17" x14ac:dyDescent="0.25">
      <c r="Q459">
        <v>20</v>
      </c>
    </row>
    <row r="460" spans="17:17" x14ac:dyDescent="0.25">
      <c r="Q460">
        <v>20</v>
      </c>
    </row>
    <row r="461" spans="17:17" x14ac:dyDescent="0.25">
      <c r="Q461">
        <v>20</v>
      </c>
    </row>
    <row r="462" spans="17:17" x14ac:dyDescent="0.25">
      <c r="Q462">
        <v>20</v>
      </c>
    </row>
    <row r="463" spans="17:17" x14ac:dyDescent="0.25">
      <c r="Q463">
        <v>20</v>
      </c>
    </row>
    <row r="464" spans="17:17" x14ac:dyDescent="0.25">
      <c r="Q464">
        <v>20</v>
      </c>
    </row>
    <row r="465" spans="17:17" x14ac:dyDescent="0.25">
      <c r="Q465">
        <v>20</v>
      </c>
    </row>
    <row r="466" spans="17:17" x14ac:dyDescent="0.25">
      <c r="Q466">
        <v>20</v>
      </c>
    </row>
    <row r="467" spans="17:17" x14ac:dyDescent="0.25">
      <c r="Q467">
        <v>20</v>
      </c>
    </row>
    <row r="468" spans="17:17" x14ac:dyDescent="0.25">
      <c r="Q468">
        <v>20</v>
      </c>
    </row>
    <row r="469" spans="17:17" x14ac:dyDescent="0.25">
      <c r="Q469">
        <v>20</v>
      </c>
    </row>
    <row r="470" spans="17:17" x14ac:dyDescent="0.25">
      <c r="Q470">
        <v>20</v>
      </c>
    </row>
    <row r="471" spans="17:17" x14ac:dyDescent="0.25">
      <c r="Q471">
        <v>20</v>
      </c>
    </row>
    <row r="472" spans="17:17" x14ac:dyDescent="0.25">
      <c r="Q472">
        <v>20</v>
      </c>
    </row>
    <row r="473" spans="17:17" x14ac:dyDescent="0.25">
      <c r="Q473">
        <v>20</v>
      </c>
    </row>
    <row r="474" spans="17:17" x14ac:dyDescent="0.25">
      <c r="Q474">
        <v>20</v>
      </c>
    </row>
    <row r="475" spans="17:17" x14ac:dyDescent="0.25">
      <c r="Q475">
        <v>20</v>
      </c>
    </row>
    <row r="476" spans="17:17" x14ac:dyDescent="0.25">
      <c r="Q476">
        <v>20</v>
      </c>
    </row>
    <row r="477" spans="17:17" x14ac:dyDescent="0.25">
      <c r="Q477">
        <v>20</v>
      </c>
    </row>
    <row r="478" spans="17:17" x14ac:dyDescent="0.25">
      <c r="Q478">
        <v>20</v>
      </c>
    </row>
    <row r="479" spans="17:17" x14ac:dyDescent="0.25">
      <c r="Q479">
        <v>20</v>
      </c>
    </row>
    <row r="480" spans="17:17" x14ac:dyDescent="0.25">
      <c r="Q480">
        <v>20</v>
      </c>
    </row>
    <row r="481" spans="17:17" x14ac:dyDescent="0.25">
      <c r="Q481">
        <v>20</v>
      </c>
    </row>
    <row r="482" spans="17:17" x14ac:dyDescent="0.25">
      <c r="Q482">
        <v>20</v>
      </c>
    </row>
    <row r="483" spans="17:17" x14ac:dyDescent="0.25">
      <c r="Q483">
        <v>20</v>
      </c>
    </row>
    <row r="484" spans="17:17" x14ac:dyDescent="0.25">
      <c r="Q484">
        <v>20</v>
      </c>
    </row>
    <row r="485" spans="17:17" x14ac:dyDescent="0.25">
      <c r="Q485">
        <v>20</v>
      </c>
    </row>
    <row r="486" spans="17:17" x14ac:dyDescent="0.25">
      <c r="Q486">
        <v>20</v>
      </c>
    </row>
    <row r="487" spans="17:17" x14ac:dyDescent="0.25">
      <c r="Q487">
        <v>20</v>
      </c>
    </row>
    <row r="488" spans="17:17" x14ac:dyDescent="0.25">
      <c r="Q488">
        <v>20</v>
      </c>
    </row>
    <row r="489" spans="17:17" x14ac:dyDescent="0.25">
      <c r="Q489">
        <v>20</v>
      </c>
    </row>
    <row r="490" spans="17:17" x14ac:dyDescent="0.25">
      <c r="Q490">
        <v>20</v>
      </c>
    </row>
    <row r="491" spans="17:17" x14ac:dyDescent="0.25">
      <c r="Q491">
        <v>20</v>
      </c>
    </row>
    <row r="492" spans="17:17" x14ac:dyDescent="0.25">
      <c r="Q492">
        <v>20</v>
      </c>
    </row>
    <row r="493" spans="17:17" x14ac:dyDescent="0.25">
      <c r="Q493">
        <v>20</v>
      </c>
    </row>
    <row r="494" spans="17:17" x14ac:dyDescent="0.25">
      <c r="Q494">
        <v>20</v>
      </c>
    </row>
    <row r="495" spans="17:17" x14ac:dyDescent="0.25">
      <c r="Q495">
        <v>20</v>
      </c>
    </row>
    <row r="496" spans="17:17" x14ac:dyDescent="0.25">
      <c r="Q496">
        <v>20</v>
      </c>
    </row>
    <row r="497" spans="17:17" x14ac:dyDescent="0.25">
      <c r="Q497">
        <v>20</v>
      </c>
    </row>
    <row r="498" spans="17:17" x14ac:dyDescent="0.25">
      <c r="Q498">
        <v>20</v>
      </c>
    </row>
    <row r="499" spans="17:17" x14ac:dyDescent="0.25">
      <c r="Q499">
        <v>20</v>
      </c>
    </row>
    <row r="500" spans="17:17" x14ac:dyDescent="0.25">
      <c r="Q500">
        <v>20</v>
      </c>
    </row>
    <row r="501" spans="17:17" x14ac:dyDescent="0.25">
      <c r="Q501">
        <v>20</v>
      </c>
    </row>
    <row r="502" spans="17:17" x14ac:dyDescent="0.25">
      <c r="Q502">
        <v>20</v>
      </c>
    </row>
    <row r="503" spans="17:17" x14ac:dyDescent="0.25">
      <c r="Q503">
        <v>20</v>
      </c>
    </row>
    <row r="504" spans="17:17" x14ac:dyDescent="0.25">
      <c r="Q504">
        <v>20</v>
      </c>
    </row>
    <row r="505" spans="17:17" x14ac:dyDescent="0.25">
      <c r="Q505">
        <v>20</v>
      </c>
    </row>
    <row r="506" spans="17:17" x14ac:dyDescent="0.25">
      <c r="Q506">
        <v>20</v>
      </c>
    </row>
    <row r="507" spans="17:17" x14ac:dyDescent="0.25">
      <c r="Q507">
        <v>20</v>
      </c>
    </row>
    <row r="508" spans="17:17" x14ac:dyDescent="0.25">
      <c r="Q508">
        <v>20</v>
      </c>
    </row>
    <row r="509" spans="17:17" x14ac:dyDescent="0.25">
      <c r="Q509">
        <v>20</v>
      </c>
    </row>
    <row r="510" spans="17:17" x14ac:dyDescent="0.25">
      <c r="Q510">
        <v>20</v>
      </c>
    </row>
    <row r="511" spans="17:17" x14ac:dyDescent="0.25">
      <c r="Q511">
        <v>20</v>
      </c>
    </row>
    <row r="512" spans="17:17" x14ac:dyDescent="0.25">
      <c r="Q512">
        <v>20</v>
      </c>
    </row>
    <row r="513" spans="17:17" x14ac:dyDescent="0.25">
      <c r="Q513">
        <v>20</v>
      </c>
    </row>
    <row r="514" spans="17:17" x14ac:dyDescent="0.25">
      <c r="Q514">
        <v>20</v>
      </c>
    </row>
    <row r="515" spans="17:17" x14ac:dyDescent="0.25">
      <c r="Q515">
        <v>20</v>
      </c>
    </row>
    <row r="516" spans="17:17" x14ac:dyDescent="0.25">
      <c r="Q516">
        <v>20</v>
      </c>
    </row>
    <row r="517" spans="17:17" x14ac:dyDescent="0.25">
      <c r="Q517">
        <v>20</v>
      </c>
    </row>
    <row r="518" spans="17:17" x14ac:dyDescent="0.25">
      <c r="Q518">
        <v>20</v>
      </c>
    </row>
    <row r="519" spans="17:17" x14ac:dyDescent="0.25">
      <c r="Q519">
        <v>20</v>
      </c>
    </row>
    <row r="520" spans="17:17" x14ac:dyDescent="0.25">
      <c r="Q520">
        <v>20</v>
      </c>
    </row>
    <row r="521" spans="17:17" x14ac:dyDescent="0.25">
      <c r="Q521">
        <v>20</v>
      </c>
    </row>
    <row r="522" spans="17:17" x14ac:dyDescent="0.25">
      <c r="Q522">
        <v>20</v>
      </c>
    </row>
    <row r="523" spans="17:17" x14ac:dyDescent="0.25">
      <c r="Q523">
        <v>20</v>
      </c>
    </row>
    <row r="524" spans="17:17" x14ac:dyDescent="0.25">
      <c r="Q524">
        <v>20</v>
      </c>
    </row>
    <row r="525" spans="17:17" x14ac:dyDescent="0.25">
      <c r="Q525">
        <v>20</v>
      </c>
    </row>
    <row r="526" spans="17:17" x14ac:dyDescent="0.25">
      <c r="Q526">
        <v>20</v>
      </c>
    </row>
    <row r="527" spans="17:17" x14ac:dyDescent="0.25">
      <c r="Q527">
        <v>20</v>
      </c>
    </row>
    <row r="528" spans="17:17" x14ac:dyDescent="0.25">
      <c r="Q528">
        <v>20</v>
      </c>
    </row>
    <row r="529" spans="17:17" x14ac:dyDescent="0.25">
      <c r="Q529">
        <v>20</v>
      </c>
    </row>
    <row r="530" spans="17:17" x14ac:dyDescent="0.25">
      <c r="Q530">
        <v>20</v>
      </c>
    </row>
    <row r="531" spans="17:17" x14ac:dyDescent="0.25">
      <c r="Q531">
        <v>20</v>
      </c>
    </row>
    <row r="532" spans="17:17" x14ac:dyDescent="0.25">
      <c r="Q532">
        <v>20</v>
      </c>
    </row>
    <row r="533" spans="17:17" x14ac:dyDescent="0.25">
      <c r="Q533">
        <v>20</v>
      </c>
    </row>
    <row r="534" spans="17:17" x14ac:dyDescent="0.25">
      <c r="Q534">
        <v>20</v>
      </c>
    </row>
    <row r="535" spans="17:17" x14ac:dyDescent="0.25">
      <c r="Q535">
        <v>20</v>
      </c>
    </row>
    <row r="536" spans="17:17" x14ac:dyDescent="0.25">
      <c r="Q536">
        <v>20</v>
      </c>
    </row>
    <row r="537" spans="17:17" x14ac:dyDescent="0.25">
      <c r="Q537">
        <v>20</v>
      </c>
    </row>
    <row r="538" spans="17:17" x14ac:dyDescent="0.25">
      <c r="Q538">
        <v>20</v>
      </c>
    </row>
    <row r="539" spans="17:17" x14ac:dyDescent="0.25">
      <c r="Q539">
        <v>20</v>
      </c>
    </row>
    <row r="540" spans="17:17" x14ac:dyDescent="0.25">
      <c r="Q540">
        <v>20</v>
      </c>
    </row>
    <row r="541" spans="17:17" x14ac:dyDescent="0.25">
      <c r="Q541">
        <v>20</v>
      </c>
    </row>
    <row r="542" spans="17:17" x14ac:dyDescent="0.25">
      <c r="Q542">
        <v>20</v>
      </c>
    </row>
    <row r="543" spans="17:17" x14ac:dyDescent="0.25">
      <c r="Q543">
        <v>20</v>
      </c>
    </row>
    <row r="544" spans="17:17" x14ac:dyDescent="0.25">
      <c r="Q544">
        <v>20</v>
      </c>
    </row>
    <row r="545" spans="17:17" x14ac:dyDescent="0.25">
      <c r="Q545">
        <v>16</v>
      </c>
    </row>
    <row r="546" spans="17:17" x14ac:dyDescent="0.25">
      <c r="Q546">
        <v>16</v>
      </c>
    </row>
    <row r="547" spans="17:17" x14ac:dyDescent="0.25">
      <c r="Q547">
        <v>16</v>
      </c>
    </row>
    <row r="548" spans="17:17" x14ac:dyDescent="0.25">
      <c r="Q548">
        <v>16</v>
      </c>
    </row>
    <row r="549" spans="17:17" x14ac:dyDescent="0.25">
      <c r="Q549">
        <v>16</v>
      </c>
    </row>
    <row r="550" spans="17:17" x14ac:dyDescent="0.25">
      <c r="Q550">
        <v>16</v>
      </c>
    </row>
    <row r="551" spans="17:17" x14ac:dyDescent="0.25">
      <c r="Q551">
        <v>16</v>
      </c>
    </row>
    <row r="552" spans="17:17" x14ac:dyDescent="0.25">
      <c r="Q552">
        <v>16</v>
      </c>
    </row>
    <row r="553" spans="17:17" x14ac:dyDescent="0.25">
      <c r="Q553">
        <v>16</v>
      </c>
    </row>
    <row r="554" spans="17:17" x14ac:dyDescent="0.25">
      <c r="Q554">
        <v>16</v>
      </c>
    </row>
    <row r="555" spans="17:17" x14ac:dyDescent="0.25">
      <c r="Q555">
        <v>16</v>
      </c>
    </row>
    <row r="556" spans="17:17" x14ac:dyDescent="0.25">
      <c r="Q556">
        <v>16</v>
      </c>
    </row>
    <row r="557" spans="17:17" x14ac:dyDescent="0.25">
      <c r="Q557">
        <v>16</v>
      </c>
    </row>
    <row r="558" spans="17:17" x14ac:dyDescent="0.25">
      <c r="Q558">
        <v>16</v>
      </c>
    </row>
    <row r="559" spans="17:17" x14ac:dyDescent="0.25">
      <c r="Q559">
        <v>16</v>
      </c>
    </row>
    <row r="560" spans="17:17" x14ac:dyDescent="0.25">
      <c r="Q560">
        <v>16</v>
      </c>
    </row>
    <row r="561" spans="17:17" x14ac:dyDescent="0.25">
      <c r="Q561">
        <v>16</v>
      </c>
    </row>
    <row r="562" spans="17:17" x14ac:dyDescent="0.25">
      <c r="Q562">
        <v>16</v>
      </c>
    </row>
    <row r="563" spans="17:17" x14ac:dyDescent="0.25">
      <c r="Q563">
        <v>16</v>
      </c>
    </row>
    <row r="564" spans="17:17" x14ac:dyDescent="0.25">
      <c r="Q564">
        <v>16</v>
      </c>
    </row>
    <row r="565" spans="17:17" x14ac:dyDescent="0.25">
      <c r="Q565">
        <v>16</v>
      </c>
    </row>
    <row r="566" spans="17:17" x14ac:dyDescent="0.25">
      <c r="Q566">
        <v>16</v>
      </c>
    </row>
    <row r="567" spans="17:17" x14ac:dyDescent="0.25">
      <c r="Q567">
        <v>16</v>
      </c>
    </row>
    <row r="568" spans="17:17" x14ac:dyDescent="0.25">
      <c r="Q568">
        <v>16</v>
      </c>
    </row>
    <row r="569" spans="17:17" x14ac:dyDescent="0.25">
      <c r="Q569">
        <v>16</v>
      </c>
    </row>
    <row r="570" spans="17:17" x14ac:dyDescent="0.25">
      <c r="Q570">
        <v>16</v>
      </c>
    </row>
    <row r="571" spans="17:17" x14ac:dyDescent="0.25">
      <c r="Q571">
        <v>16</v>
      </c>
    </row>
    <row r="572" spans="17:17" x14ac:dyDescent="0.25">
      <c r="Q572">
        <v>16</v>
      </c>
    </row>
    <row r="573" spans="17:17" x14ac:dyDescent="0.25">
      <c r="Q573">
        <v>16</v>
      </c>
    </row>
    <row r="574" spans="17:17" x14ac:dyDescent="0.25">
      <c r="Q574">
        <v>16</v>
      </c>
    </row>
    <row r="575" spans="17:17" x14ac:dyDescent="0.25">
      <c r="Q575">
        <v>16</v>
      </c>
    </row>
    <row r="576" spans="17:17" x14ac:dyDescent="0.25">
      <c r="Q576">
        <v>11</v>
      </c>
    </row>
    <row r="577" spans="17:17" x14ac:dyDescent="0.25">
      <c r="Q577">
        <v>11</v>
      </c>
    </row>
    <row r="578" spans="17:17" x14ac:dyDescent="0.25">
      <c r="Q578">
        <v>11</v>
      </c>
    </row>
    <row r="579" spans="17:17" x14ac:dyDescent="0.25">
      <c r="Q579">
        <v>11</v>
      </c>
    </row>
    <row r="580" spans="17:17" x14ac:dyDescent="0.25">
      <c r="Q580">
        <v>11</v>
      </c>
    </row>
    <row r="581" spans="17:17" x14ac:dyDescent="0.25">
      <c r="Q581">
        <v>11</v>
      </c>
    </row>
    <row r="582" spans="17:17" x14ac:dyDescent="0.25">
      <c r="Q582">
        <v>11</v>
      </c>
    </row>
    <row r="583" spans="17:17" x14ac:dyDescent="0.25">
      <c r="Q583">
        <v>11</v>
      </c>
    </row>
    <row r="584" spans="17:17" x14ac:dyDescent="0.25">
      <c r="Q584">
        <v>11</v>
      </c>
    </row>
    <row r="585" spans="17:17" x14ac:dyDescent="0.25">
      <c r="Q585">
        <v>11</v>
      </c>
    </row>
    <row r="586" spans="17:17" x14ac:dyDescent="0.25">
      <c r="Q586">
        <v>11</v>
      </c>
    </row>
    <row r="587" spans="17:17" x14ac:dyDescent="0.25">
      <c r="Q587">
        <v>11</v>
      </c>
    </row>
    <row r="588" spans="17:17" x14ac:dyDescent="0.25">
      <c r="Q588">
        <v>11</v>
      </c>
    </row>
    <row r="589" spans="17:17" x14ac:dyDescent="0.25">
      <c r="Q589">
        <v>11</v>
      </c>
    </row>
    <row r="590" spans="17:17" x14ac:dyDescent="0.25">
      <c r="Q590">
        <v>11</v>
      </c>
    </row>
    <row r="591" spans="17:17" x14ac:dyDescent="0.25">
      <c r="Q591">
        <v>11</v>
      </c>
    </row>
    <row r="592" spans="17:17" x14ac:dyDescent="0.25">
      <c r="Q592">
        <v>11</v>
      </c>
    </row>
    <row r="593" spans="17:17" x14ac:dyDescent="0.25">
      <c r="Q593">
        <v>11</v>
      </c>
    </row>
    <row r="594" spans="17:17" x14ac:dyDescent="0.25">
      <c r="Q594">
        <v>11</v>
      </c>
    </row>
    <row r="595" spans="17:17" x14ac:dyDescent="0.25">
      <c r="Q595">
        <v>11</v>
      </c>
    </row>
    <row r="596" spans="17:17" x14ac:dyDescent="0.25">
      <c r="Q596">
        <v>11</v>
      </c>
    </row>
    <row r="597" spans="17:17" x14ac:dyDescent="0.25">
      <c r="Q597">
        <v>11</v>
      </c>
    </row>
    <row r="598" spans="17:17" x14ac:dyDescent="0.25">
      <c r="Q598">
        <v>11</v>
      </c>
    </row>
    <row r="599" spans="17:17" x14ac:dyDescent="0.25">
      <c r="Q599">
        <v>11</v>
      </c>
    </row>
    <row r="600" spans="17:17" x14ac:dyDescent="0.25">
      <c r="Q600">
        <v>11</v>
      </c>
    </row>
    <row r="601" spans="17:17" x14ac:dyDescent="0.25">
      <c r="Q601">
        <v>11</v>
      </c>
    </row>
    <row r="602" spans="17:17" x14ac:dyDescent="0.25">
      <c r="Q602">
        <v>11</v>
      </c>
    </row>
    <row r="603" spans="17:17" x14ac:dyDescent="0.25">
      <c r="Q603">
        <v>11</v>
      </c>
    </row>
    <row r="604" spans="17:17" x14ac:dyDescent="0.25">
      <c r="Q604">
        <v>11</v>
      </c>
    </row>
    <row r="605" spans="17:17" x14ac:dyDescent="0.25">
      <c r="Q605">
        <v>11</v>
      </c>
    </row>
    <row r="606" spans="17:17" x14ac:dyDescent="0.25">
      <c r="Q606">
        <v>11</v>
      </c>
    </row>
    <row r="607" spans="17:17" x14ac:dyDescent="0.25">
      <c r="Q607">
        <v>11</v>
      </c>
    </row>
    <row r="608" spans="17:17" x14ac:dyDescent="0.25">
      <c r="Q608">
        <v>11</v>
      </c>
    </row>
    <row r="609" spans="17:17" x14ac:dyDescent="0.25">
      <c r="Q609">
        <v>11</v>
      </c>
    </row>
    <row r="610" spans="17:17" x14ac:dyDescent="0.25">
      <c r="Q610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E812-0050-204D-B1ED-4803A232C5AA}">
  <dimension ref="A1:AC50"/>
  <sheetViews>
    <sheetView tabSelected="1" zoomScale="80" zoomScaleNormal="80" workbookViewId="0">
      <selection activeCell="A16" sqref="A16:XFD25"/>
    </sheetView>
  </sheetViews>
  <sheetFormatPr defaultColWidth="11" defaultRowHeight="15.75" x14ac:dyDescent="0.25"/>
  <sheetData>
    <row r="1" spans="1:27" x14ac:dyDescent="0.25">
      <c r="A1" s="12" t="s">
        <v>97</v>
      </c>
      <c r="B1" s="12" t="s">
        <v>3</v>
      </c>
      <c r="C1" s="12" t="s">
        <v>118</v>
      </c>
      <c r="D1" s="12" t="s">
        <v>2</v>
      </c>
      <c r="E1" s="12" t="s">
        <v>109</v>
      </c>
      <c r="F1" s="12" t="s">
        <v>110</v>
      </c>
      <c r="G1" s="12" t="s">
        <v>98</v>
      </c>
      <c r="H1" s="12" t="s">
        <v>99</v>
      </c>
      <c r="I1" s="12" t="s">
        <v>111</v>
      </c>
      <c r="J1" s="12" t="s">
        <v>112</v>
      </c>
      <c r="K1" s="12" t="s">
        <v>100</v>
      </c>
      <c r="L1" s="12" t="s">
        <v>108</v>
      </c>
      <c r="M1" s="12" t="s">
        <v>101</v>
      </c>
      <c r="N1" s="12" t="s">
        <v>102</v>
      </c>
      <c r="O1" s="12" t="s">
        <v>105</v>
      </c>
      <c r="P1" s="12" t="s">
        <v>103</v>
      </c>
      <c r="Q1" s="12" t="s">
        <v>113</v>
      </c>
      <c r="R1" s="12" t="s">
        <v>104</v>
      </c>
    </row>
    <row r="2" spans="1:27" x14ac:dyDescent="0.25">
      <c r="A2" s="5" t="s">
        <v>5</v>
      </c>
      <c r="B2" t="s">
        <v>114</v>
      </c>
      <c r="C2" t="s">
        <v>119</v>
      </c>
      <c r="D2">
        <v>20</v>
      </c>
      <c r="E2">
        <v>87</v>
      </c>
      <c r="F2">
        <v>0.155</v>
      </c>
      <c r="G2" s="2">
        <f>PI()*0.25^2*(E2*F2)</f>
        <v>2.6477735583536472</v>
      </c>
      <c r="H2" s="2">
        <f>E2*F2/D2</f>
        <v>0.67425000000000002</v>
      </c>
      <c r="I2">
        <v>32</v>
      </c>
      <c r="J2">
        <v>49</v>
      </c>
      <c r="K2">
        <v>2</v>
      </c>
      <c r="L2">
        <f>I2*J2/K2</f>
        <v>784</v>
      </c>
      <c r="M2" s="6">
        <v>45154</v>
      </c>
      <c r="N2" s="8">
        <v>0.4284722222222222</v>
      </c>
      <c r="O2" s="13" t="s">
        <v>106</v>
      </c>
      <c r="P2" s="10">
        <v>23.1</v>
      </c>
      <c r="Q2" s="12">
        <v>43.307749999999999</v>
      </c>
      <c r="R2" s="12">
        <v>-76.951549999999997</v>
      </c>
    </row>
    <row r="3" spans="1:27" x14ac:dyDescent="0.25">
      <c r="A3" s="5" t="s">
        <v>20</v>
      </c>
      <c r="B3" t="s">
        <v>115</v>
      </c>
      <c r="C3" t="s">
        <v>120</v>
      </c>
      <c r="D3">
        <v>20</v>
      </c>
      <c r="E3">
        <v>182</v>
      </c>
      <c r="F3">
        <v>0.155</v>
      </c>
      <c r="G3" s="2">
        <f t="shared" ref="G3:G14" si="0">PI()*0.25^2*(E3*F3)</f>
        <v>5.5390205473605043</v>
      </c>
      <c r="H3" s="3">
        <f t="shared" ref="H3:H14" si="1">E3*F3/D3</f>
        <v>1.4105000000000001</v>
      </c>
      <c r="I3">
        <v>32</v>
      </c>
      <c r="J3">
        <v>61</v>
      </c>
      <c r="K3">
        <v>2</v>
      </c>
      <c r="L3">
        <f t="shared" ref="L3:L14" si="2">I3*J3/K3</f>
        <v>976</v>
      </c>
      <c r="M3" s="6">
        <v>45152</v>
      </c>
      <c r="N3" s="8">
        <v>0.43194444444444446</v>
      </c>
      <c r="O3" s="13" t="s">
        <v>106</v>
      </c>
      <c r="P3" s="10">
        <v>50</v>
      </c>
      <c r="Q3" s="12">
        <v>43.583666666666666</v>
      </c>
      <c r="R3" s="12">
        <v>-79.417216666666661</v>
      </c>
    </row>
    <row r="4" spans="1:27" x14ac:dyDescent="0.25">
      <c r="A4" s="5" t="s">
        <v>22</v>
      </c>
      <c r="B4" t="s">
        <v>116</v>
      </c>
      <c r="C4" t="s">
        <v>120</v>
      </c>
      <c r="D4">
        <v>13</v>
      </c>
      <c r="E4">
        <v>62</v>
      </c>
      <c r="F4">
        <v>0.155</v>
      </c>
      <c r="G4" s="2">
        <f t="shared" si="0"/>
        <v>1.8869190875623694</v>
      </c>
      <c r="H4" s="2">
        <f t="shared" si="1"/>
        <v>0.73923076923076914</v>
      </c>
      <c r="I4">
        <v>32</v>
      </c>
      <c r="J4">
        <v>40</v>
      </c>
      <c r="K4">
        <v>2</v>
      </c>
      <c r="L4">
        <f t="shared" si="2"/>
        <v>640</v>
      </c>
      <c r="M4" s="6">
        <v>45152</v>
      </c>
      <c r="N4" s="8">
        <v>0.67152777777777772</v>
      </c>
      <c r="O4" s="13" t="s">
        <v>107</v>
      </c>
      <c r="P4" s="10">
        <v>13.3</v>
      </c>
      <c r="Q4" s="12">
        <v>43.318633333333331</v>
      </c>
      <c r="R4" s="12">
        <v>-78.999750000000006</v>
      </c>
    </row>
    <row r="5" spans="1:27" x14ac:dyDescent="0.25">
      <c r="A5" s="5" t="s">
        <v>29</v>
      </c>
      <c r="B5" t="s">
        <v>117</v>
      </c>
      <c r="C5" t="s">
        <v>120</v>
      </c>
      <c r="D5">
        <v>20</v>
      </c>
      <c r="E5">
        <v>40</v>
      </c>
      <c r="F5">
        <v>0.155</v>
      </c>
      <c r="G5" s="2">
        <f t="shared" si="0"/>
        <v>1.2173671532660448</v>
      </c>
      <c r="H5" s="3">
        <f t="shared" si="1"/>
        <v>0.31</v>
      </c>
      <c r="I5">
        <v>64</v>
      </c>
      <c r="J5">
        <v>60.5</v>
      </c>
      <c r="K5">
        <v>2</v>
      </c>
      <c r="L5">
        <f t="shared" si="2"/>
        <v>1936</v>
      </c>
      <c r="M5" s="6">
        <v>45152</v>
      </c>
      <c r="N5" s="8">
        <v>0.75347222222222221</v>
      </c>
      <c r="O5" s="13" t="s">
        <v>107</v>
      </c>
      <c r="P5" s="10">
        <v>51.9</v>
      </c>
      <c r="Q5" s="12">
        <v>43.374200000000002</v>
      </c>
      <c r="R5" s="12">
        <v>-78.730166666666662</v>
      </c>
    </row>
    <row r="6" spans="1:27" x14ac:dyDescent="0.25">
      <c r="A6" s="5" t="s">
        <v>30</v>
      </c>
      <c r="B6" t="s">
        <v>124</v>
      </c>
      <c r="C6" t="s">
        <v>120</v>
      </c>
      <c r="D6">
        <v>16</v>
      </c>
      <c r="E6">
        <v>102</v>
      </c>
      <c r="F6">
        <v>0.155</v>
      </c>
      <c r="G6" s="2">
        <f t="shared" si="0"/>
        <v>3.1042862408284142</v>
      </c>
      <c r="H6" s="2">
        <f t="shared" si="1"/>
        <v>0.98812500000000003</v>
      </c>
      <c r="I6">
        <v>32</v>
      </c>
      <c r="J6">
        <v>61.5</v>
      </c>
      <c r="K6">
        <v>2</v>
      </c>
      <c r="L6">
        <f t="shared" si="2"/>
        <v>984</v>
      </c>
      <c r="M6" s="6">
        <v>45153</v>
      </c>
      <c r="N6" s="8">
        <v>0.43541666666666667</v>
      </c>
      <c r="O6" s="14" t="s">
        <v>106</v>
      </c>
      <c r="P6" s="11">
        <v>16.399999999999999</v>
      </c>
      <c r="Q6" s="12">
        <v>43.383249999999997</v>
      </c>
      <c r="R6" s="12">
        <v>-77.989850000000004</v>
      </c>
    </row>
    <row r="7" spans="1:27" x14ac:dyDescent="0.25">
      <c r="A7" s="5" t="s">
        <v>31</v>
      </c>
      <c r="B7" t="s">
        <v>125</v>
      </c>
      <c r="C7" t="s">
        <v>119</v>
      </c>
      <c r="D7">
        <v>20</v>
      </c>
      <c r="E7">
        <v>103</v>
      </c>
      <c r="F7">
        <v>0.155</v>
      </c>
      <c r="G7" s="2">
        <f t="shared" si="0"/>
        <v>3.1347204196600655</v>
      </c>
      <c r="H7" s="2">
        <f t="shared" si="1"/>
        <v>0.79825000000000002</v>
      </c>
      <c r="I7">
        <v>128</v>
      </c>
      <c r="J7">
        <v>37</v>
      </c>
      <c r="K7">
        <v>2</v>
      </c>
      <c r="L7">
        <f t="shared" si="2"/>
        <v>2368</v>
      </c>
      <c r="M7" s="6">
        <v>45153</v>
      </c>
      <c r="N7" s="8">
        <v>0.91666666666666663</v>
      </c>
      <c r="O7" s="14" t="s">
        <v>106</v>
      </c>
      <c r="P7" s="11">
        <v>51.9</v>
      </c>
      <c r="Q7" s="12">
        <v>43.786799999999999</v>
      </c>
      <c r="R7" s="12">
        <v>-77.1584</v>
      </c>
    </row>
    <row r="8" spans="1:27" x14ac:dyDescent="0.25">
      <c r="A8" s="5" t="s">
        <v>35</v>
      </c>
      <c r="B8" t="s">
        <v>126</v>
      </c>
      <c r="C8" t="s">
        <v>119</v>
      </c>
      <c r="D8">
        <v>20</v>
      </c>
      <c r="E8">
        <v>85</v>
      </c>
      <c r="F8">
        <v>0.155</v>
      </c>
      <c r="G8" s="2">
        <f t="shared" si="0"/>
        <v>2.5869052006903455</v>
      </c>
      <c r="H8" s="2">
        <f t="shared" si="1"/>
        <v>0.65875000000000006</v>
      </c>
      <c r="I8">
        <v>64</v>
      </c>
      <c r="J8">
        <v>28</v>
      </c>
      <c r="K8">
        <v>2</v>
      </c>
      <c r="L8">
        <f t="shared" si="2"/>
        <v>896</v>
      </c>
      <c r="M8" s="6">
        <v>45154</v>
      </c>
      <c r="N8" s="8">
        <v>0.16666666666666666</v>
      </c>
      <c r="O8" s="14" t="s">
        <v>106</v>
      </c>
      <c r="P8" s="11">
        <v>35.1</v>
      </c>
      <c r="Q8" s="12">
        <v>43.886000000000003</v>
      </c>
      <c r="R8" s="12">
        <v>-76.734133333333332</v>
      </c>
    </row>
    <row r="9" spans="1:27" x14ac:dyDescent="0.25">
      <c r="A9" s="5" t="s">
        <v>36</v>
      </c>
      <c r="B9" t="s">
        <v>127</v>
      </c>
      <c r="C9" t="s">
        <v>119</v>
      </c>
      <c r="D9">
        <v>20</v>
      </c>
      <c r="E9">
        <v>87</v>
      </c>
      <c r="F9">
        <v>0.155</v>
      </c>
      <c r="G9" s="2">
        <f t="shared" si="0"/>
        <v>2.6477735583536472</v>
      </c>
      <c r="H9" s="2">
        <f t="shared" si="1"/>
        <v>0.67425000000000002</v>
      </c>
      <c r="I9">
        <v>32</v>
      </c>
      <c r="J9">
        <v>34</v>
      </c>
      <c r="K9">
        <v>2</v>
      </c>
      <c r="L9">
        <f t="shared" si="2"/>
        <v>544</v>
      </c>
      <c r="M9" s="6">
        <v>45154</v>
      </c>
      <c r="N9" s="8">
        <v>0.37847222222222221</v>
      </c>
      <c r="O9" s="14" t="s">
        <v>106</v>
      </c>
      <c r="P9" s="11">
        <v>72.8</v>
      </c>
      <c r="Q9" s="12">
        <v>43.424766666666663</v>
      </c>
      <c r="R9" s="12">
        <v>-76.789333333333332</v>
      </c>
    </row>
    <row r="10" spans="1:27" x14ac:dyDescent="0.25">
      <c r="A10" s="5" t="s">
        <v>37</v>
      </c>
      <c r="B10" t="s">
        <v>128</v>
      </c>
      <c r="C10" t="s">
        <v>119</v>
      </c>
      <c r="D10">
        <v>20</v>
      </c>
      <c r="E10">
        <v>100</v>
      </c>
      <c r="F10">
        <v>0.155</v>
      </c>
      <c r="G10" s="2">
        <f t="shared" si="0"/>
        <v>3.043417883165112</v>
      </c>
      <c r="H10" s="2">
        <f t="shared" si="1"/>
        <v>0.77500000000000002</v>
      </c>
      <c r="I10">
        <v>64</v>
      </c>
      <c r="J10">
        <v>46</v>
      </c>
      <c r="K10">
        <v>2</v>
      </c>
      <c r="L10">
        <f t="shared" si="2"/>
        <v>1472</v>
      </c>
      <c r="M10" s="6">
        <v>45154</v>
      </c>
      <c r="N10" s="8">
        <v>0.27083333333333331</v>
      </c>
      <c r="O10" s="14" t="s">
        <v>106</v>
      </c>
      <c r="P10" s="11">
        <v>37.1</v>
      </c>
      <c r="Q10" s="12">
        <v>43.632383333333337</v>
      </c>
      <c r="R10" s="12">
        <v>-76.287033333333326</v>
      </c>
    </row>
    <row r="11" spans="1:27" x14ac:dyDescent="0.25">
      <c r="A11" s="5" t="s">
        <v>38</v>
      </c>
      <c r="B11" t="s">
        <v>129</v>
      </c>
      <c r="C11" t="s">
        <v>120</v>
      </c>
      <c r="D11">
        <v>20</v>
      </c>
      <c r="E11">
        <v>112</v>
      </c>
      <c r="F11">
        <v>0.155</v>
      </c>
      <c r="G11" s="2">
        <f t="shared" si="0"/>
        <v>3.4086280291449254</v>
      </c>
      <c r="H11" s="2">
        <f t="shared" si="1"/>
        <v>0.86799999999999999</v>
      </c>
      <c r="I11">
        <v>128</v>
      </c>
      <c r="J11">
        <v>29</v>
      </c>
      <c r="K11">
        <v>2</v>
      </c>
      <c r="L11">
        <f t="shared" si="2"/>
        <v>1856</v>
      </c>
      <c r="M11" s="6">
        <v>45152</v>
      </c>
      <c r="N11" s="8">
        <v>0.97777777777777775</v>
      </c>
      <c r="O11" s="14" t="s">
        <v>107</v>
      </c>
      <c r="P11" s="11">
        <v>30.5</v>
      </c>
      <c r="Q11" s="12">
        <v>43.818216666666665</v>
      </c>
      <c r="R11" s="12">
        <v>-78.868566666666666</v>
      </c>
    </row>
    <row r="12" spans="1:27" x14ac:dyDescent="0.25">
      <c r="A12" s="5" t="s">
        <v>39</v>
      </c>
      <c r="B12" t="s">
        <v>130</v>
      </c>
      <c r="C12" t="s">
        <v>119</v>
      </c>
      <c r="D12">
        <v>20</v>
      </c>
      <c r="E12">
        <v>100</v>
      </c>
      <c r="F12">
        <v>0.155</v>
      </c>
      <c r="G12" s="2">
        <f t="shared" si="0"/>
        <v>3.043417883165112</v>
      </c>
      <c r="H12" s="2">
        <f t="shared" si="1"/>
        <v>0.77500000000000002</v>
      </c>
      <c r="I12">
        <v>32</v>
      </c>
      <c r="J12">
        <v>34</v>
      </c>
      <c r="K12">
        <v>2</v>
      </c>
      <c r="L12">
        <f t="shared" si="2"/>
        <v>544</v>
      </c>
      <c r="M12" s="9">
        <v>45154</v>
      </c>
      <c r="N12" s="8">
        <v>6.805555555555555E-2</v>
      </c>
      <c r="O12" s="14" t="s">
        <v>106</v>
      </c>
      <c r="P12" s="11">
        <v>28.3</v>
      </c>
      <c r="Q12" s="12">
        <v>43.845700000000001</v>
      </c>
      <c r="R12" s="12">
        <v>-76.997200000000007</v>
      </c>
    </row>
    <row r="13" spans="1:27" x14ac:dyDescent="0.25">
      <c r="A13" s="5" t="s">
        <v>40</v>
      </c>
      <c r="B13" t="s">
        <v>131</v>
      </c>
      <c r="C13" t="s">
        <v>120</v>
      </c>
      <c r="D13">
        <v>16</v>
      </c>
      <c r="E13">
        <v>88</v>
      </c>
      <c r="F13">
        <v>0.155</v>
      </c>
      <c r="G13" s="2">
        <f t="shared" si="0"/>
        <v>2.6782077371852986</v>
      </c>
      <c r="H13" s="2">
        <f t="shared" si="1"/>
        <v>0.85250000000000004</v>
      </c>
      <c r="I13">
        <v>32</v>
      </c>
      <c r="J13">
        <v>65</v>
      </c>
      <c r="K13">
        <v>2</v>
      </c>
      <c r="L13">
        <f t="shared" si="2"/>
        <v>1040</v>
      </c>
      <c r="M13" s="6">
        <v>45153</v>
      </c>
      <c r="N13" s="7">
        <v>0.12777777777777777</v>
      </c>
      <c r="O13" s="13" t="s">
        <v>106</v>
      </c>
      <c r="P13" s="11">
        <v>16</v>
      </c>
      <c r="Q13" s="12">
        <v>43.949866666666665</v>
      </c>
      <c r="R13" s="12">
        <v>-78.050116666666668</v>
      </c>
    </row>
    <row r="14" spans="1:27" x14ac:dyDescent="0.25">
      <c r="A14" s="5" t="s">
        <v>41</v>
      </c>
      <c r="B14" t="s">
        <v>132</v>
      </c>
      <c r="C14" t="s">
        <v>120</v>
      </c>
      <c r="D14">
        <v>11</v>
      </c>
      <c r="E14">
        <v>67</v>
      </c>
      <c r="F14">
        <v>0.155</v>
      </c>
      <c r="G14" s="2">
        <f t="shared" si="0"/>
        <v>2.0390899817206249</v>
      </c>
      <c r="H14" s="2">
        <f t="shared" si="1"/>
        <v>0.94409090909090909</v>
      </c>
      <c r="I14">
        <v>8</v>
      </c>
      <c r="J14">
        <v>42</v>
      </c>
      <c r="K14">
        <v>2</v>
      </c>
      <c r="L14">
        <f t="shared" si="2"/>
        <v>168</v>
      </c>
      <c r="M14" s="6">
        <v>45152</v>
      </c>
      <c r="N14" s="8">
        <v>0.23680555555555555</v>
      </c>
      <c r="O14" s="13" t="s">
        <v>106</v>
      </c>
      <c r="P14" s="11">
        <v>10.7</v>
      </c>
      <c r="Q14" s="12">
        <v>43.225000000000001</v>
      </c>
      <c r="R14" s="12">
        <v>-79.271766666666664</v>
      </c>
    </row>
    <row r="16" spans="1:27" x14ac:dyDescent="0.25">
      <c r="A16" s="19"/>
      <c r="B16" s="19"/>
      <c r="C16" s="19"/>
      <c r="D16" s="19"/>
      <c r="E16" s="19"/>
      <c r="F16" s="19"/>
      <c r="G16" s="19"/>
      <c r="I16" s="19"/>
      <c r="M16" s="19"/>
      <c r="N16" s="20"/>
      <c r="O16" s="19"/>
      <c r="P16" s="19"/>
      <c r="Q16" s="19"/>
      <c r="R16" s="19"/>
      <c r="S16" s="19"/>
      <c r="V16" s="19"/>
      <c r="W16" s="19"/>
      <c r="X16" s="19"/>
      <c r="Y16" s="19"/>
      <c r="Z16" s="19"/>
      <c r="AA16" s="19"/>
    </row>
    <row r="17" spans="1:29" x14ac:dyDescent="0.25">
      <c r="G17" s="2"/>
      <c r="H17" s="2"/>
      <c r="M17" s="21"/>
      <c r="N17" s="22"/>
      <c r="O17" s="21"/>
      <c r="P17" s="11"/>
      <c r="Q17" s="12"/>
      <c r="R17" s="12"/>
    </row>
    <row r="18" spans="1:29" x14ac:dyDescent="0.25">
      <c r="G18" s="2"/>
      <c r="H18" s="2"/>
      <c r="M18" s="21"/>
      <c r="N18" s="22"/>
      <c r="O18" s="21"/>
      <c r="P18" s="10"/>
      <c r="Q18" s="12"/>
      <c r="R18" s="12"/>
    </row>
    <row r="19" spans="1:29" x14ac:dyDescent="0.25">
      <c r="G19" s="2"/>
      <c r="H19" s="2"/>
      <c r="M19" s="21"/>
      <c r="N19" s="22"/>
      <c r="O19" s="21"/>
      <c r="P19" s="11"/>
      <c r="Q19" s="12"/>
      <c r="R19" s="12"/>
    </row>
    <row r="20" spans="1:29" x14ac:dyDescent="0.25">
      <c r="G20" s="2"/>
      <c r="H20" s="2"/>
      <c r="M20" s="21"/>
      <c r="N20" s="22"/>
      <c r="O20" s="21"/>
      <c r="P20" s="11"/>
      <c r="Q20" s="12"/>
      <c r="R20" s="12"/>
    </row>
    <row r="21" spans="1:29" x14ac:dyDescent="0.25">
      <c r="G21" s="2"/>
      <c r="H21" s="2"/>
      <c r="M21" s="21"/>
      <c r="N21" s="22"/>
      <c r="O21" s="21"/>
      <c r="P21" s="11"/>
      <c r="Q21" s="12"/>
      <c r="R21" s="12"/>
    </row>
    <row r="22" spans="1:29" x14ac:dyDescent="0.25">
      <c r="G22" s="2"/>
      <c r="H22" s="2"/>
      <c r="M22" s="21"/>
      <c r="N22" s="22"/>
      <c r="O22" s="21"/>
      <c r="P22" s="11"/>
      <c r="Q22" s="12"/>
      <c r="R22" s="12"/>
    </row>
    <row r="23" spans="1:29" x14ac:dyDescent="0.25">
      <c r="G23" s="2"/>
      <c r="H23" s="2"/>
      <c r="M23" s="21"/>
      <c r="N23" s="22"/>
      <c r="O23" s="21"/>
    </row>
    <row r="24" spans="1:29" x14ac:dyDescent="0.25">
      <c r="G24" s="2"/>
      <c r="H24" s="2"/>
      <c r="M24" s="21"/>
      <c r="N24" s="22"/>
      <c r="O24" s="21"/>
    </row>
    <row r="25" spans="1:29" x14ac:dyDescent="0.25">
      <c r="G25" s="2"/>
      <c r="H25" s="2"/>
      <c r="M25" s="21"/>
      <c r="N25" s="22"/>
      <c r="O25" s="21"/>
      <c r="P25" s="11"/>
      <c r="Q25" s="12"/>
      <c r="R25" s="12"/>
    </row>
    <row r="28" spans="1:29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x14ac:dyDescent="0.25">
      <c r="L29" s="21"/>
      <c r="M29" s="22"/>
      <c r="P29" s="21"/>
    </row>
    <row r="30" spans="1:29" x14ac:dyDescent="0.25">
      <c r="L30" s="21"/>
      <c r="M30" s="22"/>
      <c r="P30" s="21"/>
    </row>
    <row r="31" spans="1:29" x14ac:dyDescent="0.25">
      <c r="L31" s="21"/>
      <c r="M31" s="22"/>
      <c r="P31" s="21"/>
    </row>
    <row r="32" spans="1:29" x14ac:dyDescent="0.25">
      <c r="L32" s="21"/>
      <c r="M32" s="22"/>
      <c r="P32" s="21"/>
    </row>
    <row r="33" spans="12:16" x14ac:dyDescent="0.25">
      <c r="L33" s="21"/>
      <c r="M33" s="22"/>
      <c r="P33" s="21"/>
    </row>
    <row r="34" spans="12:16" x14ac:dyDescent="0.25">
      <c r="L34" s="21"/>
      <c r="M34" s="22"/>
      <c r="P34" s="21"/>
    </row>
    <row r="35" spans="12:16" x14ac:dyDescent="0.25">
      <c r="L35" s="21"/>
      <c r="M35" s="22"/>
      <c r="P35" s="21"/>
    </row>
    <row r="36" spans="12:16" x14ac:dyDescent="0.25">
      <c r="L36" s="21"/>
      <c r="M36" s="22"/>
      <c r="P36" s="21"/>
    </row>
    <row r="37" spans="12:16" x14ac:dyDescent="0.25">
      <c r="L37" s="21"/>
      <c r="M37" s="22"/>
      <c r="P37" s="21"/>
    </row>
    <row r="38" spans="12:16" x14ac:dyDescent="0.25">
      <c r="L38" s="21"/>
      <c r="M38" s="22"/>
      <c r="P38" s="21"/>
    </row>
    <row r="39" spans="12:16" x14ac:dyDescent="0.25">
      <c r="L39" s="21"/>
      <c r="M39" s="22"/>
      <c r="P39" s="21"/>
    </row>
    <row r="40" spans="12:16" x14ac:dyDescent="0.25">
      <c r="L40" s="21"/>
      <c r="M40" s="22"/>
      <c r="P40" s="21"/>
    </row>
    <row r="41" spans="12:16" x14ac:dyDescent="0.25">
      <c r="L41" s="21"/>
      <c r="M41" s="22"/>
      <c r="P41" s="21"/>
    </row>
    <row r="42" spans="12:16" x14ac:dyDescent="0.25">
      <c r="L42" s="21"/>
      <c r="M42" s="22"/>
      <c r="P42" s="21"/>
    </row>
    <row r="43" spans="12:16" x14ac:dyDescent="0.25">
      <c r="L43" s="21"/>
      <c r="M43" s="22"/>
      <c r="P43" s="21"/>
    </row>
    <row r="44" spans="12:16" x14ac:dyDescent="0.25">
      <c r="L44" s="21"/>
      <c r="M44" s="22"/>
      <c r="P44" s="21"/>
    </row>
    <row r="45" spans="12:16" x14ac:dyDescent="0.25">
      <c r="L45" s="21"/>
      <c r="M45" s="22"/>
      <c r="P45" s="21"/>
    </row>
    <row r="46" spans="12:16" x14ac:dyDescent="0.25">
      <c r="L46" s="21"/>
      <c r="M46" s="22"/>
      <c r="P46" s="21"/>
    </row>
    <row r="47" spans="12:16" x14ac:dyDescent="0.25">
      <c r="L47" s="21"/>
      <c r="M47" s="22"/>
      <c r="P47" s="21"/>
    </row>
    <row r="48" spans="12:16" x14ac:dyDescent="0.25">
      <c r="L48" s="21"/>
      <c r="M48" s="22"/>
      <c r="P48" s="21"/>
    </row>
    <row r="49" spans="12:16" x14ac:dyDescent="0.25">
      <c r="L49" s="21"/>
      <c r="M49" s="22"/>
      <c r="P49" s="21"/>
    </row>
    <row r="50" spans="12:16" x14ac:dyDescent="0.25">
      <c r="L50" s="21"/>
      <c r="M50" s="22"/>
      <c r="P5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vol biomass</vt:lpstr>
      <vt:lpstr>pivot ind bio</vt:lpstr>
      <vt:lpstr>NS cnt</vt:lpstr>
      <vt:lpstr>NS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 Marshall</cp:lastModifiedBy>
  <dcterms:created xsi:type="dcterms:W3CDTF">2025-10-07T19:12:44Z</dcterms:created>
  <dcterms:modified xsi:type="dcterms:W3CDTF">2025-12-11T19:46:45Z</dcterms:modified>
</cp:coreProperties>
</file>