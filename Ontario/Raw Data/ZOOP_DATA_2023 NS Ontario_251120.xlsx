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92f36f32ab233/Desktop/CCM Work Files/Rotifer Projects/Nearshore-Rotifers/Ontario/Raw Data/"/>
    </mc:Choice>
  </mc:AlternateContent>
  <xr:revisionPtr revIDLastSave="22" documentId="13_ncr:1_{63757BC9-5483-4624-8F8E-E4FE11565EF5}" xr6:coauthVersionLast="47" xr6:coauthVersionMax="47" xr10:uidLastSave="{304CAE7E-2D9E-4767-B97F-0C3A212C50FB}"/>
  <bookViews>
    <workbookView xWindow="22932" yWindow="-108" windowWidth="23256" windowHeight="12456" firstSheet="5" activeTab="7" xr2:uid="{8D8C44EF-9005-414A-8381-DB48D1A5C871}"/>
  </bookViews>
  <sheets>
    <sheet name="Summary" sheetId="6" r:id="rId1"/>
    <sheet name="pivot sum" sheetId="5" r:id="rId2"/>
    <sheet name="zoocnt" sheetId="4" r:id="rId3"/>
    <sheet name="zoocnt rot work" sheetId="3" r:id="rId4"/>
    <sheet name="zoocnt zoo work" sheetId="2" r:id="rId5"/>
    <sheet name="zoosam" sheetId="1" r:id="rId6"/>
    <sheet name="NS sample" sheetId="8" r:id="rId7"/>
    <sheet name="NS count" sheetId="7" r:id="rId8"/>
    <sheet name="OS sample" sheetId="9" r:id="rId9"/>
    <sheet name="OS count" sheetId="10" r:id="rId10"/>
  </sheets>
  <definedNames>
    <definedName name="_xlnm._FilterDatabase" localSheetId="7" hidden="1">'NS count'!$A$1:$K$610</definedName>
    <definedName name="_xlnm._FilterDatabase" localSheetId="6" hidden="1">'NS sample'!$A$1:$S$23</definedName>
    <definedName name="_xlnm._FilterDatabase" localSheetId="9" hidden="1">'OS count'!$A$1:$K$403</definedName>
    <definedName name="_xlnm._FilterDatabase" localSheetId="2" hidden="1">zoocnt!$A$1:$CV$610</definedName>
    <definedName name="_xlnm._FilterDatabase" localSheetId="3" hidden="1">'zoocnt rot work'!$CD$1:$CD$358</definedName>
    <definedName name="_xlnm._FilterDatabase" localSheetId="4" hidden="1">'zoocnt zoo work'!$CB$1:$CD$253</definedName>
    <definedName name="_xlnm._FilterDatabase" localSheetId="5" hidden="1">zoosam!$A$1:$T$23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2" i="9"/>
  <c r="J13" i="9"/>
  <c r="J14" i="9"/>
  <c r="J15" i="9"/>
  <c r="J16" i="9"/>
  <c r="J17" i="9"/>
  <c r="J10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J23" i="8" l="1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2" i="8"/>
  <c r="I2" i="8"/>
  <c r="J5" i="8"/>
  <c r="I5" i="8"/>
  <c r="J9" i="8"/>
  <c r="I9" i="8"/>
  <c r="J7" i="8"/>
  <c r="I7" i="8"/>
  <c r="J8" i="8"/>
  <c r="I8" i="8"/>
  <c r="J3" i="8"/>
  <c r="I3" i="8"/>
  <c r="J10" i="8"/>
  <c r="I10" i="8"/>
  <c r="J6" i="8"/>
  <c r="I6" i="8"/>
  <c r="J4" i="8"/>
  <c r="I4" i="8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I2" i="1"/>
  <c r="H2" i="1"/>
  <c r="H3" i="6" l="1"/>
  <c r="G3" i="6"/>
  <c r="H2" i="6"/>
  <c r="G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  <c r="CB3" i="3"/>
  <c r="CC3" i="3" s="1"/>
  <c r="CB4" i="3"/>
  <c r="CC4" i="3" s="1"/>
  <c r="CB5" i="3"/>
  <c r="CC5" i="3" s="1"/>
  <c r="CB6" i="3"/>
  <c r="CC6" i="3" s="1"/>
  <c r="CB7" i="3"/>
  <c r="CC7" i="3" s="1"/>
  <c r="CB8" i="3"/>
  <c r="CC8" i="3" s="1"/>
  <c r="CB9" i="3"/>
  <c r="CC9" i="3" s="1"/>
  <c r="CB10" i="3"/>
  <c r="CC10" i="3" s="1"/>
  <c r="CB11" i="3"/>
  <c r="CC11" i="3" s="1"/>
  <c r="CB12" i="3"/>
  <c r="CC12" i="3" s="1"/>
  <c r="CB13" i="3"/>
  <c r="CC13" i="3" s="1"/>
  <c r="CB14" i="3"/>
  <c r="CC14" i="3" s="1"/>
  <c r="CB15" i="3"/>
  <c r="CC15" i="3" s="1"/>
  <c r="CB16" i="3"/>
  <c r="CC16" i="3" s="1"/>
  <c r="CB17" i="3"/>
  <c r="CC17" i="3" s="1"/>
  <c r="CB18" i="3"/>
  <c r="CC18" i="3" s="1"/>
  <c r="CB19" i="3"/>
  <c r="CC19" i="3" s="1"/>
  <c r="CB20" i="3"/>
  <c r="CC20" i="3" s="1"/>
  <c r="CB21" i="3"/>
  <c r="CC21" i="3" s="1"/>
  <c r="CB22" i="3"/>
  <c r="CC22" i="3" s="1"/>
  <c r="CB23" i="3"/>
  <c r="CC23" i="3" s="1"/>
  <c r="CB24" i="3"/>
  <c r="CC24" i="3" s="1"/>
  <c r="CB25" i="3"/>
  <c r="CC25" i="3" s="1"/>
  <c r="CB26" i="3"/>
  <c r="CC26" i="3" s="1"/>
  <c r="CB27" i="3"/>
  <c r="CC27" i="3" s="1"/>
  <c r="CB28" i="3"/>
  <c r="CC28" i="3" s="1"/>
  <c r="CB29" i="3"/>
  <c r="CC29" i="3"/>
  <c r="CB30" i="3"/>
  <c r="CC30" i="3" s="1"/>
  <c r="CB31" i="3"/>
  <c r="CC31" i="3" s="1"/>
  <c r="CB32" i="3"/>
  <c r="CC32" i="3" s="1"/>
  <c r="CB33" i="3"/>
  <c r="CC33" i="3"/>
  <c r="CB34" i="3"/>
  <c r="CC34" i="3" s="1"/>
  <c r="CB35" i="3"/>
  <c r="CC35" i="3" s="1"/>
  <c r="CB36" i="3"/>
  <c r="CC36" i="3" s="1"/>
  <c r="CB37" i="3"/>
  <c r="CC37" i="3" s="1"/>
  <c r="CB38" i="3"/>
  <c r="CC38" i="3" s="1"/>
  <c r="CB39" i="3"/>
  <c r="CC39" i="3" s="1"/>
  <c r="CB40" i="3"/>
  <c r="CC40" i="3" s="1"/>
  <c r="CB41" i="3"/>
  <c r="CC41" i="3" s="1"/>
  <c r="CB42" i="3"/>
  <c r="CC42" i="3" s="1"/>
  <c r="CB43" i="3"/>
  <c r="CC43" i="3" s="1"/>
  <c r="CB44" i="3"/>
  <c r="CC44" i="3" s="1"/>
  <c r="CB45" i="3"/>
  <c r="CC45" i="3" s="1"/>
  <c r="CB46" i="3"/>
  <c r="CC46" i="3" s="1"/>
  <c r="CB47" i="3"/>
  <c r="CC47" i="3" s="1"/>
  <c r="CB48" i="3"/>
  <c r="CC48" i="3" s="1"/>
  <c r="CB49" i="3"/>
  <c r="CC49" i="3" s="1"/>
  <c r="CB50" i="3"/>
  <c r="CC50" i="3" s="1"/>
  <c r="CB51" i="3"/>
  <c r="CC51" i="3" s="1"/>
  <c r="CB52" i="3"/>
  <c r="CC52" i="3" s="1"/>
  <c r="CB53" i="3"/>
  <c r="CC53" i="3" s="1"/>
  <c r="CB54" i="3"/>
  <c r="CC54" i="3" s="1"/>
  <c r="CB55" i="3"/>
  <c r="CC55" i="3" s="1"/>
  <c r="CB56" i="3"/>
  <c r="CC56" i="3" s="1"/>
  <c r="CB57" i="3"/>
  <c r="CC57" i="3" s="1"/>
  <c r="CB58" i="3"/>
  <c r="CC58" i="3" s="1"/>
  <c r="CB59" i="3"/>
  <c r="CC59" i="3" s="1"/>
  <c r="CB60" i="3"/>
  <c r="CC60" i="3" s="1"/>
  <c r="CB61" i="3"/>
  <c r="CC61" i="3"/>
  <c r="CB62" i="3"/>
  <c r="CC62" i="3" s="1"/>
  <c r="CB63" i="3"/>
  <c r="CC63" i="3" s="1"/>
  <c r="CB64" i="3"/>
  <c r="CC64" i="3" s="1"/>
  <c r="CB65" i="3"/>
  <c r="CC65" i="3"/>
  <c r="CB66" i="3"/>
  <c r="CC66" i="3" s="1"/>
  <c r="CB67" i="3"/>
  <c r="CC67" i="3" s="1"/>
  <c r="CB68" i="3"/>
  <c r="CC68" i="3" s="1"/>
  <c r="CB69" i="3"/>
  <c r="CC69" i="3" s="1"/>
  <c r="CB70" i="3"/>
  <c r="CC70" i="3" s="1"/>
  <c r="CB71" i="3"/>
  <c r="CC71" i="3" s="1"/>
  <c r="CB72" i="3"/>
  <c r="CC72" i="3"/>
  <c r="CB73" i="3"/>
  <c r="CC73" i="3" s="1"/>
  <c r="CB96" i="3"/>
  <c r="CC96" i="3" s="1"/>
  <c r="CB97" i="3"/>
  <c r="CC97" i="3" s="1"/>
  <c r="CB98" i="3"/>
  <c r="CC98" i="3" s="1"/>
  <c r="CB99" i="3"/>
  <c r="CC99" i="3" s="1"/>
  <c r="CB120" i="3"/>
  <c r="CC120" i="3" s="1"/>
  <c r="CB121" i="3"/>
  <c r="CC121" i="3" s="1"/>
  <c r="CB122" i="3"/>
  <c r="CC122" i="3" s="1"/>
  <c r="CB123" i="3"/>
  <c r="CC123" i="3" s="1"/>
  <c r="CB124" i="3"/>
  <c r="CC124" i="3" s="1"/>
  <c r="CB125" i="3"/>
  <c r="CC125" i="3" s="1"/>
  <c r="CB126" i="3"/>
  <c r="CC126" i="3" s="1"/>
  <c r="CB127" i="3"/>
  <c r="CC127" i="3" s="1"/>
  <c r="CB128" i="3"/>
  <c r="CC128" i="3" s="1"/>
  <c r="CB129" i="3"/>
  <c r="CC129" i="3" s="1"/>
  <c r="CB130" i="3"/>
  <c r="CC130" i="3" s="1"/>
  <c r="CB131" i="3"/>
  <c r="CC131" i="3" s="1"/>
  <c r="CB132" i="3"/>
  <c r="CC132" i="3" s="1"/>
  <c r="CB133" i="3"/>
  <c r="CC133" i="3" s="1"/>
  <c r="CB134" i="3"/>
  <c r="CC134" i="3" s="1"/>
  <c r="CB135" i="3"/>
  <c r="CC135" i="3" s="1"/>
  <c r="CB136" i="3"/>
  <c r="CC136" i="3"/>
  <c r="CB137" i="3"/>
  <c r="CC137" i="3" s="1"/>
  <c r="CB138" i="3"/>
  <c r="CC138" i="3" s="1"/>
  <c r="CB139" i="3"/>
  <c r="CC139" i="3" s="1"/>
  <c r="CB140" i="3"/>
  <c r="CC140" i="3" s="1"/>
  <c r="CB141" i="3"/>
  <c r="CC141" i="3" s="1"/>
  <c r="CB142" i="3"/>
  <c r="CC142" i="3" s="1"/>
  <c r="CB143" i="3"/>
  <c r="CC143" i="3" s="1"/>
  <c r="CB144" i="3"/>
  <c r="CC144" i="3" s="1"/>
  <c r="CB145" i="3"/>
  <c r="CC145" i="3" s="1"/>
  <c r="CB146" i="3"/>
  <c r="CC146" i="3" s="1"/>
  <c r="CB147" i="3"/>
  <c r="CC147" i="3" s="1"/>
  <c r="CB148" i="3"/>
  <c r="CC148" i="3" s="1"/>
  <c r="CB149" i="3"/>
  <c r="CC149" i="3" s="1"/>
  <c r="CB150" i="3"/>
  <c r="CC150" i="3" s="1"/>
  <c r="CB151" i="3"/>
  <c r="CC151" i="3" s="1"/>
  <c r="CB152" i="3"/>
  <c r="CC152" i="3" s="1"/>
  <c r="CB153" i="3"/>
  <c r="CC153" i="3" s="1"/>
  <c r="CB154" i="3"/>
  <c r="CC154" i="3" s="1"/>
  <c r="CB155" i="3"/>
  <c r="CC155" i="3" s="1"/>
  <c r="CB156" i="3"/>
  <c r="CC156" i="3" s="1"/>
  <c r="CB157" i="3"/>
  <c r="CC157" i="3"/>
  <c r="CB158" i="3"/>
  <c r="CC158" i="3" s="1"/>
  <c r="CB159" i="3"/>
  <c r="CC159" i="3" s="1"/>
  <c r="CB160" i="3"/>
  <c r="CC160" i="3" s="1"/>
  <c r="CB161" i="3"/>
  <c r="CC161" i="3" s="1"/>
  <c r="CB162" i="3"/>
  <c r="CC162" i="3" s="1"/>
  <c r="CB163" i="3"/>
  <c r="CC163" i="3" s="1"/>
  <c r="CB164" i="3"/>
  <c r="CC164" i="3" s="1"/>
  <c r="CB165" i="3"/>
  <c r="CC165" i="3" s="1"/>
  <c r="CB166" i="3"/>
  <c r="CC166" i="3" s="1"/>
  <c r="CB167" i="3"/>
  <c r="CC167" i="3" s="1"/>
  <c r="CB168" i="3"/>
  <c r="CC168" i="3" s="1"/>
  <c r="CB169" i="3"/>
  <c r="CC169" i="3" s="1"/>
  <c r="CB170" i="3"/>
  <c r="CC170" i="3" s="1"/>
  <c r="CB171" i="3"/>
  <c r="CC171" i="3" s="1"/>
  <c r="CB172" i="3"/>
  <c r="CC172" i="3" s="1"/>
  <c r="CB173" i="3"/>
  <c r="CC173" i="3" s="1"/>
  <c r="CB174" i="3"/>
  <c r="CC174" i="3" s="1"/>
  <c r="CB175" i="3"/>
  <c r="CC175" i="3" s="1"/>
  <c r="CB176" i="3"/>
  <c r="CC176" i="3" s="1"/>
  <c r="CB177" i="3"/>
  <c r="CC177" i="3" s="1"/>
  <c r="CB178" i="3"/>
  <c r="CC178" i="3" s="1"/>
  <c r="CB179" i="3"/>
  <c r="CC179" i="3" s="1"/>
  <c r="CB180" i="3"/>
  <c r="CC180" i="3" s="1"/>
  <c r="CB181" i="3"/>
  <c r="CC181" i="3" s="1"/>
  <c r="CB182" i="3"/>
  <c r="CC182" i="3" s="1"/>
  <c r="CB183" i="3"/>
  <c r="CC183" i="3" s="1"/>
  <c r="CB184" i="3"/>
  <c r="CC184" i="3"/>
  <c r="CB185" i="3"/>
  <c r="CC185" i="3" s="1"/>
  <c r="CB186" i="3"/>
  <c r="CC186" i="3" s="1"/>
  <c r="CB187" i="3"/>
  <c r="CC187" i="3" s="1"/>
  <c r="CB188" i="3"/>
  <c r="CC188" i="3" s="1"/>
  <c r="CB189" i="3"/>
  <c r="CC189" i="3" s="1"/>
  <c r="CB190" i="3"/>
  <c r="CC190" i="3" s="1"/>
  <c r="CB191" i="3"/>
  <c r="CC191" i="3" s="1"/>
  <c r="CB192" i="3"/>
  <c r="CC192" i="3" s="1"/>
  <c r="CB193" i="3"/>
  <c r="CC193" i="3" s="1"/>
  <c r="CB194" i="3"/>
  <c r="CC194" i="3" s="1"/>
  <c r="CB195" i="3"/>
  <c r="CC195" i="3" s="1"/>
  <c r="CB196" i="3"/>
  <c r="CC196" i="3" s="1"/>
  <c r="CB197" i="3"/>
  <c r="CC197" i="3" s="1"/>
  <c r="CB198" i="3"/>
  <c r="CC198" i="3" s="1"/>
  <c r="CB199" i="3"/>
  <c r="CC199" i="3" s="1"/>
  <c r="CB200" i="3"/>
  <c r="CC200" i="3"/>
  <c r="CB201" i="3"/>
  <c r="CC201" i="3" s="1"/>
  <c r="CB202" i="3"/>
  <c r="CC202" i="3" s="1"/>
  <c r="CB203" i="3"/>
  <c r="CC203" i="3" s="1"/>
  <c r="CB204" i="3"/>
  <c r="CC204" i="3" s="1"/>
  <c r="CB205" i="3"/>
  <c r="CC205" i="3"/>
  <c r="CB206" i="3"/>
  <c r="CC206" i="3" s="1"/>
  <c r="CB207" i="3"/>
  <c r="CC207" i="3" s="1"/>
  <c r="CB208" i="3"/>
  <c r="CC208" i="3" s="1"/>
  <c r="CB209" i="3"/>
  <c r="CC209" i="3" s="1"/>
  <c r="CB210" i="3"/>
  <c r="CC210" i="3" s="1"/>
  <c r="CB211" i="3"/>
  <c r="CC211" i="3" s="1"/>
  <c r="CB212" i="3"/>
  <c r="CC212" i="3" s="1"/>
  <c r="CB213" i="3"/>
  <c r="CC213" i="3" s="1"/>
  <c r="CB214" i="3"/>
  <c r="CC214" i="3" s="1"/>
  <c r="CB215" i="3"/>
  <c r="CC215" i="3" s="1"/>
  <c r="CB216" i="3"/>
  <c r="CC216" i="3" s="1"/>
  <c r="CB217" i="3"/>
  <c r="CC217" i="3" s="1"/>
  <c r="CB218" i="3"/>
  <c r="CC218" i="3"/>
  <c r="CB219" i="3"/>
  <c r="CC219" i="3" s="1"/>
  <c r="CB220" i="3"/>
  <c r="CC220" i="3"/>
  <c r="CB221" i="3"/>
  <c r="CC221" i="3" s="1"/>
  <c r="CB222" i="3"/>
  <c r="CC222" i="3" s="1"/>
  <c r="CB223" i="3"/>
  <c r="CC223" i="3" s="1"/>
  <c r="CB224" i="3"/>
  <c r="CC224" i="3"/>
  <c r="CB225" i="3"/>
  <c r="CC225" i="3" s="1"/>
  <c r="CB226" i="3"/>
  <c r="CC226" i="3"/>
  <c r="CB227" i="3"/>
  <c r="CC227" i="3" s="1"/>
  <c r="CB228" i="3"/>
  <c r="CC228" i="3" s="1"/>
  <c r="CB229" i="3"/>
  <c r="CC229" i="3"/>
  <c r="CB230" i="3"/>
  <c r="CC230" i="3" s="1"/>
  <c r="CB231" i="3"/>
  <c r="CC231" i="3" s="1"/>
  <c r="CB232" i="3"/>
  <c r="CC232" i="3" s="1"/>
  <c r="CB233" i="3"/>
  <c r="CC233" i="3" s="1"/>
  <c r="CB234" i="3"/>
  <c r="CC234" i="3" s="1"/>
  <c r="CB235" i="3"/>
  <c r="CC235" i="3" s="1"/>
  <c r="CB236" i="3"/>
  <c r="CC236" i="3"/>
  <c r="CB237" i="3"/>
  <c r="CC237" i="3" s="1"/>
  <c r="CB238" i="3"/>
  <c r="CC238" i="3"/>
  <c r="CB239" i="3"/>
  <c r="CC239" i="3" s="1"/>
  <c r="CB240" i="3"/>
  <c r="CC240" i="3" s="1"/>
  <c r="CB241" i="3"/>
  <c r="CC241" i="3"/>
  <c r="CB242" i="3"/>
  <c r="CC242" i="3"/>
  <c r="CB243" i="3"/>
  <c r="CC243" i="3" s="1"/>
  <c r="CB244" i="3"/>
  <c r="CC244" i="3" s="1"/>
  <c r="CB245" i="3"/>
  <c r="CC245" i="3" s="1"/>
  <c r="CB246" i="3"/>
  <c r="CC246" i="3" s="1"/>
  <c r="CB247" i="3"/>
  <c r="CC247" i="3" s="1"/>
  <c r="CB248" i="3"/>
  <c r="CC248" i="3" s="1"/>
  <c r="CB249" i="3"/>
  <c r="CC249" i="3"/>
  <c r="CB250" i="3"/>
  <c r="CC250" i="3" s="1"/>
  <c r="CB251" i="3"/>
  <c r="CC251" i="3" s="1"/>
  <c r="CB252" i="3"/>
  <c r="CC252" i="3"/>
  <c r="CB253" i="3"/>
  <c r="CC253" i="3" s="1"/>
  <c r="CB254" i="3"/>
  <c r="CC254" i="3"/>
  <c r="CB255" i="3"/>
  <c r="CC255" i="3" s="1"/>
  <c r="CB256" i="3"/>
  <c r="CC256" i="3" s="1"/>
  <c r="CB257" i="3"/>
  <c r="CC257" i="3" s="1"/>
  <c r="CB258" i="3"/>
  <c r="CC258" i="3" s="1"/>
  <c r="CB259" i="3"/>
  <c r="CC259" i="3" s="1"/>
  <c r="CB260" i="3"/>
  <c r="CC260" i="3" s="1"/>
  <c r="CB261" i="3"/>
  <c r="CC261" i="3" s="1"/>
  <c r="CB262" i="3"/>
  <c r="CC262" i="3" s="1"/>
  <c r="CB263" i="3"/>
  <c r="CC263" i="3" s="1"/>
  <c r="CB264" i="3"/>
  <c r="CC264" i="3" s="1"/>
  <c r="CB265" i="3"/>
  <c r="CC265" i="3" s="1"/>
  <c r="CB266" i="3"/>
  <c r="CC266" i="3" s="1"/>
  <c r="CB267" i="3"/>
  <c r="CC267" i="3" s="1"/>
  <c r="CB268" i="3"/>
  <c r="CC268" i="3"/>
  <c r="CB269" i="3"/>
  <c r="CC269" i="3" s="1"/>
  <c r="CB270" i="3"/>
  <c r="CC270" i="3"/>
  <c r="CB271" i="3"/>
  <c r="CC271" i="3" s="1"/>
  <c r="CB272" i="3"/>
  <c r="CC272" i="3" s="1"/>
  <c r="CB273" i="3"/>
  <c r="CC273" i="3"/>
  <c r="CB274" i="3"/>
  <c r="CC274" i="3" s="1"/>
  <c r="CB275" i="3"/>
  <c r="CC275" i="3" s="1"/>
  <c r="CB276" i="3"/>
  <c r="CC276" i="3" s="1"/>
  <c r="CB277" i="3"/>
  <c r="CC277" i="3" s="1"/>
  <c r="CB278" i="3"/>
  <c r="CC278" i="3" s="1"/>
  <c r="CB279" i="3"/>
  <c r="CC279" i="3" s="1"/>
  <c r="CB280" i="3"/>
  <c r="CC280" i="3" s="1"/>
  <c r="CB281" i="3"/>
  <c r="CC281" i="3"/>
  <c r="CB282" i="3"/>
  <c r="CC282" i="3" s="1"/>
  <c r="CB283" i="3"/>
  <c r="CC283" i="3" s="1"/>
  <c r="CB284" i="3"/>
  <c r="CC284" i="3"/>
  <c r="CB285" i="3"/>
  <c r="CC285" i="3" s="1"/>
  <c r="CB286" i="3"/>
  <c r="CC286" i="3"/>
  <c r="CB287" i="3"/>
  <c r="CC287" i="3" s="1"/>
  <c r="CB288" i="3"/>
  <c r="CC288" i="3" s="1"/>
  <c r="CB289" i="3"/>
  <c r="CC289" i="3" s="1"/>
  <c r="CB290" i="3"/>
  <c r="CC290" i="3"/>
  <c r="CB291" i="3"/>
  <c r="CC291" i="3" s="1"/>
  <c r="CB292" i="3"/>
  <c r="CC292" i="3" s="1"/>
  <c r="CB293" i="3"/>
  <c r="CC293" i="3" s="1"/>
  <c r="CB294" i="3"/>
  <c r="CC294" i="3" s="1"/>
  <c r="CB295" i="3"/>
  <c r="CC295" i="3" s="1"/>
  <c r="CB296" i="3"/>
  <c r="CC296" i="3"/>
  <c r="CB297" i="3"/>
  <c r="CC297" i="3"/>
  <c r="CB298" i="3"/>
  <c r="CC298" i="3" s="1"/>
  <c r="CB299" i="3"/>
  <c r="CC299" i="3" s="1"/>
  <c r="CB300" i="3"/>
  <c r="CC300" i="3" s="1"/>
  <c r="CB301" i="3"/>
  <c r="CC301" i="3" s="1"/>
  <c r="CB302" i="3"/>
  <c r="CC302" i="3"/>
  <c r="CB303" i="3"/>
  <c r="CC303" i="3" s="1"/>
  <c r="CB304" i="3"/>
  <c r="CC304" i="3" s="1"/>
  <c r="CB305" i="3"/>
  <c r="CC305" i="3" s="1"/>
  <c r="CB306" i="3"/>
  <c r="CC306" i="3"/>
  <c r="CB307" i="3"/>
  <c r="CC307" i="3" s="1"/>
  <c r="CB308" i="3"/>
  <c r="CC308" i="3" s="1"/>
  <c r="CB309" i="3"/>
  <c r="CC309" i="3" s="1"/>
  <c r="CB310" i="3"/>
  <c r="CC310" i="3" s="1"/>
  <c r="CB311" i="3"/>
  <c r="CC311" i="3" s="1"/>
  <c r="CB312" i="3"/>
  <c r="CC312" i="3" s="1"/>
  <c r="CB313" i="3"/>
  <c r="CC313" i="3" s="1"/>
  <c r="CB314" i="3"/>
  <c r="CC314" i="3" s="1"/>
  <c r="CB315" i="3"/>
  <c r="CC315" i="3" s="1"/>
  <c r="CB316" i="3"/>
  <c r="CC316" i="3" s="1"/>
  <c r="CB317" i="3"/>
  <c r="CC317" i="3" s="1"/>
  <c r="CB318" i="3"/>
  <c r="CC318" i="3" s="1"/>
  <c r="CB319" i="3"/>
  <c r="CC319" i="3" s="1"/>
  <c r="CB320" i="3"/>
  <c r="CC320" i="3" s="1"/>
  <c r="CB321" i="3"/>
  <c r="CC321" i="3" s="1"/>
  <c r="CB322" i="3"/>
  <c r="CC322" i="3"/>
  <c r="CB323" i="3"/>
  <c r="CC323" i="3" s="1"/>
  <c r="CB324" i="3"/>
  <c r="CC324" i="3" s="1"/>
  <c r="CB325" i="3"/>
  <c r="CC325" i="3" s="1"/>
  <c r="CB326" i="3"/>
  <c r="CC326" i="3" s="1"/>
  <c r="CB327" i="3"/>
  <c r="CC327" i="3" s="1"/>
  <c r="CB328" i="3"/>
  <c r="CC328" i="3"/>
  <c r="CB329" i="3"/>
  <c r="CC329" i="3" s="1"/>
  <c r="CB330" i="3"/>
  <c r="CC330" i="3" s="1"/>
  <c r="CB331" i="3"/>
  <c r="CC331" i="3" s="1"/>
  <c r="CB332" i="3"/>
  <c r="CC332" i="3" s="1"/>
  <c r="CB333" i="3"/>
  <c r="CC333" i="3" s="1"/>
  <c r="CB334" i="3"/>
  <c r="CC334" i="3"/>
  <c r="CB335" i="3"/>
  <c r="CC335" i="3" s="1"/>
  <c r="CB336" i="3"/>
  <c r="CC336" i="3" s="1"/>
  <c r="CB337" i="3"/>
  <c r="CC337" i="3" s="1"/>
  <c r="CB338" i="3"/>
  <c r="CC338" i="3"/>
  <c r="CB339" i="3"/>
  <c r="CC339" i="3" s="1"/>
  <c r="CB340" i="3"/>
  <c r="CC340" i="3" s="1"/>
  <c r="CB341" i="3"/>
  <c r="CC341" i="3" s="1"/>
  <c r="CB342" i="3"/>
  <c r="CC342" i="3" s="1"/>
  <c r="CB343" i="3"/>
  <c r="CC343" i="3" s="1"/>
  <c r="CB344" i="3"/>
  <c r="CC344" i="3" s="1"/>
  <c r="CB345" i="3"/>
  <c r="CC345" i="3" s="1"/>
  <c r="CB346" i="3"/>
  <c r="CC346" i="3" s="1"/>
  <c r="CB347" i="3"/>
  <c r="CC347" i="3" s="1"/>
  <c r="CB348" i="3"/>
  <c r="CC348" i="3" s="1"/>
  <c r="CB349" i="3"/>
  <c r="CC349" i="3"/>
  <c r="CB350" i="3"/>
  <c r="CC350" i="3" s="1"/>
  <c r="CB351" i="3"/>
  <c r="CC351" i="3"/>
  <c r="CB352" i="3"/>
  <c r="CC352" i="3" s="1"/>
  <c r="CB353" i="3"/>
  <c r="CC353" i="3" s="1"/>
  <c r="CB354" i="3"/>
  <c r="CC354" i="3" s="1"/>
  <c r="CB355" i="3"/>
  <c r="CC355" i="3"/>
  <c r="CB356" i="3"/>
  <c r="CC356" i="3" s="1"/>
  <c r="CB357" i="3"/>
  <c r="CC357" i="3"/>
  <c r="CB358" i="3"/>
  <c r="CC358" i="3" s="1"/>
  <c r="CC2" i="3"/>
  <c r="CB2" i="3"/>
  <c r="CD101" i="3"/>
  <c r="CE101" i="3"/>
  <c r="CF101" i="3"/>
  <c r="CG101" i="3"/>
  <c r="CB101" i="3" s="1"/>
  <c r="CC101" i="3" s="1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D102" i="3"/>
  <c r="CB102" i="3" s="1"/>
  <c r="CC102" i="3" s="1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D103" i="3"/>
  <c r="CB103" i="3" s="1"/>
  <c r="CC103" i="3" s="1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D104" i="3"/>
  <c r="CB104" i="3" s="1"/>
  <c r="CC104" i="3" s="1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D105" i="3"/>
  <c r="CB105" i="3" s="1"/>
  <c r="CC105" i="3" s="1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D106" i="3"/>
  <c r="CB106" i="3" s="1"/>
  <c r="CC106" i="3" s="1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D107" i="3"/>
  <c r="CB107" i="3" s="1"/>
  <c r="CC107" i="3" s="1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D108" i="3"/>
  <c r="CB108" i="3" s="1"/>
  <c r="CC108" i="3" s="1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D109" i="3"/>
  <c r="CE109" i="3"/>
  <c r="CF109" i="3"/>
  <c r="CG109" i="3"/>
  <c r="CB109" i="3" s="1"/>
  <c r="CC109" i="3" s="1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D110" i="3"/>
  <c r="CB110" i="3" s="1"/>
  <c r="CC110" i="3" s="1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D111" i="3"/>
  <c r="CB111" i="3" s="1"/>
  <c r="CC111" i="3" s="1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D112" i="3"/>
  <c r="CB112" i="3" s="1"/>
  <c r="CC112" i="3" s="1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D113" i="3"/>
  <c r="CB113" i="3" s="1"/>
  <c r="CC113" i="3" s="1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D114" i="3"/>
  <c r="CB114" i="3" s="1"/>
  <c r="CC114" i="3" s="1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D115" i="3"/>
  <c r="CE115" i="3"/>
  <c r="CB115" i="3" s="1"/>
  <c r="CC115" i="3" s="1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D116" i="3"/>
  <c r="CB116" i="3" s="1"/>
  <c r="CC116" i="3" s="1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D117" i="3"/>
  <c r="CB117" i="3" s="1"/>
  <c r="CC117" i="3" s="1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D118" i="3"/>
  <c r="CB118" i="3" s="1"/>
  <c r="CC118" i="3" s="1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D119" i="3"/>
  <c r="CB119" i="3" s="1"/>
  <c r="CC119" i="3" s="1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E100" i="3"/>
  <c r="CB100" i="3" s="1"/>
  <c r="CC100" i="3" s="1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D100" i="3"/>
  <c r="CD75" i="3"/>
  <c r="CE75" i="3"/>
  <c r="CB75" i="3" s="1"/>
  <c r="CC75" i="3" s="1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D76" i="3"/>
  <c r="CB76" i="3" s="1"/>
  <c r="CC76" i="3" s="1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D77" i="3"/>
  <c r="CB77" i="3" s="1"/>
  <c r="CC77" i="3" s="1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D78" i="3"/>
  <c r="CB78" i="3" s="1"/>
  <c r="CC78" i="3" s="1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D79" i="3"/>
  <c r="CB79" i="3" s="1"/>
  <c r="CC79" i="3" s="1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D80" i="3"/>
  <c r="CB80" i="3" s="1"/>
  <c r="CC80" i="3" s="1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D81" i="3"/>
  <c r="CE81" i="3"/>
  <c r="CB81" i="3" s="1"/>
  <c r="CC81" i="3" s="1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D82" i="3"/>
  <c r="CB82" i="3" s="1"/>
  <c r="CC82" i="3" s="1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D83" i="3"/>
  <c r="CB83" i="3" s="1"/>
  <c r="CC83" i="3" s="1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D84" i="3"/>
  <c r="CB84" i="3" s="1"/>
  <c r="CC84" i="3" s="1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D85" i="3"/>
  <c r="CB85" i="3" s="1"/>
  <c r="CC85" i="3" s="1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D86" i="3"/>
  <c r="CB86" i="3" s="1"/>
  <c r="CC86" i="3" s="1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D87" i="3"/>
  <c r="CB87" i="3" s="1"/>
  <c r="CC87" i="3" s="1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D88" i="3"/>
  <c r="CB88" i="3" s="1"/>
  <c r="CC88" i="3" s="1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D89" i="3"/>
  <c r="CB89" i="3" s="1"/>
  <c r="CC89" i="3" s="1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D90" i="3"/>
  <c r="CB90" i="3" s="1"/>
  <c r="CC90" i="3" s="1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D91" i="3"/>
  <c r="CB91" i="3" s="1"/>
  <c r="CC91" i="3" s="1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D92" i="3"/>
  <c r="CB92" i="3" s="1"/>
  <c r="CC92" i="3" s="1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D93" i="3"/>
  <c r="CB93" i="3" s="1"/>
  <c r="CC93" i="3" s="1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D94" i="3"/>
  <c r="CB94" i="3" s="1"/>
  <c r="CC94" i="3" s="1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D95" i="3"/>
  <c r="CB95" i="3" s="1"/>
  <c r="CC95" i="3" s="1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D74" i="3"/>
  <c r="CB74" i="3" s="1"/>
  <c r="CC74" i="3" s="1"/>
</calcChain>
</file>

<file path=xl/sharedStrings.xml><?xml version="1.0" encoding="utf-8"?>
<sst xmlns="http://schemas.openxmlformats.org/spreadsheetml/2006/main" count="14520" uniqueCount="336">
  <si>
    <t>DATASET</t>
  </si>
  <si>
    <t>SAMPLENUM</t>
  </si>
  <si>
    <t>STATION</t>
  </si>
  <si>
    <t>TOWDEPTH</t>
  </si>
  <si>
    <t>REVS</t>
  </si>
  <si>
    <t>FMCALIB</t>
  </si>
  <si>
    <t>DATECOLL</t>
  </si>
  <si>
    <t>ANALYST</t>
  </si>
  <si>
    <t>ROTVOL</t>
  </si>
  <si>
    <t>ROTSPLIT</t>
  </si>
  <si>
    <t>SUBMLA</t>
  </si>
  <si>
    <t>SUBMLB</t>
  </si>
  <si>
    <t>SPECCODE</t>
  </si>
  <si>
    <t>GROUP</t>
  </si>
  <si>
    <t>NUM_MACRO_ZP</t>
  </si>
  <si>
    <t>FA</t>
  </si>
  <si>
    <t>MA</t>
  </si>
  <si>
    <t>FB</t>
  </si>
  <si>
    <t>MB</t>
  </si>
  <si>
    <t>FC</t>
  </si>
  <si>
    <t>MC</t>
  </si>
  <si>
    <t>FD</t>
  </si>
  <si>
    <t>MD</t>
  </si>
  <si>
    <t>NUM_JAR</t>
  </si>
  <si>
    <t>NUM_M3</t>
  </si>
  <si>
    <t>ROTA</t>
  </si>
  <si>
    <t>ROTB</t>
  </si>
  <si>
    <t>ROTAB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</si>
  <si>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</si>
  <si>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</si>
  <si>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</si>
  <si>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</si>
  <si>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</si>
  <si>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</si>
  <si>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</si>
  <si>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</si>
  <si>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</si>
  <si>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</si>
  <si>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</si>
  <si>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</si>
  <si>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</si>
  <si>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</si>
  <si>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</si>
  <si>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</si>
  <si>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</si>
  <si>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</si>
  <si>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</si>
  <si>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</si>
  <si>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SEX1</t>
  </si>
  <si>
    <t>SEX2</t>
  </si>
  <si>
    <t>SEX3</t>
  </si>
  <si>
    <t>SEX4</t>
  </si>
  <si>
    <t>SEX5</t>
  </si>
  <si>
    <t>SEX6</t>
  </si>
  <si>
    <t>SEX7</t>
  </si>
  <si>
    <t>SEX8</t>
  </si>
  <si>
    <t>SEX9</t>
  </si>
  <si>
    <t>SEX10</t>
  </si>
  <si>
    <t>SEX11</t>
  </si>
  <si>
    <t>SEX12</t>
  </si>
  <si>
    <t>SEX13</t>
  </si>
  <si>
    <t>SEX14</t>
  </si>
  <si>
    <t>SEX15</t>
  </si>
  <si>
    <t>SEX16</t>
  </si>
  <si>
    <t>SEX17</t>
  </si>
  <si>
    <t>SEX18</t>
  </si>
  <si>
    <t>SEX19</t>
  </si>
  <si>
    <t>SEX20</t>
  </si>
  <si>
    <t>WIDTH1</t>
  </si>
  <si>
    <t>WIDTH2</t>
  </si>
  <si>
    <t>WIDTH3</t>
  </si>
  <si>
    <t>WIDTH4</t>
  </si>
  <si>
    <t>WIDTH5</t>
  </si>
  <si>
    <t>WIDTH6</t>
  </si>
  <si>
    <t>WIDTH7</t>
  </si>
  <si>
    <t>WIDTH8</t>
  </si>
  <si>
    <t>WIDTH9</t>
  </si>
  <si>
    <t>WIDTH10</t>
  </si>
  <si>
    <t>WIDTH11</t>
  </si>
  <si>
    <t>WIDTH12</t>
  </si>
  <si>
    <t>WIDTH13</t>
  </si>
  <si>
    <t>WIDTH14</t>
  </si>
  <si>
    <t>WIDTH15</t>
  </si>
  <si>
    <t>WIDTH16</t>
  </si>
  <si>
    <t>WIDTH17</t>
  </si>
  <si>
    <t>WIDTH18</t>
  </si>
  <si>
    <t>WIDTH19</t>
  </si>
  <si>
    <t>WIDTH20</t>
  </si>
  <si>
    <t>BIO_IND</t>
  </si>
  <si>
    <t>Biomass</t>
  </si>
  <si>
    <t>DRYWT1</t>
  </si>
  <si>
    <t>DRYWT2</t>
  </si>
  <si>
    <t>DRYWT3</t>
  </si>
  <si>
    <t>DRYWT4</t>
  </si>
  <si>
    <t>DRYWT5</t>
  </si>
  <si>
    <t>DRYWT6</t>
  </si>
  <si>
    <t>DRYWT7</t>
  </si>
  <si>
    <t>DRYWT8</t>
  </si>
  <si>
    <t>DRYWT9</t>
  </si>
  <si>
    <t>DRYWT10</t>
  </si>
  <si>
    <t>DRYWT11</t>
  </si>
  <si>
    <t>DRYWT12</t>
  </si>
  <si>
    <t>DRYWT13</t>
  </si>
  <si>
    <t>DRYWT14</t>
  </si>
  <si>
    <t>DRYWT15</t>
  </si>
  <si>
    <t>DRYWT16</t>
  </si>
  <si>
    <t>DRYWT17</t>
  </si>
  <si>
    <t>DRYWT18</t>
  </si>
  <si>
    <t>DRYWT19</t>
  </si>
  <si>
    <t>DRYWT20</t>
  </si>
  <si>
    <t>Notes</t>
  </si>
  <si>
    <t>ON2311</t>
  </si>
  <si>
    <t>23GO02I14</t>
  </si>
  <si>
    <t>OCS3528N</t>
  </si>
  <si>
    <t>Chris Marshall</t>
  </si>
  <si>
    <t>23GO02I54</t>
  </si>
  <si>
    <t>OCS61N</t>
  </si>
  <si>
    <t>23GO02I74</t>
  </si>
  <si>
    <t>OCS84N</t>
  </si>
  <si>
    <t>23GO02I94</t>
  </si>
  <si>
    <t>OCS22N</t>
  </si>
  <si>
    <t>23GO03I14</t>
  </si>
  <si>
    <t>OCS67N</t>
  </si>
  <si>
    <t>23GO03I34</t>
  </si>
  <si>
    <t>OCS62N</t>
  </si>
  <si>
    <t>23GO03I74</t>
  </si>
  <si>
    <t>ON 68b</t>
  </si>
  <si>
    <t>23GO03I94</t>
  </si>
  <si>
    <t>OCS43N</t>
  </si>
  <si>
    <t>23GO04I14</t>
  </si>
  <si>
    <t>OCS17N</t>
  </si>
  <si>
    <t>ON2321</t>
  </si>
  <si>
    <t>23GO11I74</t>
  </si>
  <si>
    <t>ON 65b</t>
  </si>
  <si>
    <t>Lucy Weisbeck</t>
  </si>
  <si>
    <t>23GO11I94</t>
  </si>
  <si>
    <t>23GO12I14</t>
  </si>
  <si>
    <t>ON 69b</t>
  </si>
  <si>
    <t>23GO12I34</t>
  </si>
  <si>
    <t>ON 67b</t>
  </si>
  <si>
    <t>Connor Hannig</t>
  </si>
  <si>
    <t>23GO12I54</t>
  </si>
  <si>
    <t>OCS38N</t>
  </si>
  <si>
    <t>23GO12I74</t>
  </si>
  <si>
    <t>23GO12I94</t>
  </si>
  <si>
    <t>23GO13I14</t>
  </si>
  <si>
    <t>23GO13I34</t>
  </si>
  <si>
    <t>OCS73N</t>
  </si>
  <si>
    <t>23GO13I54</t>
  </si>
  <si>
    <t>OCS29N</t>
  </si>
  <si>
    <t>23GO15I14</t>
  </si>
  <si>
    <t>23GO15I74</t>
  </si>
  <si>
    <t>23GO15I94</t>
  </si>
  <si>
    <t>SKIOREG</t>
  </si>
  <si>
    <t>COP</t>
  </si>
  <si>
    <t>F</t>
  </si>
  <si>
    <t>M</t>
  </si>
  <si>
    <t>BYTLONG</t>
  </si>
  <si>
    <t>CLA</t>
  </si>
  <si>
    <t>U</t>
  </si>
  <si>
    <t>EPILACU</t>
  </si>
  <si>
    <t>LEOMINU</t>
  </si>
  <si>
    <t>LEOASHL</t>
  </si>
  <si>
    <t>HOLGIBB</t>
  </si>
  <si>
    <t>EUBCORE</t>
  </si>
  <si>
    <t>LETKIND</t>
  </si>
  <si>
    <t>DIYTHOM</t>
  </si>
  <si>
    <t>DIACOPE</t>
  </si>
  <si>
    <t>IMM</t>
  </si>
  <si>
    <t>I</t>
  </si>
  <si>
    <t>DAPGALEM</t>
  </si>
  <si>
    <t>CECPENG</t>
  </si>
  <si>
    <t>BOSLONG</t>
  </si>
  <si>
    <t>CYCCOPE</t>
  </si>
  <si>
    <t>DIPBIRG</t>
  </si>
  <si>
    <t>EPICOPE</t>
  </si>
  <si>
    <t>MESCOPE</t>
  </si>
  <si>
    <t>HARCOPE</t>
  </si>
  <si>
    <t>POYPEDI</t>
  </si>
  <si>
    <t>DAPRETR</t>
  </si>
  <si>
    <t>ALOSP</t>
  </si>
  <si>
    <t>LEOSICI</t>
  </si>
  <si>
    <t>TROPRASM</t>
  </si>
  <si>
    <t>CERSP</t>
  </si>
  <si>
    <t>HARSP</t>
  </si>
  <si>
    <t>SKIREIG</t>
  </si>
  <si>
    <t>LIMMACR</t>
  </si>
  <si>
    <t>f</t>
  </si>
  <si>
    <t>MYSRELI</t>
  </si>
  <si>
    <t>MAL</t>
  </si>
  <si>
    <t>LEOSICO</t>
  </si>
  <si>
    <t>ASCOVAL</t>
  </si>
  <si>
    <t>ROT</t>
  </si>
  <si>
    <t>ASPPRIO</t>
  </si>
  <si>
    <t>COLSP</t>
  </si>
  <si>
    <t>COOUNIC</t>
  </si>
  <si>
    <t>COPNAUP</t>
  </si>
  <si>
    <t>NAU</t>
  </si>
  <si>
    <t>DREPOLYV</t>
  </si>
  <si>
    <t>MOL</t>
  </si>
  <si>
    <t>GASSTYL</t>
  </si>
  <si>
    <t>KELLONG</t>
  </si>
  <si>
    <t>KERCOCH</t>
  </si>
  <si>
    <t>KERCOCHH</t>
  </si>
  <si>
    <t>KERCRAS</t>
  </si>
  <si>
    <t>KEREARL</t>
  </si>
  <si>
    <t>PLOLENT</t>
  </si>
  <si>
    <t>PLOTRUN</t>
  </si>
  <si>
    <t>POLREMA</t>
  </si>
  <si>
    <t>POLSP</t>
  </si>
  <si>
    <t>SYNSP</t>
  </si>
  <si>
    <t>TRIMULT</t>
  </si>
  <si>
    <t>PLOHUDS</t>
  </si>
  <si>
    <t>POLVULG</t>
  </si>
  <si>
    <t>TRISP</t>
  </si>
  <si>
    <t>TRICYLI</t>
  </si>
  <si>
    <t>KERQUAD</t>
  </si>
  <si>
    <t>ASCECAU</t>
  </si>
  <si>
    <t>ASPHERR</t>
  </si>
  <si>
    <t>BRACALC</t>
  </si>
  <si>
    <t>NOTACUM</t>
  </si>
  <si>
    <t>NOTLAUR</t>
  </si>
  <si>
    <t>NOTSP</t>
  </si>
  <si>
    <t>POLDOLI</t>
  </si>
  <si>
    <t>CEPSP</t>
  </si>
  <si>
    <t>ENCSP</t>
  </si>
  <si>
    <t>KERSP</t>
  </si>
  <si>
    <t>NOOSP</t>
  </si>
  <si>
    <t>NOTLABI</t>
  </si>
  <si>
    <t>TYLMONO</t>
  </si>
  <si>
    <t>MONCOPE</t>
  </si>
  <si>
    <t>COUSP</t>
  </si>
  <si>
    <t>KERHIEM</t>
  </si>
  <si>
    <t>LECFLEX</t>
  </si>
  <si>
    <t>NOTSQUA</t>
  </si>
  <si>
    <t>ROTBDEL</t>
  </si>
  <si>
    <t>ID</t>
  </si>
  <si>
    <t>id</t>
  </si>
  <si>
    <t>Group</t>
  </si>
  <si>
    <t/>
  </si>
  <si>
    <t>Row Labels</t>
  </si>
  <si>
    <t>(blank)</t>
  </si>
  <si>
    <t>Grand Total</t>
  </si>
  <si>
    <t>Sum of Biomass</t>
  </si>
  <si>
    <t>Sample ID</t>
  </si>
  <si>
    <t>Bio ug m3</t>
  </si>
  <si>
    <t>Bio mg m3</t>
  </si>
  <si>
    <t>Spring</t>
  </si>
  <si>
    <t>Summer</t>
  </si>
  <si>
    <t>high</t>
  </si>
  <si>
    <t>low</t>
  </si>
  <si>
    <t>TIMECOLL UTC</t>
  </si>
  <si>
    <t>Vol m3</t>
  </si>
  <si>
    <t>Eff</t>
  </si>
  <si>
    <t>D or N</t>
  </si>
  <si>
    <t>Site Depth</t>
  </si>
  <si>
    <t xml:space="preserve">Lat </t>
  </si>
  <si>
    <t>Lon</t>
  </si>
  <si>
    <t>ON65b</t>
  </si>
  <si>
    <t>ON68b</t>
  </si>
  <si>
    <t>ON69b</t>
  </si>
  <si>
    <t>ON67b</t>
  </si>
  <si>
    <t>ON38N</t>
  </si>
  <si>
    <t>ON61N</t>
  </si>
  <si>
    <t>ON84N</t>
  </si>
  <si>
    <t>ON67N</t>
  </si>
  <si>
    <t>ON73N</t>
  </si>
  <si>
    <t>ON29N</t>
  </si>
  <si>
    <t>ON62N</t>
  </si>
  <si>
    <t>ON43N</t>
  </si>
  <si>
    <t>ON17N</t>
  </si>
  <si>
    <t>E</t>
  </si>
  <si>
    <t>W</t>
  </si>
  <si>
    <t>Basin</t>
  </si>
  <si>
    <t>ON22N</t>
  </si>
  <si>
    <t>ON3528N</t>
  </si>
  <si>
    <t>N</t>
  </si>
  <si>
    <t>D</t>
  </si>
  <si>
    <t>Density m3</t>
  </si>
  <si>
    <t>Tow Depth</t>
  </si>
  <si>
    <t>Station</t>
  </si>
  <si>
    <t>NDAP</t>
  </si>
  <si>
    <t>PRED</t>
  </si>
  <si>
    <t>DAP</t>
  </si>
  <si>
    <t>CAL</t>
  </si>
  <si>
    <t>CYC</t>
  </si>
  <si>
    <t>Biomass ug.m3</t>
  </si>
  <si>
    <t>Avg Ind Wt ug</t>
  </si>
  <si>
    <t>Areal Bio ug.m2</t>
  </si>
  <si>
    <t>Biomass mg.m3</t>
  </si>
  <si>
    <t>DVEL</t>
  </si>
  <si>
    <t>Speccode</t>
  </si>
  <si>
    <t>Areal Bio mg.m2</t>
  </si>
  <si>
    <t>23GO10I14</t>
  </si>
  <si>
    <t>ON49</t>
  </si>
  <si>
    <t>23GO10I34</t>
  </si>
  <si>
    <t>ON55M</t>
  </si>
  <si>
    <t>23GO10I54</t>
  </si>
  <si>
    <t>ON60</t>
  </si>
  <si>
    <t>23GO10I74</t>
  </si>
  <si>
    <t>ON63</t>
  </si>
  <si>
    <t>23GO10I94</t>
  </si>
  <si>
    <t>ON12</t>
  </si>
  <si>
    <t>23GO11I14</t>
  </si>
  <si>
    <t>ON25</t>
  </si>
  <si>
    <t>23GO11I34</t>
  </si>
  <si>
    <t>ON33M</t>
  </si>
  <si>
    <t>23GO11I54</t>
  </si>
  <si>
    <t>ON41</t>
  </si>
  <si>
    <t>Joseph K Connolly</t>
  </si>
  <si>
    <t>Rot Split</t>
  </si>
  <si>
    <t>Rot vol</t>
  </si>
  <si>
    <t>Time UTC</t>
  </si>
  <si>
    <t>Date</t>
  </si>
  <si>
    <t>Dataset</t>
  </si>
  <si>
    <t>Revs</t>
  </si>
  <si>
    <t>Flowmeter Calib</t>
  </si>
  <si>
    <t>Analyst</t>
  </si>
  <si>
    <t>23GO00I14</t>
  </si>
  <si>
    <t>23GO00I34</t>
  </si>
  <si>
    <t>23GO00I54</t>
  </si>
  <si>
    <t>23GO00I74</t>
  </si>
  <si>
    <t>23GO00I94</t>
  </si>
  <si>
    <t>23GO01I14</t>
  </si>
  <si>
    <t>23GO01I34</t>
  </si>
  <si>
    <t>23GO01I54</t>
  </si>
  <si>
    <t>TRIPUSI</t>
  </si>
  <si>
    <t>POLMAJO</t>
  </si>
  <si>
    <t>CERLACU</t>
  </si>
  <si>
    <t>CHYSPHA</t>
  </si>
  <si>
    <t>DAPAMBI</t>
  </si>
  <si>
    <t>LIMCOPE</t>
  </si>
  <si>
    <t>LECSP</t>
  </si>
  <si>
    <t>DAPSP</t>
  </si>
  <si>
    <t>MONSP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</si>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</sst>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1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20" fontId="6" fillId="0" borderId="0" xfId="0" applyNumberFormat="1" applyFont="1" applyAlignment="1">
      <alignment horizontal="center"/>
    </xf>
    <xf numFmtId="165" fontId="6" fillId="0" borderId="0" xfId="0" applyNumberFormat="1" applyFont="1"/>
    <xf numFmtId="20" fontId="5" fillId="0" borderId="0" xfId="0" applyNumberFormat="1" applyFont="1" applyAlignment="1">
      <alignment horizontal="center"/>
    </xf>
    <xf numFmtId="165" fontId="5" fillId="0" borderId="0" xfId="0" applyNumberFormat="1" applyFont="1"/>
    <xf numFmtId="16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8" fillId="0" borderId="0" xfId="0" applyNumberFormat="1" applyFont="1"/>
    <xf numFmtId="0" fontId="2" fillId="0" borderId="1" xfId="0" applyFont="1" applyBorder="1" applyAlignment="1">
      <alignment horizontal="left"/>
    </xf>
    <xf numFmtId="0" fontId="8" fillId="0" borderId="0" xfId="0" applyFont="1"/>
    <xf numFmtId="0" fontId="7" fillId="0" borderId="0" xfId="0" applyFont="1"/>
    <xf numFmtId="2" fontId="7" fillId="0" borderId="0" xfId="0" applyNumberFormat="1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81.440823958335" createdVersion="8" refreshedVersion="8" minRefreshableVersion="3" recordCount="611" xr:uid="{EC0A6A39-3261-6447-AEAA-DA2FEDEEC804}">
  <cacheSource type="worksheet">
    <worksheetSource ref="A1:CV1048576" sheet="zoocnt"/>
  </cacheSource>
  <cacheFields count="100">
    <cacheField name="SAMPLENUM" numFmtId="0">
      <sharedItems containsBlank="1" count="23">
        <s v="23GO02I14"/>
        <s v="23GO02I54"/>
        <s v="23GO02I74"/>
        <s v="23GO02I94"/>
        <s v="23GO03I14"/>
        <s v="23GO03I34"/>
        <s v="23GO03I74"/>
        <s v="23GO03I94"/>
        <s v="23GO04I14"/>
        <s v="23GO11I74"/>
        <s v="23GO11I94"/>
        <s v="23GO12I14"/>
        <s v="23GO12I34"/>
        <s v="23GO12I54"/>
        <s v="23GO12I74"/>
        <s v="23GO12I94"/>
        <s v="23GO13I14"/>
        <s v="23GO13I34"/>
        <s v="23GO13I54"/>
        <s v="23GO15I14"/>
        <s v="23GO15I74"/>
        <s v="23GO15I94"/>
        <m/>
      </sharedItems>
    </cacheField>
    <cacheField name="SPECCODE" numFmtId="0">
      <sharedItems containsBlank="1"/>
    </cacheField>
    <cacheField name="GROUP" numFmtId="0">
      <sharedItems containsBlank="1"/>
    </cacheField>
    <cacheField name="NUM_MACRO_ZP" numFmtId="0">
      <sharedItems containsString="0" containsBlank="1" containsNumber="1" containsInteger="1" minValue="-1" maxValue="3422"/>
    </cacheField>
    <cacheField name="FA" numFmtId="0">
      <sharedItems containsString="0" containsBlank="1" containsNumber="1" containsInteger="1" minValue="-1" maxValue="189"/>
    </cacheField>
    <cacheField name="MA" numFmtId="0">
      <sharedItems containsString="0" containsBlank="1" containsNumber="1" containsInteger="1" minValue="-1" maxValue="89"/>
    </cacheField>
    <cacheField name="FB" numFmtId="0">
      <sharedItems containsString="0" containsBlank="1" containsNumber="1" containsInteger="1" minValue="-1" maxValue="-1"/>
    </cacheField>
    <cacheField name="MB" numFmtId="0">
      <sharedItems containsString="0" containsBlank="1" containsNumber="1" containsInteger="1" minValue="-1" maxValue="-1"/>
    </cacheField>
    <cacheField name="FC" numFmtId="0">
      <sharedItems containsString="0" containsBlank="1" containsNumber="1" containsInteger="1" minValue="-1" maxValue="47"/>
    </cacheField>
    <cacheField name="MC" numFmtId="0">
      <sharedItems containsString="0" containsBlank="1" containsNumber="1" containsInteger="1" minValue="-1" maxValue="15"/>
    </cacheField>
    <cacheField name="FD" numFmtId="0">
      <sharedItems containsString="0" containsBlank="1" containsNumber="1" containsInteger="1" minValue="-1" maxValue="24"/>
    </cacheField>
    <cacheField name="MD" numFmtId="0">
      <sharedItems containsString="0" containsBlank="1" containsNumber="1" containsInteger="1" minValue="-1" maxValue="2"/>
    </cacheField>
    <cacheField name="NUM_JAR" numFmtId="0">
      <sharedItems containsString="0" containsBlank="1" containsNumber="1" minValue="1" maxValue="569184"/>
    </cacheField>
    <cacheField name="NUM_M3" numFmtId="0">
      <sharedItems containsString="0" containsBlank="1" containsNumber="1" minValue="0.16917878617261201" maxValue="405430.81232475"/>
    </cacheField>
    <cacheField name="ROTA" numFmtId="0">
      <sharedItems containsString="0" containsBlank="1" containsNumber="1" containsInteger="1" minValue="-1" maxValue="1791"/>
    </cacheField>
    <cacheField name="ROTB" numFmtId="0">
      <sharedItems containsString="0" containsBlank="1" containsNumber="1" containsInteger="1" minValue="-1" maxValue="142"/>
    </cacheField>
    <cacheField name="ROTAB" numFmtId="0">
      <sharedItems containsString="0" containsBlank="1" containsNumber="1" containsInteger="1" minValue="-1" maxValue="1791"/>
    </cacheField>
    <cacheField name="LENGTH1" numFmtId="0">
      <sharedItems containsString="0" containsBlank="1" containsNumber="1" minValue="0.06" maxValue="4.7480000000000002"/>
    </cacheField>
    <cacheField name="LENGTH2" numFmtId="0">
      <sharedItems containsString="0" containsBlank="1" containsNumber="1" minValue="6.4000000000000001E-2" maxValue="3.75"/>
    </cacheField>
    <cacheField name="LENGTH3" numFmtId="0">
      <sharedItems containsString="0" containsBlank="1" containsNumber="1" minValue="7.0000000000000007E-2" maxValue="4.2130000000000001"/>
    </cacheField>
    <cacheField name="LENGTH4" numFmtId="0">
      <sharedItems containsString="0" containsBlank="1" containsNumber="1" minValue="3.7999999999999999E-2" maxValue="3.363"/>
    </cacheField>
    <cacheField name="LENGTH5" numFmtId="0">
      <sharedItems containsString="0" containsBlank="1" containsNumber="1" minValue="7.2999999999999995E-2" maxValue="4.2699999999999996"/>
    </cacheField>
    <cacheField name="LENGTH6" numFmtId="0">
      <sharedItems containsString="0" containsBlank="1" containsNumber="1" minValue="7.0000000000000007E-2" maxValue="3.2690000000000001"/>
    </cacheField>
    <cacheField name="LENGTH7" numFmtId="0">
      <sharedItems containsString="0" containsBlank="1" containsNumber="1" minValue="5.3999999999999999E-2" maxValue="4.38"/>
    </cacheField>
    <cacheField name="LENGTH8" numFmtId="0">
      <sharedItems containsString="0" containsBlank="1" containsNumber="1" minValue="7.1999999999999995E-2" maxValue="4.0830000000000002"/>
    </cacheField>
    <cacheField name="LENGTH9" numFmtId="0">
      <sharedItems containsString="0" containsBlank="1" containsNumber="1" minValue="7.0999999999999994E-2" maxValue="4.617"/>
    </cacheField>
    <cacheField name="LENGTH10" numFmtId="0">
      <sharedItems containsString="0" containsBlank="1" containsNumber="1" minValue="6.7000000000000004E-2" maxValue="3.3929999999999998"/>
    </cacheField>
    <cacheField name="LENGTH11" numFmtId="0">
      <sharedItems containsString="0" containsBlank="1" containsNumber="1" minValue="7.8E-2" maxValue="2.9750000000000001"/>
    </cacheField>
    <cacheField name="LENGTH12" numFmtId="0">
      <sharedItems containsString="0" containsBlank="1" containsNumber="1" minValue="6.9000000000000006E-2" maxValue="3.2440000000000002"/>
    </cacheField>
    <cacheField name="LENGTH13" numFmtId="0">
      <sharedItems containsString="0" containsBlank="1" containsNumber="1" minValue="6.2E-2" maxValue="3.5590000000000002"/>
    </cacheField>
    <cacheField name="LENGTH14" numFmtId="0">
      <sharedItems containsString="0" containsBlank="1" containsNumber="1" minValue="6.5000000000000002E-2" maxValue="4.17"/>
    </cacheField>
    <cacheField name="LENGTH15" numFmtId="0">
      <sharedItems containsString="0" containsBlank="1" containsNumber="1" minValue="5.2999999999999999E-2" maxValue="3.13"/>
    </cacheField>
    <cacheField name="LENGTH16" numFmtId="0">
      <sharedItems containsString="0" containsBlank="1" containsNumber="1" minValue="7.4999999999999997E-2" maxValue="3.5430000000000001"/>
    </cacheField>
    <cacheField name="LENGTH17" numFmtId="0">
      <sharedItems containsString="0" containsBlank="1" containsNumber="1" minValue="5.8000000000000003E-2" maxValue="3.5880000000000001"/>
    </cacheField>
    <cacheField name="LENGTH18" numFmtId="0">
      <sharedItems containsString="0" containsBlank="1" containsNumber="1" minValue="5.8000000000000003E-2" maxValue="3.3620000000000001"/>
    </cacheField>
    <cacheField name="LENGTH19" numFmtId="0">
      <sharedItems containsString="0" containsBlank="1" containsNumber="1" minValue="6.9000000000000006E-2" maxValue="3.2050000000000001"/>
    </cacheField>
    <cacheField name="LENGTH20" numFmtId="0">
      <sharedItems containsString="0" containsBlank="1" containsNumber="1" minValue="0.06" maxValue="6.4829999999999997"/>
    </cacheField>
    <cacheField name="SEX1" numFmtId="0">
      <sharedItems containsBlank="1"/>
    </cacheField>
    <cacheField name="SEX2" numFmtId="0">
      <sharedItems containsBlank="1"/>
    </cacheField>
    <cacheField name="SEX3" numFmtId="0">
      <sharedItems containsBlank="1"/>
    </cacheField>
    <cacheField name="SEX4" numFmtId="0">
      <sharedItems containsBlank="1"/>
    </cacheField>
    <cacheField name="SEX5" numFmtId="0">
      <sharedItems containsBlank="1"/>
    </cacheField>
    <cacheField name="SEX6" numFmtId="0">
      <sharedItems containsBlank="1"/>
    </cacheField>
    <cacheField name="SEX7" numFmtId="0">
      <sharedItems containsBlank="1"/>
    </cacheField>
    <cacheField name="SEX8" numFmtId="0">
      <sharedItems containsBlank="1"/>
    </cacheField>
    <cacheField name="SEX9" numFmtId="0">
      <sharedItems containsBlank="1"/>
    </cacheField>
    <cacheField name="SEX10" numFmtId="0">
      <sharedItems containsBlank="1"/>
    </cacheField>
    <cacheField name="SEX11" numFmtId="0">
      <sharedItems containsBlank="1"/>
    </cacheField>
    <cacheField name="SEX12" numFmtId="0">
      <sharedItems containsBlank="1"/>
    </cacheField>
    <cacheField name="SEX13" numFmtId="0">
      <sharedItems containsBlank="1"/>
    </cacheField>
    <cacheField name="SEX14" numFmtId="0">
      <sharedItems containsBlank="1"/>
    </cacheField>
    <cacheField name="SEX15" numFmtId="0">
      <sharedItems containsBlank="1"/>
    </cacheField>
    <cacheField name="SEX16" numFmtId="0">
      <sharedItems containsBlank="1"/>
    </cacheField>
    <cacheField name="SEX17" numFmtId="0">
      <sharedItems containsBlank="1"/>
    </cacheField>
    <cacheField name="SEX18" numFmtId="0">
      <sharedItems containsBlank="1"/>
    </cacheField>
    <cacheField name="SEX19" numFmtId="0">
      <sharedItems containsBlank="1"/>
    </cacheField>
    <cacheField name="SEX20" numFmtId="0">
      <sharedItems containsBlank="1"/>
    </cacheField>
    <cacheField name="WIDTH1" numFmtId="0">
      <sharedItems containsString="0" containsBlank="1" containsNumber="1" minValue="2.3E-2" maxValue="0.12241379310344799"/>
    </cacheField>
    <cacheField name="WIDTH2" numFmtId="0">
      <sharedItems containsString="0" containsBlank="1" containsNumber="1" minValue="0.03" maxValue="0.108"/>
    </cacheField>
    <cacheField name="WIDTH3" numFmtId="0">
      <sharedItems containsString="0" containsBlank="1" containsNumber="1" minValue="2.9000000000000001E-2" maxValue="0.156"/>
    </cacheField>
    <cacheField name="WIDTH4" numFmtId="0">
      <sharedItems containsString="0" containsBlank="1" containsNumber="1" minValue="2.5999999999999999E-2" maxValue="0.120344827586207"/>
    </cacheField>
    <cacheField name="WIDTH5" numFmtId="0">
      <sharedItems containsString="0" containsBlank="1" containsNumber="1" minValue="2.3E-2" maxValue="9.2999999999999999E-2"/>
    </cacheField>
    <cacheField name="WIDTH6" numFmtId="0">
      <sharedItems containsString="0" containsBlank="1" containsNumber="1" minValue="0.03" maxValue="9.2999999999999999E-2"/>
    </cacheField>
    <cacheField name="WIDTH7" numFmtId="0">
      <sharedItems containsString="0" containsBlank="1" containsNumber="1" minValue="0.03" maxValue="0.1"/>
    </cacheField>
    <cacheField name="WIDTH8" numFmtId="0">
      <sharedItems containsString="0" containsBlank="1" containsNumber="1" minValue="3.7999999999999999E-2" maxValue="9.1999999999999998E-2"/>
    </cacheField>
    <cacheField name="WIDTH9" numFmtId="0">
      <sharedItems containsString="0" containsBlank="1" containsNumber="1" minValue="0.03" maxValue="9.6000000000000002E-2"/>
    </cacheField>
    <cacheField name="WIDTH10" numFmtId="0">
      <sharedItems containsString="0" containsBlank="1" containsNumber="1" minValue="3.7999999999999999E-2" maxValue="0.107"/>
    </cacheField>
    <cacheField name="WIDTH11" numFmtId="0">
      <sharedItems containsString="0" containsBlank="1" containsNumber="1" minValue="0.03" maxValue="0.11600000000000001"/>
    </cacheField>
    <cacheField name="WIDTH12" numFmtId="0">
      <sharedItems containsString="0" containsBlank="1" containsNumber="1" minValue="3.4000000000000002E-2" maxValue="0.11600000000000001"/>
    </cacheField>
    <cacheField name="WIDTH13" numFmtId="0">
      <sharedItems containsString="0" containsBlank="1" containsNumber="1" minValue="4.2999999999999997E-2" maxValue="0.106"/>
    </cacheField>
    <cacheField name="WIDTH14" numFmtId="0">
      <sharedItems containsString="0" containsBlank="1" containsNumber="1" minValue="5.0999999999999997E-2" maxValue="0.11799999999999999"/>
    </cacheField>
    <cacheField name="WIDTH15" numFmtId="0">
      <sharedItems containsString="0" containsBlank="1" containsNumber="1" minValue="4.8000000000000001E-2" maxValue="0.11899999999999999"/>
    </cacheField>
    <cacheField name="WIDTH16" numFmtId="0">
      <sharedItems containsString="0" containsBlank="1" containsNumber="1" minValue="4.5999999999999999E-2" maxValue="8.8999999999999996E-2"/>
    </cacheField>
    <cacheField name="WIDTH17" numFmtId="0">
      <sharedItems containsString="0" containsBlank="1" containsNumber="1" minValue="3.9E-2" maxValue="8.5000000000000006E-2"/>
    </cacheField>
    <cacheField name="WIDTH18" numFmtId="0">
      <sharedItems containsString="0" containsBlank="1" containsNumber="1" minValue="4.8000000000000001E-2" maxValue="9.2999999999999999E-2"/>
    </cacheField>
    <cacheField name="WIDTH19" numFmtId="0">
      <sharedItems containsString="0" containsBlank="1" containsNumber="1" minValue="4.7E-2" maxValue="9.6000000000000002E-2"/>
    </cacheField>
    <cacheField name="WIDTH20" numFmtId="0">
      <sharedItems containsString="0" containsBlank="1" containsNumber="1" minValue="4.2999999999999997E-2" maxValue="9.2999999999999999E-2"/>
    </cacheField>
    <cacheField name="BIO_IND" numFmtId="0">
      <sharedItems containsString="0" containsBlank="1" containsNumber="1" minValue="1.2958672000000003E-3" maxValue="245.42903854440499"/>
    </cacheField>
    <cacheField name="Biomass" numFmtId="0">
      <sharedItems containsString="0" containsBlank="1" containsNumber="1" minValue="7.0299636804547355E-4" maxValue="66090.904852639389"/>
    </cacheField>
    <cacheField name="DRYWT1" numFmtId="0">
      <sharedItems containsString="0" containsBlank="1" containsNumber="1" minValue="9.8607800000000004E-4" maxValue="245.42903854440499"/>
    </cacheField>
    <cacheField name="DRYWT2" numFmtId="0">
      <sharedItems containsString="0" containsBlank="1" containsNumber="1" minValue="5.2428800000000003E-4" maxValue="125.239992163184"/>
    </cacheField>
    <cacheField name="DRYWT3" numFmtId="0">
      <sharedItems containsBlank="1" containsMixedTypes="1" containsNumber="1" minValue="9.1306600000000003E-4" maxValue="190.16301943075899"/>
    </cacheField>
    <cacheField name="DRYWT4" numFmtId="0">
      <sharedItems containsBlank="1" containsMixedTypes="1" containsNumber="1" minValue="1.102736E-3" maxValue="183.23120025951599"/>
    </cacheField>
    <cacheField name="DRYWT5" numFmtId="0">
      <sharedItems containsBlank="1" containsMixedTypes="1" containsNumber="1" minValue="9.1306600000000003E-4" maxValue="157.40872803291401"/>
    </cacheField>
    <cacheField name="DRYWT6" numFmtId="0">
      <sharedItems containsBlank="1" containsMixedTypes="1" containsNumber="1" minValue="8.7795199999999999E-4" maxValue="131.862681465983"/>
    </cacheField>
    <cacheField name="DRYWT7" numFmtId="0">
      <sharedItems containsBlank="1" containsMixedTypes="1" containsNumber="1" minValue="9.1306600000000003E-4" maxValue="151.79943638800799"/>
    </cacheField>
    <cacheField name="DRYWT8" numFmtId="0">
      <sharedItems containsBlank="1" containsMixedTypes="1" containsNumber="1" minValue="8.4374999999999999E-4" maxValue="320.62714494360603"/>
    </cacheField>
    <cacheField name="DRYWT9" numFmtId="0">
      <sharedItems containsBlank="1" containsMixedTypes="1" containsNumber="1" minValue="9.1306600000000003E-4" maxValue="179.694237119859"/>
    </cacheField>
    <cacheField name="DRYWT10" numFmtId="0">
      <sharedItems containsBlank="1" containsMixedTypes="1" containsNumber="1" minValue="1.062882E-3" maxValue="217.75776501499001"/>
    </cacheField>
    <cacheField name="DRYWT11" numFmtId="0">
      <sharedItems containsBlank="1" containsMixedTypes="1" containsNumber="1" minValue="1.102736E-3" maxValue="152.133001203997"/>
    </cacheField>
    <cacheField name="DRYWT12" numFmtId="0">
      <sharedItems containsBlank="1" containsMixedTypes="1" containsNumber="1" minValue="9.8607800000000004E-4" maxValue="188.168800372231"/>
    </cacheField>
    <cacheField name="DRYWT13" numFmtId="0">
      <sharedItems containsBlank="1" containsMixedTypes="1" containsNumber="1" minValue="1.024E-3" maxValue="240.61842443460401"/>
    </cacheField>
    <cacheField name="DRYWT14" numFmtId="0">
      <sharedItems containsBlank="1" containsMixedTypes="1" containsNumber="1" minValue="1.22825E-3" maxValue="180.17995666319001"/>
    </cacheField>
    <cacheField name="DRYWT15" numFmtId="0">
      <sharedItems containsBlank="1" containsMixedTypes="1" containsNumber="1" minValue="8.1044799999999996E-4" maxValue="183.967475705364"/>
    </cacheField>
    <cacheField name="DRYWT16" numFmtId="0">
      <sharedItems containsBlank="1" containsMixedTypes="1" containsNumber="1" minValue="8.4374999999999999E-4" maxValue="229.59054746342599"/>
    </cacheField>
    <cacheField name="DRYWT17" numFmtId="0">
      <sharedItems containsBlank="1" containsMixedTypes="1" containsNumber="1" minValue="3.90224E-4" maxValue="244.73437369111099"/>
    </cacheField>
    <cacheField name="DRYWT18" numFmtId="0">
      <sharedItems containsBlank="1" containsMixedTypes="1" containsNumber="1" minValue="9.1306600000000003E-4" maxValue="196.33855838821799"/>
    </cacheField>
    <cacheField name="DRYWT19" numFmtId="0">
      <sharedItems containsBlank="1" containsMixedTypes="1" containsNumber="1" minValue="1.062882E-3" maxValue="190.41306782249401"/>
    </cacheField>
    <cacheField name="DRYWT20" numFmtId="0">
      <sharedItems containsBlank="1" containsMixedTypes="1" containsNumber="1" minValue="1.102736E-3" maxValue="195.32327551184801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s v="BOSLONG"/>
    <s v="CLA"/>
    <n v="-1"/>
    <n v="8"/>
    <n v="-1"/>
    <n v="-1"/>
    <n v="-1"/>
    <n v="-1"/>
    <n v="-1"/>
    <n v="-1"/>
    <n v="-1"/>
    <n v="104"/>
    <n v="15.8053130403973"/>
    <n v="-1"/>
    <n v="-1"/>
    <n v="-1"/>
    <n v="0.317"/>
    <n v="0.373"/>
    <n v="0.34699999999999998"/>
    <n v="0.39500000000000002"/>
    <n v="0.35799999999999998"/>
    <n v="0.25800000000000001"/>
    <n v="0.39500000000000002"/>
    <n v="0.30399999999999999"/>
    <m/>
    <m/>
    <m/>
    <m/>
    <m/>
    <m/>
    <m/>
    <m/>
    <m/>
    <m/>
    <m/>
    <m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01992655872574"/>
    <n v="16.440675016997972"/>
    <n v="0.82316437806424703"/>
    <n v="1.2423099951345"/>
    <n v="1.03476136761283"/>
    <n v="1.4361416809524801"/>
    <n v="1.1197748068397"/>
    <n v="0.488882499367434"/>
    <n v="1.4361416809524801"/>
    <n v="0.74041771577438797"/>
    <m/>
    <m/>
    <m/>
    <m/>
    <m/>
    <m/>
    <m/>
    <m/>
    <m/>
    <m/>
    <m/>
    <m/>
    <m/>
  </r>
  <r>
    <x v="0"/>
    <s v="DAPGALEM"/>
    <s v="CLA"/>
    <n v="-1"/>
    <n v="3"/>
    <n v="-1"/>
    <n v="-1"/>
    <n v="-1"/>
    <n v="-1"/>
    <n v="-1"/>
    <n v="-1"/>
    <n v="-1"/>
    <n v="39"/>
    <n v="5.9269923901489703"/>
    <n v="-1"/>
    <n v="-1"/>
    <n v="-1"/>
    <n v="0.57399999999999995"/>
    <n v="0.48799999999999999"/>
    <n v="0.55500000000000005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918205210384658"/>
    <n v="5.151635408473564"/>
    <n v="1.02679519789707"/>
    <n v="0.64756944532885896"/>
    <n v="0.93318151308561104"/>
    <m/>
    <m/>
    <m/>
    <m/>
    <m/>
    <m/>
    <m/>
    <m/>
    <m/>
    <m/>
    <m/>
    <m/>
    <m/>
    <m/>
    <m/>
    <m/>
    <m/>
    <m/>
  </r>
  <r>
    <x v="0"/>
    <s v="DIYTHOM"/>
    <s v="COP"/>
    <n v="-1"/>
    <n v="35"/>
    <n v="46"/>
    <n v="-1"/>
    <n v="-1"/>
    <n v="-1"/>
    <n v="-1"/>
    <n v="-1"/>
    <n v="-1"/>
    <n v="1053"/>
    <n v="160.02879453402201"/>
    <n v="-1"/>
    <n v="-1"/>
    <n v="-1"/>
    <n v="0.81699999999999995"/>
    <n v="0.92300000000000004"/>
    <n v="0.93799999999999994"/>
    <n v="0.78500000000000003"/>
    <n v="0.879"/>
    <n v="0.91300000000000003"/>
    <n v="0.81499999999999995"/>
    <n v="0.79300000000000004"/>
    <n v="0.79100000000000004"/>
    <n v="0.92100000000000004"/>
    <n v="0.76800000000000002"/>
    <n v="0.78800000000000003"/>
    <n v="0.77200000000000002"/>
    <n v="0.77800000000000002"/>
    <n v="0.76500000000000001"/>
    <n v="0.83599999999999997"/>
    <n v="0.73099999999999998"/>
    <n v="1.0229999999999999"/>
    <n v="0.77800000000000002"/>
    <n v="0.752"/>
    <s v="M"/>
    <s v="F"/>
    <s v="F"/>
    <s v="M"/>
    <s v="M"/>
    <s v="F"/>
    <s v="M"/>
    <s v="M"/>
    <s v="M"/>
    <s v="F"/>
    <s v="M"/>
    <s v="M"/>
    <s v="M"/>
    <s v="M"/>
    <s v="M"/>
    <s v="M"/>
    <s v="M"/>
    <s v="F"/>
    <s v="M"/>
    <s v="M"/>
    <m/>
    <m/>
    <m/>
    <m/>
    <m/>
    <m/>
    <m/>
    <m/>
    <m/>
    <m/>
    <m/>
    <m/>
    <m/>
    <m/>
    <m/>
    <m/>
    <m/>
    <m/>
    <m/>
    <m/>
    <n v="2.6202956912505599"/>
    <n v="419.32276079351902"/>
    <n v="2.35749295935952"/>
    <n v="3.8263050683210098"/>
    <n v="4.0791916345354098"/>
    <n v="2.0116914830529402"/>
    <n v="3.15184370960805"/>
    <n v="3.6643574098205098"/>
    <n v="2.3346648602228699"/>
    <n v="2.0943217047443201"/>
    <n v="2.07343048453611"/>
    <n v="3.7934954879321898"/>
    <n v="1.8442206623744499"/>
    <n v="2.0423864634905899"/>
    <n v="1.8826497124193"/>
    <n v="1.94141258251266"/>
    <n v="1.81578631033002"/>
    <n v="2.5827820615271002"/>
    <n v="1.5159358600447499"/>
    <n v="5.7561898028763201"/>
    <n v="1.94141258251266"/>
    <n v="1.6963429847904099"/>
    <m/>
  </r>
  <r>
    <x v="0"/>
    <s v="LEOASHL"/>
    <s v="COP"/>
    <n v="-1"/>
    <n v="0"/>
    <n v="1"/>
    <n v="-1"/>
    <n v="-1"/>
    <n v="-1"/>
    <n v="-1"/>
    <n v="-1"/>
    <n v="-1"/>
    <n v="13"/>
    <n v="1.97566413004966"/>
    <n v="-1"/>
    <n v="-1"/>
    <n v="-1"/>
    <n v="0.9230000000000000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847458948394499"/>
    <n v="7.8725195317969359"/>
    <n v="3.9847458948394499"/>
    <m/>
    <m/>
    <m/>
    <m/>
    <m/>
    <m/>
    <m/>
    <m/>
    <m/>
    <m/>
    <m/>
    <m/>
    <m/>
    <m/>
    <m/>
    <m/>
    <m/>
    <m/>
    <m/>
    <m/>
  </r>
  <r>
    <x v="0"/>
    <s v="LEOMINU"/>
    <s v="COP"/>
    <n v="-1"/>
    <n v="9"/>
    <n v="4"/>
    <n v="-1"/>
    <n v="-1"/>
    <n v="-1"/>
    <n v="-1"/>
    <n v="-1"/>
    <n v="-1"/>
    <n v="169"/>
    <n v="25.6836336906455"/>
    <n v="-1"/>
    <n v="-1"/>
    <n v="-1"/>
    <n v="0.95699999999999996"/>
    <n v="1.02"/>
    <n v="0.96599999999999997"/>
    <n v="0.94399999999999995"/>
    <n v="1.04"/>
    <n v="0.90400000000000003"/>
    <n v="0.94599999999999995"/>
    <n v="0.96599999999999997"/>
    <n v="0.95899999999999996"/>
    <n v="0.997"/>
    <n v="1.0369999999999999"/>
    <n v="0.99399999999999999"/>
    <n v="0.95799999999999996"/>
    <m/>
    <m/>
    <m/>
    <m/>
    <m/>
    <m/>
    <m/>
    <s v="M"/>
    <s v="F"/>
    <s v="M"/>
    <s v="F"/>
    <s v="F"/>
    <s v="F"/>
    <s v="M"/>
    <s v="F"/>
    <s v="M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n v="4.6191344709683042"/>
    <n v="118.63615772018352"/>
    <n v="4.3761292959926203"/>
    <n v="5.1618178021698302"/>
    <n v="4.4835186811546599"/>
    <n v="4.2238228126152304"/>
    <n v="5.4280591931750299"/>
    <n v="3.77576069440296"/>
    <n v="4.2470391997764096"/>
    <n v="4.4835186811546599"/>
    <n v="4.3998555523957696"/>
    <n v="4.8657376190996899"/>
    <n v="5.3875982760125503"/>
    <n v="4.8279077351052102"/>
    <n v="4.3879825795333298"/>
    <m/>
    <m/>
    <m/>
    <m/>
    <m/>
    <m/>
    <m/>
    <m/>
  </r>
  <r>
    <x v="0"/>
    <s v="LEOSICI"/>
    <s v="COP"/>
    <n v="-1"/>
    <n v="0"/>
    <n v="4"/>
    <n v="-1"/>
    <n v="-1"/>
    <n v="-1"/>
    <n v="-1"/>
    <n v="-1"/>
    <n v="-1"/>
    <n v="52"/>
    <n v="7.9026565201986303"/>
    <n v="-1"/>
    <n v="-1"/>
    <n v="-1"/>
    <n v="1.1839999999999999"/>
    <n v="1.3009999999999999"/>
    <n v="1.323"/>
    <n v="1.1579999999999999"/>
    <m/>
    <m/>
    <m/>
    <m/>
    <m/>
    <m/>
    <m/>
    <m/>
    <m/>
    <m/>
    <m/>
    <m/>
    <m/>
    <m/>
    <m/>
    <m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58400397018345"/>
    <n v="68.32510416234409"/>
    <n v="7.5946739793821401"/>
    <n v="9.6940760919990296"/>
    <n v="10.1243749979927"/>
    <n v="7.1702350894334703"/>
    <m/>
    <m/>
    <m/>
    <m/>
    <m/>
    <m/>
    <m/>
    <m/>
    <m/>
    <m/>
    <m/>
    <m/>
    <m/>
    <m/>
    <m/>
    <m/>
    <m/>
  </r>
  <r>
    <x v="0"/>
    <s v="SKIOREG"/>
    <s v="COP"/>
    <n v="-1"/>
    <n v="7"/>
    <n v="1"/>
    <n v="-1"/>
    <n v="-1"/>
    <n v="-1"/>
    <n v="-1"/>
    <n v="-1"/>
    <n v="-1"/>
    <n v="104"/>
    <n v="15.8053130403973"/>
    <n v="-1"/>
    <n v="-1"/>
    <n v="-1"/>
    <n v="1.1120000000000001"/>
    <n v="1.1419999999999999"/>
    <n v="1.2050000000000001"/>
    <n v="1.181"/>
    <n v="1.304"/>
    <n v="1.266"/>
    <n v="1.2470000000000001"/>
    <m/>
    <m/>
    <m/>
    <m/>
    <m/>
    <m/>
    <m/>
    <m/>
    <m/>
    <m/>
    <m/>
    <m/>
    <m/>
    <s v="M"/>
    <s v="F"/>
    <s v="F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0480916655063837"/>
    <n v="127.20260815114086"/>
    <n v="6.4556447763001898"/>
    <n v="6.9164530838994196"/>
    <n v="7.9484908334977504"/>
    <n v="7.54493427705596"/>
    <n v="9.7520784873138897"/>
    <n v="9.0329898855047492"/>
    <n v="8.6860503149727304"/>
    <m/>
    <m/>
    <m/>
    <m/>
    <m/>
    <m/>
    <m/>
    <m/>
    <m/>
    <m/>
    <m/>
    <m/>
    <m/>
    <m/>
  </r>
  <r>
    <x v="0"/>
    <s v="TROPRASM"/>
    <s v="COP"/>
    <n v="-1"/>
    <n v="3"/>
    <n v="1"/>
    <n v="-1"/>
    <n v="-1"/>
    <n v="-1"/>
    <n v="-1"/>
    <n v="-1"/>
    <n v="-1"/>
    <n v="52"/>
    <n v="7.9026565201986303"/>
    <n v="-1"/>
    <n v="-1"/>
    <n v="-1"/>
    <n v="0.52400000000000002"/>
    <n v="0.55000000000000004"/>
    <n v="0.54600000000000004"/>
    <n v="0.52700000000000002"/>
    <m/>
    <m/>
    <m/>
    <m/>
    <m/>
    <m/>
    <m/>
    <m/>
    <m/>
    <m/>
    <m/>
    <m/>
    <m/>
    <m/>
    <m/>
    <m/>
    <s v="U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4593885318626419"/>
    <n v="3.5241015857423306"/>
    <n v="0.40427235957280599"/>
    <n v="0.489969128462592"/>
    <n v="0.475974439914162"/>
    <n v="0.41353948479549701"/>
    <m/>
    <m/>
    <m/>
    <m/>
    <m/>
    <m/>
    <m/>
    <m/>
    <m/>
    <m/>
    <m/>
    <m/>
    <m/>
    <m/>
    <m/>
    <m/>
    <m/>
  </r>
  <r>
    <x v="0"/>
    <s v="CYCCOPE"/>
    <s v="IMM"/>
    <n v="-1"/>
    <n v="63"/>
    <n v="-1"/>
    <n v="-1"/>
    <n v="-1"/>
    <n v="-1"/>
    <n v="-1"/>
    <n v="-1"/>
    <n v="-1"/>
    <n v="819"/>
    <n v="124.46684019312799"/>
    <n v="-1"/>
    <n v="-1"/>
    <n v="-1"/>
    <n v="0.308"/>
    <n v="0.371"/>
    <n v="0.48899999999999999"/>
    <n v="0.75600000000000001"/>
    <n v="0.81299999999999994"/>
    <n v="0.35"/>
    <n v="0.38400000000000001"/>
    <n v="0.66200000000000003"/>
    <n v="0.68100000000000005"/>
    <n v="0.498"/>
    <n v="0.40300000000000002"/>
    <n v="0.42499999999999999"/>
    <n v="0.36499999999999999"/>
    <n v="0.432"/>
    <n v="0.82599999999999996"/>
    <n v="0.441"/>
    <n v="0.76800000000000002"/>
    <n v="0.54500000000000004"/>
    <n v="0.64600000000000002"/>
    <n v="0.725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5942557195628591"/>
    <n v="94.523301303257867"/>
    <n v="4.90315005451714E-2"/>
    <n v="0.10264629096422399"/>
    <n v="0.30724513202860199"/>
    <n v="1.73244863870553"/>
    <n v="2.31200253519168"/>
    <n v="8.1447728364652805E-2"/>
    <n v="0.11768572867275399"/>
    <n v="1.0226689213157001"/>
    <n v="1.14425514605038"/>
    <n v="0.33031578700438902"/>
    <n v="0.14255743517320599"/>
    <n v="0.17604872829895499"/>
    <n v="9.6212502721381002E-2"/>
    <n v="0.187844859504778"/>
    <n v="2.4622924181654402"/>
    <n v="0.203868458980625"/>
    <n v="1.8442206623744499"/>
    <n v="0.47252300153019799"/>
    <n v="0.928008462149291"/>
    <n v="1.4751875013843101"/>
    <m/>
  </r>
  <r>
    <x v="0"/>
    <s v="DIACOPE"/>
    <s v="IMM"/>
    <n v="-1"/>
    <n v="23"/>
    <n v="-1"/>
    <n v="-1"/>
    <n v="-1"/>
    <n v="-1"/>
    <n v="-1"/>
    <n v="-1"/>
    <n v="-1"/>
    <n v="299"/>
    <n v="45.440274991142097"/>
    <n v="-1"/>
    <n v="-1"/>
    <n v="-1"/>
    <n v="0.47299999999999998"/>
    <n v="0.79900000000000004"/>
    <n v="0.52800000000000002"/>
    <n v="0.6"/>
    <n v="0.74099999999999999"/>
    <n v="0.52800000000000002"/>
    <n v="0.67400000000000004"/>
    <n v="0.81699999999999995"/>
    <n v="0.63"/>
    <n v="0.47299999999999998"/>
    <n v="0.46200000000000002"/>
    <n v="0.46300000000000002"/>
    <n v="0.496"/>
    <n v="0.49299999999999999"/>
    <n v="0.60599999999999998"/>
    <n v="0.436"/>
    <n v="0.47"/>
    <n v="0.50700000000000001"/>
    <n v="0.48799999999999999"/>
    <n v="0.452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1749233916458746"/>
    <n v="53.388842009913887"/>
    <n v="0.70537259208184"/>
    <n v="2.7423594883312301"/>
    <n v="0.93788607013383296"/>
    <n v="1.3059903403266699"/>
    <n v="2.2560950096444401"/>
    <n v="0.93788607013383296"/>
    <n v="1.7650514051625701"/>
    <n v="2.9052489483079"/>
    <n v="1.48190461083665"/>
    <n v="0.70537259208184"/>
    <n v="0.66366809947412098"/>
    <n v="0.66739506805534199"/>
    <n v="0.79767460938884804"/>
    <n v="0.78523879359677495"/>
    <n v="1.34008492839782"/>
    <n v="0.57121319810948101"/>
    <n v="0.69384374627834899"/>
    <n v="0.84430398851986499"/>
    <n v="0.76477831504652205"/>
    <n v="0.62709995900955096"/>
    <m/>
  </r>
  <r>
    <x v="0"/>
    <s v="DREPOLYV"/>
    <s v="MOL"/>
    <n v="-1"/>
    <n v="-1"/>
    <n v="-1"/>
    <n v="-1"/>
    <n v="-1"/>
    <n v="-1"/>
    <n v="-1"/>
    <n v="-1"/>
    <n v="-1"/>
    <n v="12575.25"/>
    <n v="1911.11310395438"/>
    <n v="243"/>
    <n v="-1"/>
    <n v="243"/>
    <n v="6.9000000000000006E-2"/>
    <n v="7.5999999999999998E-2"/>
    <n v="7.1999999999999995E-2"/>
    <n v="7.0000000000000007E-2"/>
    <n v="7.4999999999999997E-2"/>
    <n v="8.8999999999999996E-2"/>
    <n v="7.3999999999999996E-2"/>
    <n v="8.8999999999999996E-2"/>
    <n v="7.1999999999999995E-2"/>
    <n v="6.9000000000000006E-2"/>
    <n v="0.08"/>
    <n v="6.9000000000000006E-2"/>
    <n v="7.0000000000000007E-2"/>
    <n v="7.0999999999999994E-2"/>
    <n v="7.0999999999999994E-2"/>
    <n v="7.6999999999999999E-2"/>
    <n v="7.2999999999999995E-2"/>
    <n v="8.1000000000000003E-2"/>
    <n v="7.0000000000000007E-2"/>
    <n v="7.0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437846837787024E-2"/>
    <n v="176.65918039302272"/>
    <n v="8.3627785295740331E-2"/>
    <n v="9.4526084689219525E-2"/>
    <n v="8.8135537184134569E-2"/>
    <n v="8.5104152069770483E-2"/>
    <n v="9.2886268448527598E-2"/>
    <n v="0.11867347627390945"/>
    <n v="9.1274899353531794E-2"/>
    <n v="0.11867347627390945"/>
    <n v="8.8135537184134569E-2"/>
    <n v="8.3627785295740331E-2"/>
    <n v="0.1013799991711169"/>
    <n v="8.3627785295740331E-2"/>
    <n v="8.5104152069770483E-2"/>
    <n v="8.6606582655532005E-2"/>
    <n v="8.6606582655532005E-2"/>
    <n v="9.619485028214779E-2"/>
    <n v="8.9691483909852543E-2"/>
    <n v="0.10316976392212798"/>
    <n v="8.5104152069770483E-2"/>
    <n v="8.6606582655532005E-2"/>
    <m/>
  </r>
  <r>
    <x v="0"/>
    <s v="COPNAUP"/>
    <s v="NAU"/>
    <n v="-1"/>
    <n v="-1"/>
    <n v="-1"/>
    <n v="-1"/>
    <n v="-1"/>
    <n v="-1"/>
    <n v="-1"/>
    <n v="-1"/>
    <n v="-1"/>
    <n v="21269.25"/>
    <n v="3232.37648446605"/>
    <n v="411"/>
    <n v="-1"/>
    <n v="411"/>
    <n v="0.13300000000000001"/>
    <n v="0.11899999999999999"/>
    <n v="0.14599999999999999"/>
    <n v="0.13100000000000001"/>
    <n v="0.15"/>
    <n v="0.45300000000000001"/>
    <n v="0.13400000000000001"/>
    <n v="0.16"/>
    <n v="0.13400000000000001"/>
    <n v="0.18099999999999999"/>
    <n v="0.108"/>
    <n v="0.128"/>
    <n v="0.20399999999999999"/>
    <n v="0.13600000000000001"/>
    <n v="0.16400000000000001"/>
    <n v="0.13700000000000001"/>
    <n v="0.13800000000000001"/>
    <n v="0.20300000000000001"/>
    <n v="0.13400000000000001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18697128000176"/>
    <n v="393.92879382340806"/>
    <n v="5.564434844158727E-2"/>
    <n v="4.2607870634685928E-2"/>
    <n v="6.9602361859324738E-2"/>
    <n v="5.3657228001919549E-2"/>
    <n v="7.4267045120984129E-2"/>
    <n v="1.0539325266428587"/>
    <n v="5.6653747058766961E-2"/>
    <n v="8.6709180472729408E-2"/>
    <n v="5.6653747058766961E-2"/>
    <n v="0.11657507481419918"/>
    <n v="3.3759354676859761E-2"/>
    <n v="5.0755259236681539E-2"/>
    <n v="0.15534222629595956"/>
    <n v="5.8704379673962324E-2"/>
    <n v="9.2003078293670396E-2"/>
    <n v="5.9745676682321308E-2"/>
    <n v="6.0797669266349663E-2"/>
    <n v="0.15352093761488028"/>
    <n v="5.6653747058766961E-2"/>
    <n v="4.9808797095077323E-2"/>
    <m/>
  </r>
  <r>
    <x v="0"/>
    <s v="BRACALC"/>
    <s v="ROT"/>
    <n v="-1"/>
    <n v="-1"/>
    <n v="-1"/>
    <n v="-1"/>
    <n v="-1"/>
    <n v="-1"/>
    <n v="-1"/>
    <n v="-1"/>
    <n v="-1"/>
    <n v="103.5"/>
    <n v="15.7293259584723"/>
    <n v="2"/>
    <n v="-1"/>
    <n v="2"/>
    <n v="0.252"/>
    <n v="0.32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851769600000003"/>
    <n v="5.324655183095035"/>
    <n v="0.21123970559999999"/>
    <n v="0.46579568640000002"/>
    <m/>
    <m/>
    <m/>
    <m/>
    <m/>
    <m/>
    <m/>
    <m/>
    <m/>
    <m/>
    <m/>
    <m/>
    <m/>
    <m/>
    <m/>
    <m/>
    <m/>
    <m/>
    <m/>
  </r>
  <r>
    <x v="0"/>
    <s v="KELLONG"/>
    <s v="ROT"/>
    <n v="-1"/>
    <n v="-1"/>
    <n v="-1"/>
    <n v="-1"/>
    <n v="-1"/>
    <n v="-1"/>
    <n v="-1"/>
    <n v="-1"/>
    <n v="-1"/>
    <n v="155.25"/>
    <n v="23.593988937708399"/>
    <n v="3"/>
    <n v="-1"/>
    <n v="3"/>
    <n v="0.122"/>
    <n v="0.126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17155485000001E-3"/>
    <n v="0.1278123065869364"/>
    <n v="5.5292571600000003E-3"/>
    <n v="6.0911449200000004E-3"/>
    <n v="4.6310643749999996E-3"/>
    <m/>
    <m/>
    <m/>
    <m/>
    <m/>
    <m/>
    <m/>
    <m/>
    <m/>
    <m/>
    <m/>
    <m/>
    <m/>
    <m/>
    <m/>
    <m/>
    <m/>
    <m/>
  </r>
  <r>
    <x v="0"/>
    <s v="KERCOCH"/>
    <s v="ROT"/>
    <n v="-1"/>
    <n v="-1"/>
    <n v="-1"/>
    <n v="-1"/>
    <n v="-1"/>
    <n v="-1"/>
    <n v="-1"/>
    <n v="-1"/>
    <n v="-1"/>
    <n v="207"/>
    <n v="31.4586519169445"/>
    <n v="4"/>
    <n v="-1"/>
    <n v="4"/>
    <n v="0.104"/>
    <n v="0.127"/>
    <n v="0.105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442484999999996E-3"/>
    <n v="8.6330358335097057E-2"/>
    <n v="2.2497279999999999E-3"/>
    <n v="4.0967659999999999E-3"/>
    <n v="2.31525E-3"/>
    <n v="2.31525E-3"/>
    <m/>
    <m/>
    <m/>
    <m/>
    <m/>
    <m/>
    <m/>
    <m/>
    <m/>
    <m/>
    <m/>
    <m/>
    <m/>
    <m/>
    <m/>
    <m/>
    <m/>
  </r>
  <r>
    <x v="0"/>
    <s v="KERCRAS"/>
    <s v="ROT"/>
    <n v="-1"/>
    <n v="-1"/>
    <n v="-1"/>
    <n v="-1"/>
    <n v="-1"/>
    <n v="-1"/>
    <n v="-1"/>
    <n v="-1"/>
    <n v="-1"/>
    <n v="51.75"/>
    <n v="7.8646629792361296"/>
    <n v="1"/>
    <n v="-1"/>
    <n v="1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21734E-3"/>
    <n v="2.9270183608364399E-2"/>
    <n v="3.721734E-3"/>
    <m/>
    <m/>
    <m/>
    <m/>
    <m/>
    <m/>
    <m/>
    <m/>
    <m/>
    <m/>
    <m/>
    <m/>
    <m/>
    <m/>
    <m/>
    <m/>
    <m/>
    <m/>
    <m/>
    <m/>
  </r>
  <r>
    <x v="0"/>
    <s v="KERQUAD"/>
    <s v="ROT"/>
    <n v="-1"/>
    <n v="-1"/>
    <n v="-1"/>
    <n v="-1"/>
    <n v="-1"/>
    <n v="-1"/>
    <n v="-1"/>
    <n v="-1"/>
    <n v="-1"/>
    <n v="51.75"/>
    <n v="7.8646629792361296"/>
    <n v="1"/>
    <n v="-1"/>
    <n v="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0423237499999999E-2"/>
    <n v="0.55385502884420357"/>
    <n v="7.0423237499999999E-2"/>
    <m/>
    <m/>
    <m/>
    <m/>
    <m/>
    <m/>
    <m/>
    <m/>
    <m/>
    <m/>
    <m/>
    <m/>
    <m/>
    <m/>
    <m/>
    <m/>
    <m/>
    <m/>
    <m/>
    <m/>
  </r>
  <r>
    <x v="0"/>
    <s v="NOTACUM"/>
    <s v="ROT"/>
    <n v="-1"/>
    <n v="-1"/>
    <n v="-1"/>
    <n v="-1"/>
    <n v="-1"/>
    <n v="-1"/>
    <n v="-1"/>
    <n v="-1"/>
    <n v="-1"/>
    <n v="103.5"/>
    <n v="15.7293259584723"/>
    <n v="2"/>
    <n v="-1"/>
    <n v="2"/>
    <n v="0.21199999999999999"/>
    <n v="0.21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3113603249999998E-2"/>
    <n v="0.52085465917877771"/>
    <n v="3.3348448000000003E-2"/>
    <n v="3.2878758500000001E-2"/>
    <m/>
    <m/>
    <m/>
    <m/>
    <m/>
    <m/>
    <m/>
    <m/>
    <m/>
    <m/>
    <m/>
    <m/>
    <m/>
    <m/>
    <m/>
    <m/>
    <m/>
    <m/>
    <m/>
  </r>
  <r>
    <x v="0"/>
    <s v="NOTLAUR"/>
    <s v="ROT"/>
    <n v="-1"/>
    <n v="-1"/>
    <n v="-1"/>
    <n v="-1"/>
    <n v="-1"/>
    <n v="-1"/>
    <n v="-1"/>
    <n v="-1"/>
    <n v="-1"/>
    <n v="2121.75"/>
    <n v="322.45118214868199"/>
    <n v="41"/>
    <n v="-1"/>
    <n v="41"/>
    <n v="0.219"/>
    <n v="0.25"/>
    <n v="0.23200000000000001"/>
    <n v="0.219"/>
    <n v="0.21299999999999999"/>
    <n v="0.215"/>
    <n v="0.22500000000000001"/>
    <n v="0.214"/>
    <n v="0.21299999999999999"/>
    <n v="0.21299999999999999"/>
    <n v="0.216"/>
    <n v="0.219"/>
    <n v="0.24"/>
    <n v="0.221"/>
    <n v="0.21199999999999999"/>
    <n v="0.217"/>
    <n v="0.23599999999999999"/>
    <n v="0.22600000000000001"/>
    <n v="0.23499999999999999"/>
    <n v="0.2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615934574999997E-2"/>
    <n v="12.774204935633593"/>
    <n v="3.6762106500000002E-2"/>
    <n v="5.46875E-2"/>
    <n v="4.3705088000000003E-2"/>
    <n v="3.6762106500000002E-2"/>
    <n v="3.38225895E-2"/>
    <n v="3.4784312499999998E-2"/>
    <n v="3.9867187499999998E-2"/>
    <n v="3.4301204000000002E-2"/>
    <n v="3.38225895E-2"/>
    <n v="3.38225895E-2"/>
    <n v="3.5271935999999997E-2"/>
    <n v="3.6762106500000002E-2"/>
    <n v="4.8384000000000003E-2"/>
    <n v="3.7778513499999999E-2"/>
    <n v="3.3348448000000003E-2"/>
    <n v="3.5764095500000002E-2"/>
    <n v="4.6004896000000003E-2"/>
    <n v="4.0401116000000001E-2"/>
    <n v="4.5422562499999999E-2"/>
    <n v="5.0843744000000003E-2"/>
    <m/>
  </r>
  <r>
    <x v="0"/>
    <s v="NOTSP"/>
    <s v="ROT"/>
    <n v="-1"/>
    <n v="-1"/>
    <n v="-1"/>
    <n v="-1"/>
    <n v="-1"/>
    <n v="-1"/>
    <n v="-1"/>
    <n v="-1"/>
    <n v="-1"/>
    <n v="51.75"/>
    <n v="7.8646629792361296"/>
    <n v="1"/>
    <n v="-1"/>
    <n v="1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16000000000001E-2"/>
    <n v="0.48380260783068973"/>
    <n v="6.1516000000000001E-2"/>
    <m/>
    <m/>
    <m/>
    <m/>
    <m/>
    <m/>
    <m/>
    <m/>
    <m/>
    <m/>
    <m/>
    <m/>
    <m/>
    <m/>
    <m/>
    <m/>
    <m/>
    <m/>
    <m/>
    <m/>
  </r>
  <r>
    <x v="0"/>
    <s v="POLDOLI"/>
    <s v="ROT"/>
    <n v="-1"/>
    <n v="-1"/>
    <n v="-1"/>
    <n v="-1"/>
    <n v="-1"/>
    <n v="-1"/>
    <n v="-1"/>
    <n v="-1"/>
    <n v="-1"/>
    <n v="517.5"/>
    <n v="78.646629792361395"/>
    <n v="10"/>
    <n v="-1"/>
    <n v="10"/>
    <n v="0.11700000000000001"/>
    <n v="0.127"/>
    <n v="0.122"/>
    <n v="0.129"/>
    <n v="0.124"/>
    <n v="0.13600000000000001"/>
    <n v="0.128"/>
    <n v="0.13300000000000001"/>
    <n v="0.114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207515599999998E-2"/>
    <n v="4.8137648199033851"/>
    <n v="4.9329680399999999E-2"/>
    <n v="6.3090196400000007E-2"/>
    <n v="5.5928118399999997E-2"/>
    <n v="6.6118021200000002E-2"/>
    <n v="5.8724019199999998E-2"/>
    <n v="7.7476044800000005E-2"/>
    <n v="6.4592281599999996E-2"/>
    <n v="7.2461219600000001E-2"/>
    <n v="4.56315552E-2"/>
    <n v="5.8724019199999998E-2"/>
    <m/>
    <m/>
    <m/>
    <m/>
    <m/>
    <m/>
    <m/>
    <m/>
    <m/>
    <m/>
    <m/>
  </r>
  <r>
    <x v="0"/>
    <s v="SYNSP"/>
    <s v="ROT"/>
    <n v="-1"/>
    <n v="-1"/>
    <n v="-1"/>
    <n v="-1"/>
    <n v="-1"/>
    <n v="-1"/>
    <n v="-1"/>
    <n v="-1"/>
    <n v="-1"/>
    <n v="5951.25"/>
    <n v="904.43624261215598"/>
    <n v="115"/>
    <n v="-1"/>
    <n v="115"/>
    <n v="0.219"/>
    <n v="0.13800000000000001"/>
    <n v="0.155"/>
    <n v="0.192"/>
    <n v="0.20200000000000001"/>
    <n v="0.19500000000000001"/>
    <n v="0.19700000000000001"/>
    <n v="0.16500000000000001"/>
    <n v="0.187"/>
    <n v="0.182"/>
    <n v="0.17599999999999999"/>
    <n v="0.17100000000000001"/>
    <n v="0.21099999999999999"/>
    <n v="0.16300000000000001"/>
    <n v="0.21099999999999999"/>
    <n v="0.17299999999999999"/>
    <n v="0.21299999999999999"/>
    <n v="0.20100000000000001"/>
    <n v="0.193"/>
    <n v="0.19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831393500000003E-2"/>
    <n v="61.349170668286625"/>
    <n v="0.10503459"/>
    <n v="2.628072E-2"/>
    <n v="3.7238750000000001E-2"/>
    <n v="7.0778880000000002E-2"/>
    <n v="8.2424079999999997E-2"/>
    <n v="7.4148749999999999E-2"/>
    <n v="7.6453729999999998E-2"/>
    <n v="4.4921250000000003E-2"/>
    <n v="6.5392030000000004E-2"/>
    <n v="6.0285680000000001E-2"/>
    <n v="5.4517759999999998E-2"/>
    <n v="5.0002110000000002E-2"/>
    <n v="9.3939309999999998E-2"/>
    <n v="4.3307470000000001E-2"/>
    <n v="9.3939309999999998E-2"/>
    <n v="5.1777169999999997E-2"/>
    <n v="9.6635970000000002E-2"/>
    <n v="8.1206009999999995E-2"/>
    <n v="7.1890570000000001E-2"/>
    <n v="7.6453729999999998E-2"/>
    <m/>
  </r>
  <r>
    <x v="1"/>
    <s v="BOSLONG"/>
    <s v="CLA"/>
    <n v="-1"/>
    <n v="1"/>
    <n v="-1"/>
    <n v="-1"/>
    <n v="-1"/>
    <n v="-1"/>
    <n v="-1"/>
    <n v="-1"/>
    <n v="-1"/>
    <n v="15.75"/>
    <n v="2.66456588221864"/>
    <n v="-1"/>
    <n v="-1"/>
    <n v="-1"/>
    <n v="0.28399999999999997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330704450808005"/>
    <n v="1.6608426849427653"/>
    <n v="0.62330704450808005"/>
    <m/>
    <m/>
    <m/>
    <m/>
    <m/>
    <m/>
    <m/>
    <m/>
    <m/>
    <m/>
    <m/>
    <m/>
    <m/>
    <m/>
    <m/>
    <m/>
    <m/>
    <m/>
    <m/>
    <m/>
  </r>
  <r>
    <x v="1"/>
    <s v="DAPGALEM"/>
    <s v="CLA"/>
    <n v="-1"/>
    <n v="1"/>
    <n v="-1"/>
    <n v="-1"/>
    <n v="-1"/>
    <n v="-1"/>
    <n v="-1"/>
    <n v="-1"/>
    <n v="-1"/>
    <n v="15.75"/>
    <n v="2.66456588221864"/>
    <n v="-1"/>
    <n v="-1"/>
    <n v="-1"/>
    <n v="0.56499999999999995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98172905917248998"/>
    <n v="2.615881756653621"/>
    <n v="0.98172905917248998"/>
    <m/>
    <m/>
    <m/>
    <m/>
    <m/>
    <m/>
    <m/>
    <m/>
    <m/>
    <m/>
    <m/>
    <m/>
    <m/>
    <m/>
    <m/>
    <m/>
    <m/>
    <m/>
    <m/>
    <m/>
  </r>
  <r>
    <x v="1"/>
    <s v="DIYTHOM"/>
    <s v="COP"/>
    <n v="-1"/>
    <n v="18"/>
    <n v="69"/>
    <n v="-1"/>
    <n v="-1"/>
    <n v="-1"/>
    <n v="-1"/>
    <n v="-1"/>
    <n v="-1"/>
    <n v="1370.25"/>
    <n v="231.81723175302201"/>
    <n v="-1"/>
    <n v="-1"/>
    <n v="-1"/>
    <n v="0.87"/>
    <n v="0.86399999999999999"/>
    <n v="0.79100000000000004"/>
    <n v="0.81299999999999994"/>
    <n v="0.80900000000000005"/>
    <n v="0.90700000000000003"/>
    <n v="0.81299999999999994"/>
    <n v="0.83299999999999996"/>
    <n v="0.83499999999999996"/>
    <n v="0.84499999999999997"/>
    <n v="0.86599999999999999"/>
    <n v="0.754"/>
    <n v="0.879"/>
    <n v="0.85699999999999998"/>
    <n v="0.84499999999999997"/>
    <n v="0.77500000000000002"/>
    <n v="1.0760000000000001"/>
    <n v="0.78900000000000003"/>
    <n v="0.77500000000000002"/>
    <n v="1.006"/>
    <s v="M"/>
    <s v="M"/>
    <s v="M"/>
    <s v="M"/>
    <s v="M"/>
    <s v="M"/>
    <s v="M"/>
    <s v="M"/>
    <s v="M"/>
    <s v="M"/>
    <s v="M"/>
    <s v="M"/>
    <s v="M"/>
    <s v="M"/>
    <s v="M"/>
    <s v="M"/>
    <s v="F"/>
    <s v="M"/>
    <s v="M"/>
    <s v="F"/>
    <m/>
    <m/>
    <m/>
    <m/>
    <m/>
    <m/>
    <m/>
    <m/>
    <m/>
    <m/>
    <m/>
    <m/>
    <m/>
    <m/>
    <m/>
    <m/>
    <m/>
    <m/>
    <m/>
    <m/>
    <n v="2.8996898283168635"/>
    <n v="672.19806894281101"/>
    <n v="3.0256610383557998"/>
    <n v="2.9436650911415101"/>
    <n v="2.07343048453611"/>
    <n v="2.31200253519168"/>
    <n v="2.2671720075279098"/>
    <n v="3.56968397476356"/>
    <n v="2.31200253519168"/>
    <n v="2.54618230447532"/>
    <n v="2.5705387058146498"/>
    <n v="2.6949454232666099"/>
    <n v="2.97080995998251"/>
    <n v="1.7143247022144501"/>
    <n v="3.15184370960805"/>
    <n v="2.850117094637"/>
    <n v="2.6949454232666099"/>
    <n v="1.91186225366874"/>
    <n v="7.0343432609239303"/>
    <n v="2.05269555890222"/>
    <n v="1.91186225366874"/>
    <n v="5.3857082492001904"/>
    <m/>
  </r>
  <r>
    <x v="1"/>
    <s v="HARSP"/>
    <s v="COP"/>
    <n v="-1"/>
    <n v="1"/>
    <n v="0"/>
    <n v="-1"/>
    <n v="-1"/>
    <n v="-1"/>
    <n v="-1"/>
    <n v="-1"/>
    <n v="-1"/>
    <n v="15.75"/>
    <n v="2.66456588221864"/>
    <n v="-1"/>
    <n v="-1"/>
    <n v="-1"/>
    <n v="0.55500000000000005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720303710644"/>
    <n v="2.8436328020739334"/>
    <n v="1.06720303710644"/>
    <m/>
    <m/>
    <m/>
    <m/>
    <m/>
    <m/>
    <m/>
    <m/>
    <m/>
    <m/>
    <m/>
    <m/>
    <m/>
    <m/>
    <m/>
    <m/>
    <m/>
    <m/>
    <m/>
    <m/>
  </r>
  <r>
    <x v="1"/>
    <s v="LEOMINU"/>
    <s v="COP"/>
    <n v="-1"/>
    <n v="1"/>
    <n v="1"/>
    <n v="-1"/>
    <n v="-1"/>
    <n v="-1"/>
    <n v="-1"/>
    <n v="-1"/>
    <n v="-1"/>
    <n v="31.5"/>
    <n v="5.32913176443728"/>
    <n v="-1"/>
    <n v="-1"/>
    <n v="-1"/>
    <n v="0.97399999999999998"/>
    <n v="0.94299999999999995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62824996329299"/>
    <n v="23.428368714233571"/>
    <n v="4.5803210955642601"/>
    <n v="4.2122439037015997"/>
    <m/>
    <m/>
    <m/>
    <m/>
    <m/>
    <m/>
    <m/>
    <m/>
    <m/>
    <m/>
    <m/>
    <m/>
    <m/>
    <m/>
    <m/>
    <m/>
    <m/>
    <m/>
    <m/>
  </r>
  <r>
    <x v="1"/>
    <s v="LEOSICI"/>
    <s v="COP"/>
    <n v="-1"/>
    <n v="48"/>
    <n v="18"/>
    <n v="-1"/>
    <n v="-1"/>
    <n v="-1"/>
    <n v="-1"/>
    <n v="-1"/>
    <n v="-1"/>
    <n v="1039.5"/>
    <n v="175.86134822643001"/>
    <n v="-1"/>
    <n v="-1"/>
    <n v="-1"/>
    <n v="1.4770000000000001"/>
    <n v="1.397"/>
    <n v="1.3080000000000001"/>
    <n v="1.296"/>
    <n v="1.3460000000000001"/>
    <n v="1.2689999999999999"/>
    <n v="1.3919999999999999"/>
    <n v="1.42"/>
    <n v="1.4079999999999999"/>
    <n v="1.415"/>
    <n v="1.4039999999999999"/>
    <n v="1.4610000000000001"/>
    <n v="1.4510000000000001"/>
    <n v="1.3959999999999999"/>
    <n v="1.3360000000000001"/>
    <n v="1.393"/>
    <n v="1.4279999999999999"/>
    <n v="1.3"/>
    <n v="1.4450000000000001"/>
    <n v="1.3340000000000001"/>
    <s v="F"/>
    <s v="F"/>
    <s v="M"/>
    <s v="M"/>
    <s v="F"/>
    <s v="M"/>
    <s v="F"/>
    <s v="F"/>
    <s v="F"/>
    <s v="F"/>
    <s v="F"/>
    <s v="F"/>
    <s v="F"/>
    <s v="F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11.415598297920871"/>
    <n v="2007.5625074837039"/>
    <n v="13.465537976935501"/>
    <n v="11.6570032636586"/>
    <n v="9.8297457130007206"/>
    <n v="9.5978770043651505"/>
    <n v="10.586561659687501"/>
    <n v="9.0885338160585007"/>
    <n v="11.549251681087901"/>
    <n v="12.160600973481699"/>
    <n v="11.896223151757701"/>
    <n v="12.050009948483"/>
    <n v="11.8088888647749"/>
    <n v="13.090983802157201"/>
    <n v="12.860173400224401"/>
    <n v="11.6354037937108"/>
    <n v="10.3840543560698"/>
    <n v="11.5707528649603"/>
    <n v="12.338838602365801"/>
    <n v="9.6747891458793802"/>
    <n v="12.722895209874901"/>
    <n v="10.3438407298837"/>
    <m/>
  </r>
  <r>
    <x v="1"/>
    <s v="LIMMACR"/>
    <s v="COP"/>
    <n v="-1"/>
    <n v="8"/>
    <n v="6"/>
    <n v="-1"/>
    <n v="-1"/>
    <n v="-1"/>
    <n v="-1"/>
    <n v="-1"/>
    <n v="-1"/>
    <n v="220.5"/>
    <n v="37.303922351060997"/>
    <n v="-1"/>
    <n v="-1"/>
    <n v="-1"/>
    <n v="2.4529999999999998"/>
    <n v="2.496"/>
    <n v="2.3159999999999998"/>
    <n v="2.3839999999999999"/>
    <n v="2.153"/>
    <n v="2.3380000000000001"/>
    <n v="2.3679999999999999"/>
    <n v="2.13"/>
    <n v="2.3079999999999998"/>
    <n v="2.5259999999999998"/>
    <n v="2.3210000000000002"/>
    <n v="2.3849999999999998"/>
    <n v="2.524"/>
    <n v="2.548"/>
    <m/>
    <m/>
    <m/>
    <m/>
    <m/>
    <m/>
    <s v="F"/>
    <s v="F"/>
    <s v="M"/>
    <s v="F"/>
    <s v="M"/>
    <s v="F"/>
    <s v="M"/>
    <s v="M"/>
    <s v="F"/>
    <s v="F"/>
    <s v="M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n v="46.33836592714654"/>
    <n v="1728.6028044213251"/>
    <n v="50.100824851934298"/>
    <n v="52.407288586354497"/>
    <n v="43.1718921861697"/>
    <n v="46.531967543081301"/>
    <n v="35.736520375702199"/>
    <n v="44.242076147199299"/>
    <n v="45.727433220449697"/>
    <n v="34.756128892909999"/>
    <n v="42.786716531099103"/>
    <n v="54.0543429778769"/>
    <n v="43.413703915510297"/>
    <n v="46.582537169214397"/>
    <n v="53.943564958835303"/>
    <n v="55.282125623714599"/>
    <m/>
    <m/>
    <m/>
    <m/>
    <m/>
    <m/>
    <m/>
  </r>
  <r>
    <x v="1"/>
    <s v="CYCCOPE"/>
    <s v="IMM"/>
    <n v="-1"/>
    <n v="24"/>
    <n v="-1"/>
    <n v="-1"/>
    <n v="-1"/>
    <n v="-1"/>
    <n v="-1"/>
    <n v="-1"/>
    <n v="-1"/>
    <n v="378"/>
    <n v="63.949581173247402"/>
    <n v="-1"/>
    <n v="-1"/>
    <n v="-1"/>
    <n v="0.80700000000000005"/>
    <n v="0.64700000000000002"/>
    <n v="0.79"/>
    <n v="0.83199999999999996"/>
    <n v="0.77600000000000002"/>
    <n v="0.83799999999999997"/>
    <n v="0.874"/>
    <n v="0.85"/>
    <n v="0.82499999999999996"/>
    <n v="0.85899999999999999"/>
    <n v="0.80800000000000005"/>
    <n v="0.69199999999999995"/>
    <n v="0.72299999999999998"/>
    <n v="0.82899999999999996"/>
    <n v="0.86599999999999999"/>
    <n v="0.627"/>
    <n v="0.59199999999999997"/>
    <n v="0.50700000000000001"/>
    <n v="0.75700000000000001"/>
    <n v="0.7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9397253501171066"/>
    <n v="124.04462373111964"/>
    <n v="2.24500220970608"/>
    <n v="0.93372467157604999"/>
    <n v="2.0630435335392199"/>
    <n v="2.5340690539667698"/>
    <n v="1.92167470408387"/>
    <n v="2.6073995961352701"/>
    <n v="3.0812662535889501"/>
    <n v="2.7588111657657999"/>
    <n v="2.4504791728531501"/>
    <n v="2.8766147326331"/>
    <n v="2.2560667360250299"/>
    <n v="1.2194107938735299"/>
    <n v="1.4511352112182201"/>
    <n v="2.4979878762977998"/>
    <n v="2.97080995998251"/>
    <n v="0.82429179530200902"/>
    <n v="0.65621479182391396"/>
    <n v="0.35465855356317999"/>
    <n v="1.7415641715627099"/>
    <n v="1.35028201884497"/>
    <m/>
  </r>
  <r>
    <x v="1"/>
    <s v="HARCOPE"/>
    <s v="IMM"/>
    <n v="-1"/>
    <n v="1"/>
    <n v="-1"/>
    <n v="-1"/>
    <n v="-1"/>
    <n v="-1"/>
    <n v="-1"/>
    <n v="-1"/>
    <n v="-1"/>
    <n v="15.75"/>
    <n v="2.66456588221864"/>
    <n v="-1"/>
    <n v="-1"/>
    <n v="-1"/>
    <n v="0.307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0259002383148"/>
    <n v="0.61354028182383669"/>
    <n v="0.230259002383148"/>
    <m/>
    <m/>
    <m/>
    <m/>
    <m/>
    <m/>
    <m/>
    <m/>
    <m/>
    <m/>
    <m/>
    <m/>
    <m/>
    <m/>
    <m/>
    <m/>
    <m/>
    <m/>
    <m/>
    <m/>
  </r>
  <r>
    <x v="1"/>
    <s v="DREPOLYV"/>
    <s v="MOL"/>
    <n v="-1"/>
    <n v="-1"/>
    <n v="-1"/>
    <n v="-1"/>
    <n v="-1"/>
    <n v="-1"/>
    <n v="-1"/>
    <n v="-1"/>
    <n v="-1"/>
    <n v="4"/>
    <n v="0.67671514469044902"/>
    <n v="4"/>
    <n v="-1"/>
    <n v="4"/>
    <n v="0.11600000000000001"/>
    <n v="8.1000000000000003E-2"/>
    <n v="0.111"/>
    <n v="8.6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562947866379286"/>
    <n v="9.8549673725163239E-2"/>
    <n v="0.19035215896949942"/>
    <n v="0.10316976392212798"/>
    <n v="0.17440424030734322"/>
    <n v="0.11459175145620078"/>
    <s v=""/>
    <s v=""/>
    <s v=""/>
    <s v=""/>
    <s v=""/>
    <s v=""/>
    <s v=""/>
    <s v=""/>
    <s v=""/>
    <s v=""/>
    <s v=""/>
    <s v=""/>
    <s v=""/>
    <s v=""/>
    <s v=""/>
    <s v=""/>
    <m/>
  </r>
  <r>
    <x v="1"/>
    <s v="COPNAUP"/>
    <s v="NAU"/>
    <n v="-1"/>
    <n v="-1"/>
    <n v="-1"/>
    <n v="-1"/>
    <n v="-1"/>
    <n v="-1"/>
    <n v="-1"/>
    <n v="-1"/>
    <n v="-1"/>
    <n v="1318"/>
    <n v="222.97764017550301"/>
    <n v="1318"/>
    <n v="-1"/>
    <n v="1318"/>
    <n v="0.14899999999999999"/>
    <n v="0.17699999999999999"/>
    <n v="0.184"/>
    <n v="0.14299999999999999"/>
    <n v="0.192"/>
    <n v="0.17100000000000001"/>
    <n v="0.14000000000000001"/>
    <n v="0.13800000000000001"/>
    <n v="0.192"/>
    <n v="0.14299999999999999"/>
    <n v="0.185"/>
    <n v="0.19400000000000001"/>
    <n v="0.14099999999999999"/>
    <n v="0.123"/>
    <n v="0.151"/>
    <n v="0.14199999999999999"/>
    <n v="0.14599999999999999"/>
    <n v="0.189"/>
    <n v="0.105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91539844120509E-2"/>
    <n v="19.157212799158"/>
    <n v="7.3084312737679707E-2"/>
    <n v="0.11048745306659181"/>
    <n v="0.1212662362035863"/>
    <n v="6.6219151722577044E-2"/>
    <n v="0.13430744025989136"/>
    <n v="0.10171096812044977"/>
    <n v="6.2933865666250186E-2"/>
    <n v="6.0797669266349663E-2"/>
    <n v="0.13430744025989136"/>
    <n v="6.6219151722577044E-2"/>
    <n v="0.12285399154068005"/>
    <n v="0.13768964334490719"/>
    <n v="6.4018131398123818E-2"/>
    <n v="4.6126381923769305E-2"/>
    <n v="7.5460868039834816E-2"/>
    <n v="6.5113216540746796E-2"/>
    <n v="6.9602361859324738E-2"/>
    <n v="0.12932588325119743"/>
    <n v="3.1552330394801202E-2"/>
    <n v="4.5231471504872452E-2"/>
    <m/>
  </r>
  <r>
    <x v="1"/>
    <s v="KELLONG"/>
    <s v="ROT"/>
    <n v="-1"/>
    <n v="-1"/>
    <n v="-1"/>
    <n v="-1"/>
    <n v="-1"/>
    <n v="-1"/>
    <n v="-1"/>
    <n v="-1"/>
    <n v="-1"/>
    <n v="3"/>
    <n v="0.50753635851783596"/>
    <n v="3"/>
    <n v="-1"/>
    <n v="3"/>
    <n v="0.13300000000000001"/>
    <n v="0.14599999999999999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4355246E-3"/>
    <n v="3.773799079153789E-3"/>
    <n v="7.1637796649999998E-3"/>
    <n v="9.47645412E-3"/>
    <n v="5.6663400150000001E-3"/>
    <m/>
    <m/>
    <m/>
    <m/>
    <m/>
    <m/>
    <m/>
    <m/>
    <m/>
    <m/>
    <m/>
    <m/>
    <m/>
    <m/>
    <m/>
    <m/>
    <m/>
    <m/>
  </r>
  <r>
    <x v="1"/>
    <s v="KERCOCH"/>
    <s v="ROT"/>
    <n v="-1"/>
    <n v="-1"/>
    <n v="-1"/>
    <n v="-1"/>
    <n v="-1"/>
    <n v="-1"/>
    <n v="-1"/>
    <n v="-1"/>
    <n v="-1"/>
    <n v="3"/>
    <n v="0.50753635851783596"/>
    <n v="3"/>
    <n v="-1"/>
    <n v="3"/>
    <n v="0.125"/>
    <n v="0.1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230006666666664E-3"/>
    <n v="1.7880509294159084E-3"/>
    <n v="3.90625E-3"/>
    <n v="2.6619999999999999E-3"/>
    <n v="4.0007519999999998E-3"/>
    <m/>
    <m/>
    <m/>
    <m/>
    <m/>
    <m/>
    <m/>
    <m/>
    <m/>
    <m/>
    <m/>
    <m/>
    <m/>
    <m/>
    <m/>
    <m/>
    <m/>
    <m/>
  </r>
  <r>
    <x v="1"/>
    <s v="KERCRAS"/>
    <s v="ROT"/>
    <n v="-1"/>
    <n v="-1"/>
    <n v="-1"/>
    <n v="-1"/>
    <n v="-1"/>
    <n v="-1"/>
    <n v="-1"/>
    <n v="-1"/>
    <n v="-1"/>
    <n v="3"/>
    <n v="0.50753635851783596"/>
    <n v="3"/>
    <n v="-1"/>
    <n v="3"/>
    <n v="0.13200000000000001"/>
    <n v="0.126"/>
    <n v="0.13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189439999999998E-3"/>
    <n v="2.3442820179578072E-3"/>
    <n v="4.5999359999999998E-3"/>
    <n v="4.0007519999999998E-3"/>
    <n v="5.2561439999999999E-3"/>
    <m/>
    <m/>
    <m/>
    <m/>
    <m/>
    <m/>
    <m/>
    <m/>
    <m/>
    <m/>
    <m/>
    <m/>
    <m/>
    <m/>
    <m/>
    <m/>
    <m/>
    <m/>
  </r>
  <r>
    <x v="1"/>
    <s v="KEREARL"/>
    <s v="ROT"/>
    <n v="-1"/>
    <n v="-1"/>
    <n v="-1"/>
    <n v="-1"/>
    <n v="-1"/>
    <n v="-1"/>
    <n v="-1"/>
    <n v="-1"/>
    <n v="-1"/>
    <n v="1"/>
    <n v="0.16917878617261201"/>
    <n v="1"/>
    <n v="-1"/>
    <n v="1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052739999999997E-3"/>
    <n v="7.9603254392955072E-4"/>
    <n v="4.7052739999999997E-3"/>
    <m/>
    <m/>
    <m/>
    <m/>
    <m/>
    <m/>
    <m/>
    <m/>
    <m/>
    <m/>
    <m/>
    <m/>
    <m/>
    <m/>
    <m/>
    <m/>
    <m/>
    <m/>
    <m/>
    <m/>
  </r>
  <r>
    <x v="1"/>
    <s v="KERHIEM"/>
    <s v="ROT"/>
    <n v="-1"/>
    <n v="-1"/>
    <n v="-1"/>
    <n v="-1"/>
    <n v="-1"/>
    <n v="-1"/>
    <n v="-1"/>
    <n v="-1"/>
    <n v="-1"/>
    <n v="1"/>
    <n v="0.16917878617261201"/>
    <n v="1"/>
    <n v="-1"/>
    <n v="1"/>
    <n v="0.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588515899999998E-2"/>
    <n v="8.3893249280632704E-3"/>
    <n v="4.9588515899999998E-2"/>
    <m/>
    <m/>
    <m/>
    <m/>
    <m/>
    <m/>
    <m/>
    <m/>
    <m/>
    <m/>
    <m/>
    <m/>
    <m/>
    <m/>
    <m/>
    <m/>
    <m/>
    <m/>
    <m/>
    <m/>
  </r>
  <r>
    <x v="1"/>
    <s v="KERSP"/>
    <s v="ROT"/>
    <n v="-1"/>
    <n v="-1"/>
    <n v="-1"/>
    <n v="-1"/>
    <n v="-1"/>
    <n v="-1"/>
    <n v="-1"/>
    <n v="-1"/>
    <n v="-1"/>
    <n v="6"/>
    <n v="1.0150727170356699"/>
    <n v="6"/>
    <n v="-1"/>
    <n v="6"/>
    <n v="0.13200000000000001"/>
    <n v="0.129"/>
    <n v="0.11899999999999999"/>
    <n v="0.13700000000000001"/>
    <n v="0.125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11486666666669E-3"/>
    <n v="4.3152250275958993E-3"/>
    <n v="4.5999359999999998E-3"/>
    <n v="4.2933779999999996E-3"/>
    <n v="3.3703180000000002E-3"/>
    <n v="5.1427060000000004E-3"/>
    <n v="3.90625E-3"/>
    <n v="4.1943040000000003E-3"/>
    <m/>
    <m/>
    <m/>
    <m/>
    <m/>
    <m/>
    <m/>
    <m/>
    <m/>
    <m/>
    <m/>
    <m/>
    <m/>
    <m/>
    <m/>
  </r>
  <r>
    <x v="1"/>
    <s v="NOOSP"/>
    <s v="ROT"/>
    <n v="-1"/>
    <n v="-1"/>
    <n v="-1"/>
    <n v="-1"/>
    <n v="-1"/>
    <n v="-1"/>
    <n v="-1"/>
    <n v="-1"/>
    <n v="-1"/>
    <n v="1"/>
    <n v="0.16917878617261201"/>
    <n v="1"/>
    <n v="-1"/>
    <n v="1"/>
    <n v="0.2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272679500000002E-2"/>
    <n v="7.4899981784190836E-3"/>
    <n v="4.4272679500000002E-2"/>
    <m/>
    <m/>
    <m/>
    <m/>
    <m/>
    <m/>
    <m/>
    <m/>
    <m/>
    <m/>
    <m/>
    <m/>
    <m/>
    <m/>
    <m/>
    <m/>
    <m/>
    <m/>
    <m/>
    <m/>
  </r>
  <r>
    <x v="1"/>
    <s v="NOTLAUR"/>
    <s v="ROT"/>
    <n v="-1"/>
    <n v="-1"/>
    <n v="-1"/>
    <n v="-1"/>
    <n v="-1"/>
    <n v="-1"/>
    <n v="-1"/>
    <n v="-1"/>
    <n v="-1"/>
    <n v="1"/>
    <n v="0.16917878617261201"/>
    <n v="1"/>
    <n v="-1"/>
    <n v="1"/>
    <n v="0.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471437500000002E-2"/>
    <n v="8.7078753188094635E-3"/>
    <n v="5.1471437500000002E-2"/>
    <m/>
    <m/>
    <m/>
    <m/>
    <m/>
    <m/>
    <m/>
    <m/>
    <m/>
    <m/>
    <m/>
    <m/>
    <m/>
    <m/>
    <m/>
    <m/>
    <m/>
    <m/>
    <m/>
    <m/>
  </r>
  <r>
    <x v="1"/>
    <s v="POLDOLI"/>
    <s v="ROT"/>
    <n v="-1"/>
    <n v="-1"/>
    <n v="-1"/>
    <n v="-1"/>
    <n v="-1"/>
    <n v="-1"/>
    <n v="-1"/>
    <n v="-1"/>
    <n v="-1"/>
    <n v="6"/>
    <n v="1.0150727170356699"/>
    <n v="6"/>
    <n v="-1"/>
    <n v="6"/>
    <n v="0.13200000000000001"/>
    <n v="0.11799999999999999"/>
    <n v="0.14199999999999999"/>
    <n v="0.14399999999999999"/>
    <n v="0.113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54426753333334E-2"/>
    <n v="6.7547270448209185E-2"/>
    <n v="7.0839014399999997E-2"/>
    <n v="5.0605385599999997E-2"/>
    <n v="8.8189270400000006E-2"/>
    <n v="9.1968307200000002E-2"/>
    <n v="4.4441227600000001E-2"/>
    <n v="5.3222400000000003E-2"/>
    <m/>
    <m/>
    <m/>
    <m/>
    <m/>
    <m/>
    <m/>
    <m/>
    <m/>
    <m/>
    <m/>
    <m/>
    <m/>
    <m/>
    <m/>
  </r>
  <r>
    <x v="1"/>
    <s v="SYNSP"/>
    <s v="ROT"/>
    <n v="-1"/>
    <n v="-1"/>
    <n v="-1"/>
    <n v="-1"/>
    <n v="-1"/>
    <n v="-1"/>
    <n v="-1"/>
    <n v="-1"/>
    <n v="-1"/>
    <n v="28"/>
    <n v="4.7370060128331399"/>
    <n v="28"/>
    <n v="-1"/>
    <n v="28"/>
    <n v="0.14599999999999999"/>
    <n v="0.20899999999999999"/>
    <n v="0.15"/>
    <n v="0.14899999999999999"/>
    <n v="0.14499999999999999"/>
    <n v="0.2"/>
    <n v="0.14899999999999999"/>
    <n v="0.16500000000000001"/>
    <n v="0.16500000000000001"/>
    <n v="0.156"/>
    <n v="0.122"/>
    <n v="0.129"/>
    <n v="0.14199999999999999"/>
    <n v="0.19400000000000001"/>
    <n v="0.183"/>
    <n v="0.13700000000000001"/>
    <n v="0.16900000000000001"/>
    <n v="0.14799999999999999"/>
    <n v="0.13500000000000001"/>
    <n v="0.1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247783500000005E-2"/>
    <n v="0.20486501048120587"/>
    <n v="3.1121360000000001E-2"/>
    <n v="9.1293289999999999E-2"/>
    <n v="3.3750000000000002E-2"/>
    <n v="3.3079490000000003E-2"/>
    <n v="3.0486249999999999E-2"/>
    <n v="0.08"/>
    <n v="3.3079490000000003E-2"/>
    <n v="4.4921250000000003E-2"/>
    <n v="4.4921250000000003E-2"/>
    <n v="3.7964159999999997E-2"/>
    <n v="1.8158480000000001E-2"/>
    <n v="2.1466889999999999E-2"/>
    <n v="2.8632879999999999E-2"/>
    <n v="7.3013839999999997E-2"/>
    <n v="6.1284869999999998E-2"/>
    <n v="2.5713529999999998E-2"/>
    <n v="4.826809E-2"/>
    <n v="3.2417920000000003E-2"/>
    <n v="2.4603750000000001E-2"/>
    <n v="7.0778880000000002E-2"/>
    <m/>
  </r>
  <r>
    <x v="2"/>
    <s v="BOSLONG"/>
    <s v="CLA"/>
    <n v="-1"/>
    <n v="4"/>
    <n v="-1"/>
    <n v="-1"/>
    <n v="-1"/>
    <n v="-1"/>
    <n v="-1"/>
    <n v="-1"/>
    <n v="-1"/>
    <n v="60"/>
    <n v="13.121671708022101"/>
    <n v="-1"/>
    <n v="-1"/>
    <n v="-1"/>
    <n v="0.30399999999999999"/>
    <n v="0.29399999999999998"/>
    <n v="0.28499999999999998"/>
    <n v="0.28699999999999998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7243286437225103"/>
    <n v="8.8234432919776289"/>
    <n v="0.74041771577438797"/>
    <n v="0.68033902120397705"/>
    <n v="0.628874710985174"/>
    <n v="0.64010000952546497"/>
    <m/>
    <m/>
    <m/>
    <m/>
    <m/>
    <m/>
    <m/>
    <m/>
    <m/>
    <m/>
    <m/>
    <m/>
    <m/>
    <m/>
    <m/>
    <m/>
    <m/>
  </r>
  <r>
    <x v="2"/>
    <s v="DIYTHOM"/>
    <s v="COP"/>
    <n v="-1"/>
    <n v="2"/>
    <n v="38"/>
    <n v="-1"/>
    <n v="-1"/>
    <n v="-1"/>
    <n v="-1"/>
    <n v="-1"/>
    <n v="-1"/>
    <n v="600"/>
    <n v="131.216717080221"/>
    <n v="-1"/>
    <n v="-1"/>
    <n v="-1"/>
    <n v="0.75900000000000001"/>
    <n v="0.81"/>
    <n v="0.81399999999999995"/>
    <n v="0.80500000000000005"/>
    <n v="0.81200000000000006"/>
    <n v="0.81499999999999995"/>
    <n v="0.86299999999999999"/>
    <n v="0.78100000000000003"/>
    <n v="0.83599999999999997"/>
    <n v="0.81699999999999995"/>
    <n v="0.86299999999999999"/>
    <n v="0.83799999999999997"/>
    <n v="0.86299999999999999"/>
    <n v="0.85399999999999998"/>
    <n v="0.80600000000000005"/>
    <n v="0.76800000000000002"/>
    <n v="0.81399999999999995"/>
    <n v="0.85299999999999998"/>
    <n v="0.81200000000000006"/>
    <n v="0.79"/>
    <s v="M"/>
    <s v="M"/>
    <s v="M"/>
    <s v="M"/>
    <s v="M"/>
    <s v="M"/>
    <s v="M"/>
    <s v="M"/>
    <s v="M"/>
    <s v="M"/>
    <s v="M"/>
    <s v="M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n v="2.3951532407363549"/>
    <n v="314.28414515347674"/>
    <n v="1.759902832469"/>
    <n v="2.27831812361593"/>
    <n v="2.3233130260173298"/>
    <n v="2.2229949956114901"/>
    <n v="2.3007332877484901"/>
    <n v="2.3346648602228699"/>
    <n v="2.9301624525319099"/>
    <n v="1.97130327968347"/>
    <n v="2.5827820615271002"/>
    <n v="2.35749295935952"/>
    <n v="2.9301624525319099"/>
    <n v="2.6073995961352701"/>
    <n v="2.9301624525319099"/>
    <n v="2.8107135451850001"/>
    <n v="2.2339783292891302"/>
    <n v="1.8442206623744499"/>
    <n v="2.3233130260173298"/>
    <n v="2.79767005058727"/>
    <n v="2.3007332877484901"/>
    <n v="2.0630435335392199"/>
    <m/>
  </r>
  <r>
    <x v="2"/>
    <s v="LEOMINU"/>
    <s v="COP"/>
    <n v="-1"/>
    <n v="3"/>
    <n v="0"/>
    <n v="-1"/>
    <n v="-1"/>
    <n v="-1"/>
    <n v="-1"/>
    <n v="-1"/>
    <n v="-1"/>
    <n v="45"/>
    <n v="9.8412537810165794"/>
    <n v="-1"/>
    <n v="-1"/>
    <n v="-1"/>
    <n v="0.98099999999999998"/>
    <n v="1.0349999999999999"/>
    <n v="1.08"/>
    <m/>
    <m/>
    <m/>
    <m/>
    <m/>
    <m/>
    <m/>
    <m/>
    <m/>
    <m/>
    <m/>
    <m/>
    <m/>
    <m/>
    <m/>
    <m/>
    <m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374099385472107"/>
    <n v="52.526805738563205"/>
    <n v="4.6660668367820897"/>
    <n v="5.3607275091850601"/>
    <n v="5.9854354696744796"/>
    <m/>
    <m/>
    <m/>
    <m/>
    <m/>
    <m/>
    <m/>
    <m/>
    <m/>
    <m/>
    <m/>
    <m/>
    <m/>
    <m/>
    <m/>
    <m/>
    <m/>
    <m/>
  </r>
  <r>
    <x v="2"/>
    <s v="LEOSICI"/>
    <s v="COP"/>
    <n v="-1"/>
    <n v="41"/>
    <n v="27"/>
    <n v="-1"/>
    <n v="-1"/>
    <n v="-1"/>
    <n v="-1"/>
    <n v="-1"/>
    <n v="-1"/>
    <n v="1020"/>
    <n v="223.06841903637601"/>
    <n v="-1"/>
    <n v="-1"/>
    <n v="-1"/>
    <n v="1.38"/>
    <n v="1.278"/>
    <n v="1.472"/>
    <n v="1.5209999999999999"/>
    <n v="1.32"/>
    <n v="1.486"/>
    <n v="1.5389999999999999"/>
    <n v="1.3779999999999999"/>
    <n v="1.41"/>
    <n v="1.4530000000000001"/>
    <n v="1.464"/>
    <n v="1.1819999999999999"/>
    <n v="1.4550000000000001"/>
    <n v="1.2749999999999999"/>
    <n v="1.43"/>
    <n v="1.4350000000000001"/>
    <n v="1.3069999999999999"/>
    <n v="1.4239999999999999"/>
    <n v="1.204"/>
    <n v="1.4"/>
    <s v="F"/>
    <s v="M"/>
    <s v="F"/>
    <s v="F"/>
    <s v="M"/>
    <s v="F"/>
    <s v="F"/>
    <s v="F"/>
    <s v="F"/>
    <s v="F"/>
    <s v="F"/>
    <s v="M"/>
    <s v="F"/>
    <s v="M"/>
    <s v="F"/>
    <s v="F"/>
    <s v="M"/>
    <s v="F"/>
    <s v="M"/>
    <s v="F"/>
    <m/>
    <m/>
    <m/>
    <m/>
    <m/>
    <m/>
    <m/>
    <m/>
    <m/>
    <m/>
    <m/>
    <m/>
    <m/>
    <m/>
    <m/>
    <m/>
    <m/>
    <m/>
    <m/>
    <m/>
    <n v="11.635702420100849"/>
    <n v="2595.5577432296304"/>
    <n v="11.293149047199901"/>
    <n v="9.2564218243487293"/>
    <n v="13.3477927299301"/>
    <n v="14.529239763875101"/>
    <n v="10.065021526016301"/>
    <n v="13.679081674792601"/>
    <n v="14.9787734277475"/>
    <n v="11.250807648056099"/>
    <n v="11.9400385233479"/>
    <n v="12.9061339207027"/>
    <n v="13.160718955032999"/>
    <n v="7.5614918862098204"/>
    <n v="12.9521951394029"/>
    <n v="9.2002494940053499"/>
    <n v="12.383646984456799"/>
    <n v="12.4961045464803"/>
    <n v="9.8102934425383204"/>
    <n v="12.2495207728709"/>
    <n v="7.9314177949494402"/>
    <n v="11.7219493000532"/>
    <m/>
  </r>
  <r>
    <x v="2"/>
    <s v="LIMMACR"/>
    <s v="COP"/>
    <n v="-1"/>
    <n v="6"/>
    <n v="3"/>
    <n v="-1"/>
    <n v="-1"/>
    <n v="-1"/>
    <n v="-1"/>
    <n v="-1"/>
    <n v="-1"/>
    <n v="135"/>
    <n v="29.523761343049799"/>
    <n v="-1"/>
    <n v="-1"/>
    <n v="-1"/>
    <n v="2.4409999999999998"/>
    <n v="2.2770000000000001"/>
    <n v="2.5110000000000001"/>
    <n v="2.2949999999999999"/>
    <n v="2.41"/>
    <n v="2.3140000000000001"/>
    <n v="2.5390000000000001"/>
    <n v="2.3519999999999999"/>
    <n v="2.6720000000000002"/>
    <m/>
    <m/>
    <m/>
    <m/>
    <m/>
    <m/>
    <m/>
    <m/>
    <m/>
    <m/>
    <m/>
    <s v="F"/>
    <s v="F"/>
    <s v="F"/>
    <s v="M"/>
    <s v="F"/>
    <s v="M"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.81550677158026"/>
    <n v="1441.217371764167"/>
    <n v="49.468503778455201"/>
    <n v="41.314117041293798"/>
    <n v="53.226904790497798"/>
    <n v="42.165319260707598"/>
    <n v="47.857759895796697"/>
    <n v="43.0753995700396"/>
    <n v="54.777804473455603"/>
    <n v="44.931495956320802"/>
    <n v="62.522256177655201"/>
    <m/>
    <m/>
    <m/>
    <m/>
    <m/>
    <m/>
    <m/>
    <m/>
    <m/>
    <m/>
    <m/>
    <m/>
  </r>
  <r>
    <x v="2"/>
    <s v="CYCCOPE"/>
    <s v="IMM"/>
    <n v="-1"/>
    <n v="89"/>
    <n v="-1"/>
    <n v="-1"/>
    <n v="-1"/>
    <n v="-1"/>
    <n v="-1"/>
    <n v="-1"/>
    <n v="-1"/>
    <n v="1335"/>
    <n v="291.95719550349202"/>
    <n v="-1"/>
    <n v="-1"/>
    <n v="-1"/>
    <n v="0.69399999999999995"/>
    <n v="0.77"/>
    <n v="0.80600000000000005"/>
    <n v="0.84099999999999997"/>
    <n v="0.89600000000000002"/>
    <n v="0.70599999999999996"/>
    <n v="0.70699999999999996"/>
    <n v="0.82799999999999996"/>
    <n v="0.77600000000000002"/>
    <n v="0.72799999999999998"/>
    <n v="0.78900000000000003"/>
    <n v="0.84399999999999997"/>
    <n v="0.82499999999999996"/>
    <n v="0.69399999999999995"/>
    <n v="0.871"/>
    <n v="0.72599999999999998"/>
    <n v="0.82899999999999996"/>
    <n v="0.61099999999999999"/>
    <n v="0.64900000000000002"/>
    <n v="0.6840000000000000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9104347378707414"/>
    <n v="557.76516826119052"/>
    <n v="1.23346246352023"/>
    <n v="1.86336107463689"/>
    <n v="2.2339783292891302"/>
    <n v="2.6446544988728902"/>
    <n v="3.4008825856522802"/>
    <n v="1.3203330762874499"/>
    <n v="1.32777324343637"/>
    <n v="2.4860466682810598"/>
    <n v="1.92167470408387"/>
    <n v="1.4913872152582699"/>
    <n v="2.05269555890222"/>
    <n v="2.6823061976212301"/>
    <n v="2.4504791728531501"/>
    <n v="1.23346246352023"/>
    <n v="3.0394913749407499"/>
    <n v="1.4751875013843101"/>
    <n v="2.4979878762977998"/>
    <n v="0.74389637880552095"/>
    <n v="0.94523607086767103"/>
    <n v="1.1643983029035001"/>
    <m/>
  </r>
  <r>
    <x v="2"/>
    <s v="COPNAUP"/>
    <s v="NAU"/>
    <n v="-1"/>
    <n v="-1"/>
    <n v="-1"/>
    <n v="-1"/>
    <n v="-1"/>
    <n v="-1"/>
    <n v="-1"/>
    <n v="-1"/>
    <n v="-1"/>
    <n v="603"/>
    <n v="131.87280066562201"/>
    <n v="603"/>
    <n v="-1"/>
    <n v="603"/>
    <n v="0.14599999999999999"/>
    <n v="0.18099999999999999"/>
    <n v="9.1999999999999998E-2"/>
    <n v="0.14099999999999999"/>
    <n v="0.156"/>
    <n v="0.121"/>
    <n v="0.108"/>
    <n v="0.186"/>
    <n v="0.19700000000000001"/>
    <n v="0.187"/>
    <n v="0.19"/>
    <n v="0.185"/>
    <n v="0.155"/>
    <n v="0.18"/>
    <n v="0.18"/>
    <n v="0.13600000000000001"/>
    <n v="0.182"/>
    <n v="0.129"/>
    <n v="0.184"/>
    <n v="0.18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844025983861336E-2"/>
    <n v="12.243601731563576"/>
    <n v="6.9602361859324738E-2"/>
    <n v="0.11657507481419918"/>
    <n v="2.2975655396517344E-2"/>
    <n v="6.4018131398123818E-2"/>
    <n v="8.159736965446801E-2"/>
    <n v="4.4346771885494372E-2"/>
    <n v="3.3759354676859761E-2"/>
    <n v="0.12445380792000475"/>
    <n v="0.14285520408020716"/>
    <n v="0.1260657113773983"/>
    <n v="0.13097420332287191"/>
    <n v="0.12285399154068005"/>
    <n v="8.0347653641320488E-2"/>
    <n v="0.11503530158496081"/>
    <n v="0.11503530158496081"/>
    <n v="5.8704379673962324E-2"/>
    <n v="0.1181268040891094"/>
    <n v="5.1712130158977757E-2"/>
    <n v="0.1212662362035863"/>
    <n v="0.11657507481419918"/>
    <m/>
  </r>
  <r>
    <x v="2"/>
    <s v="CEPSP"/>
    <s v="ROT"/>
    <n v="-1"/>
    <n v="-1"/>
    <n v="-1"/>
    <n v="-1"/>
    <n v="-1"/>
    <n v="-1"/>
    <n v="-1"/>
    <n v="-1"/>
    <n v="-1"/>
    <n v="2"/>
    <n v="0.43738905693406999"/>
    <n v="2"/>
    <n v="-1"/>
    <n v="2"/>
    <n v="0.20899999999999999"/>
    <n v="0.17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6550801249999995E-2"/>
    <n v="3.3482482766284925E-2"/>
    <n v="9.5857954499999995E-2"/>
    <n v="5.7243648000000001E-2"/>
    <m/>
    <m/>
    <m/>
    <m/>
    <m/>
    <m/>
    <m/>
    <m/>
    <m/>
    <m/>
    <m/>
    <m/>
    <m/>
    <m/>
    <m/>
    <m/>
    <m/>
    <m/>
    <m/>
  </r>
  <r>
    <x v="2"/>
    <s v="COUSP"/>
    <s v="ROT"/>
    <n v="-1"/>
    <n v="-1"/>
    <n v="-1"/>
    <n v="-1"/>
    <n v="-1"/>
    <n v="-1"/>
    <n v="-1"/>
    <n v="-1"/>
    <n v="-1"/>
    <n v="1"/>
    <n v="0.21869452846703499"/>
    <n v="1"/>
    <n v="-1"/>
    <n v="1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8030108000000002E-2"/>
    <n v="1.0503921821280765E-2"/>
    <n v="4.8030108000000002E-2"/>
    <m/>
    <m/>
    <m/>
    <m/>
    <m/>
    <m/>
    <m/>
    <m/>
    <m/>
    <m/>
    <m/>
    <m/>
    <m/>
    <m/>
    <m/>
    <m/>
    <m/>
    <m/>
    <m/>
    <m/>
  </r>
  <r>
    <x v="2"/>
    <s v="ENCSP"/>
    <s v="ROT"/>
    <n v="-1"/>
    <n v="-1"/>
    <n v="-1"/>
    <n v="-1"/>
    <n v="-1"/>
    <n v="-1"/>
    <n v="-1"/>
    <n v="-1"/>
    <n v="-1"/>
    <n v="1"/>
    <n v="0.21869452846703499"/>
    <n v="1"/>
    <n v="-1"/>
    <n v="1"/>
    <n v="0.21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004534399999999"/>
    <n v="2.1879369331402308E-2"/>
    <n v="0.10004534399999999"/>
    <m/>
    <m/>
    <m/>
    <m/>
    <m/>
    <m/>
    <m/>
    <m/>
    <m/>
    <m/>
    <m/>
    <m/>
    <m/>
    <m/>
    <m/>
    <m/>
    <m/>
    <m/>
    <m/>
    <m/>
  </r>
  <r>
    <x v="2"/>
    <s v="KERCOCH"/>
    <s v="ROT"/>
    <n v="-1"/>
    <n v="-1"/>
    <n v="-1"/>
    <n v="-1"/>
    <n v="-1"/>
    <n v="-1"/>
    <n v="-1"/>
    <n v="-1"/>
    <n v="-1"/>
    <n v="2"/>
    <n v="0.43738905693406999"/>
    <n v="2"/>
    <n v="-1"/>
    <n v="2"/>
    <n v="0.09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866250000000001E-3"/>
    <n v="8.2518912953823977E-4"/>
    <n v="1.4580000000000001E-3"/>
    <n v="2.31525E-3"/>
    <m/>
    <m/>
    <m/>
    <m/>
    <m/>
    <m/>
    <m/>
    <m/>
    <m/>
    <m/>
    <m/>
    <m/>
    <m/>
    <m/>
    <m/>
    <m/>
    <m/>
    <m/>
    <m/>
  </r>
  <r>
    <x v="2"/>
    <s v="KERCRAS"/>
    <s v="ROT"/>
    <n v="-1"/>
    <n v="-1"/>
    <n v="-1"/>
    <n v="-1"/>
    <n v="-1"/>
    <n v="-1"/>
    <n v="-1"/>
    <n v="-1"/>
    <n v="-1"/>
    <n v="4"/>
    <n v="0.87477811386814097"/>
    <n v="4"/>
    <n v="-1"/>
    <n v="4"/>
    <n v="0.124"/>
    <n v="0.13400000000000001"/>
    <n v="0.13200000000000001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21284999999996E-3"/>
    <n v="3.6671822623228784E-3"/>
    <n v="3.813248E-3"/>
    <n v="4.8122080000000001E-3"/>
    <n v="4.5999359999999998E-3"/>
    <n v="3.5431220000000001E-3"/>
    <m/>
    <m/>
    <m/>
    <m/>
    <m/>
    <m/>
    <m/>
    <m/>
    <m/>
    <m/>
    <m/>
    <m/>
    <m/>
    <m/>
    <m/>
    <m/>
    <m/>
  </r>
  <r>
    <x v="2"/>
    <s v="KERSP"/>
    <s v="ROT"/>
    <n v="-1"/>
    <n v="-1"/>
    <n v="-1"/>
    <n v="-1"/>
    <n v="-1"/>
    <n v="-1"/>
    <n v="-1"/>
    <n v="-1"/>
    <n v="-1"/>
    <n v="9"/>
    <n v="1.96825075620332"/>
    <n v="9"/>
    <n v="-1"/>
    <n v="9"/>
    <n v="0.124"/>
    <n v="0.10199999999999999"/>
    <n v="0.123"/>
    <n v="0.13100000000000001"/>
    <n v="0.129"/>
    <n v="0.13900000000000001"/>
    <n v="0.121"/>
    <n v="0.115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121464444444441E-3"/>
    <n v="7.5032601220355747E-3"/>
    <n v="3.813248E-3"/>
    <n v="2.1224159999999998E-3"/>
    <n v="3.721734E-3"/>
    <n v="4.4961819999999996E-3"/>
    <n v="4.2933779999999996E-3"/>
    <n v="5.3712380000000004E-3"/>
    <n v="3.5431220000000001E-3"/>
    <n v="3.0417500000000002E-3"/>
    <n v="3.90625E-3"/>
    <m/>
    <m/>
    <m/>
    <m/>
    <m/>
    <m/>
    <m/>
    <m/>
    <m/>
    <m/>
    <m/>
    <m/>
  </r>
  <r>
    <x v="2"/>
    <s v="MONCOPE"/>
    <s v="ROT"/>
    <n v="-1"/>
    <n v="-1"/>
    <n v="-1"/>
    <n v="-1"/>
    <n v="-1"/>
    <n v="-1"/>
    <n v="-1"/>
    <n v="-1"/>
    <n v="-1"/>
    <n v="2"/>
    <n v="0.43738905693406999"/>
    <n v="2"/>
    <n v="-1"/>
    <n v="2"/>
    <n v="8.1000000000000003E-2"/>
    <n v="9.1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68514000000007E-3"/>
    <n v="3.7820381792950429E-3"/>
    <n v="7.0150211999999998E-3"/>
    <n v="1.0278681600000001E-2"/>
    <m/>
    <m/>
    <m/>
    <m/>
    <m/>
    <m/>
    <m/>
    <m/>
    <m/>
    <m/>
    <m/>
    <m/>
    <m/>
    <m/>
    <m/>
    <m/>
    <m/>
    <m/>
    <m/>
  </r>
  <r>
    <x v="2"/>
    <s v="NOOSP"/>
    <s v="ROT"/>
    <n v="-1"/>
    <n v="-1"/>
    <n v="-1"/>
    <n v="-1"/>
    <n v="-1"/>
    <n v="-1"/>
    <n v="-1"/>
    <n v="-1"/>
    <n v="-1"/>
    <n v="2"/>
    <n v="0.43738905693406999"/>
    <n v="2"/>
    <n v="-1"/>
    <n v="2"/>
    <n v="0.128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873782500000001E-3"/>
    <n v="3.8435030856904585E-3"/>
    <n v="7.3400319999999998E-3"/>
    <n v="1.02347245E-2"/>
    <m/>
    <m/>
    <m/>
    <m/>
    <m/>
    <m/>
    <m/>
    <m/>
    <m/>
    <m/>
    <m/>
    <m/>
    <m/>
    <m/>
    <m/>
    <m/>
    <m/>
    <m/>
    <m/>
  </r>
  <r>
    <x v="2"/>
    <s v="NOTLAUR"/>
    <s v="ROT"/>
    <n v="-1"/>
    <n v="-1"/>
    <n v="-1"/>
    <n v="-1"/>
    <n v="-1"/>
    <n v="-1"/>
    <n v="-1"/>
    <n v="-1"/>
    <n v="-1"/>
    <n v="1"/>
    <n v="0.21869452846703499"/>
    <n v="1"/>
    <n v="-1"/>
    <n v="1"/>
    <n v="0.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0065E-2"/>
    <n v="5.2500901976438759E-3"/>
    <n v="2.40065E-2"/>
    <m/>
    <m/>
    <m/>
    <m/>
    <m/>
    <m/>
    <m/>
    <m/>
    <m/>
    <m/>
    <m/>
    <m/>
    <m/>
    <m/>
    <m/>
    <m/>
    <m/>
    <m/>
    <m/>
    <m/>
  </r>
  <r>
    <x v="2"/>
    <s v="POLDOLI"/>
    <s v="ROT"/>
    <n v="-1"/>
    <n v="-1"/>
    <n v="-1"/>
    <n v="-1"/>
    <n v="-1"/>
    <n v="-1"/>
    <n v="-1"/>
    <n v="-1"/>
    <n v="-1"/>
    <n v="3"/>
    <n v="0.65608358540110601"/>
    <n v="3"/>
    <n v="-1"/>
    <n v="3"/>
    <n v="0.11799999999999999"/>
    <n v="0.1350000000000000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1524735333333325E-2"/>
    <n v="4.6926204802358498E-2"/>
    <n v="5.0605385599999997E-2"/>
    <n v="7.5779550000000001E-2"/>
    <n v="8.8189270400000006E-2"/>
    <m/>
    <m/>
    <m/>
    <m/>
    <m/>
    <m/>
    <m/>
    <m/>
    <m/>
    <m/>
    <m/>
    <m/>
    <m/>
    <m/>
    <m/>
    <m/>
    <m/>
    <m/>
  </r>
  <r>
    <x v="2"/>
    <s v="ROTBDEL"/>
    <s v="ROT"/>
    <n v="-1"/>
    <n v="-1"/>
    <n v="-1"/>
    <n v="-1"/>
    <n v="-1"/>
    <n v="-1"/>
    <n v="-1"/>
    <n v="-1"/>
    <n v="-1"/>
    <n v="1"/>
    <n v="0.21869452846703499"/>
    <n v="1"/>
    <n v="-1"/>
    <n v="1"/>
    <n v="0.19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7623919999999999E-2"/>
    <n v="1.6975926582162848E-2"/>
    <n v="7.7623919999999999E-2"/>
    <m/>
    <m/>
    <m/>
    <m/>
    <m/>
    <m/>
    <m/>
    <m/>
    <m/>
    <m/>
    <m/>
    <m/>
    <m/>
    <m/>
    <m/>
    <m/>
    <m/>
    <m/>
    <m/>
    <m/>
  </r>
  <r>
    <x v="2"/>
    <s v="SYNSP"/>
    <s v="ROT"/>
    <n v="-1"/>
    <n v="-1"/>
    <n v="-1"/>
    <n v="-1"/>
    <n v="-1"/>
    <n v="-1"/>
    <n v="-1"/>
    <n v="-1"/>
    <n v="-1"/>
    <n v="27"/>
    <n v="5.9047522686099496"/>
    <n v="27"/>
    <n v="-1"/>
    <n v="27"/>
    <n v="0.115"/>
    <n v="0.124"/>
    <n v="0.14499999999999999"/>
    <n v="0.157"/>
    <n v="0.16400000000000001"/>
    <n v="0.151"/>
    <n v="0.158"/>
    <n v="0.19500000000000001"/>
    <n v="0.156"/>
    <n v="0.14299999999999999"/>
    <n v="0.188"/>
    <n v="0.16800000000000001"/>
    <n v="0.151"/>
    <n v="0.13700000000000001"/>
    <n v="0.13600000000000001"/>
    <n v="0.15"/>
    <n v="0.13500000000000001"/>
    <n v="0.13"/>
    <n v="0.19700000000000001"/>
    <n v="0.20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371638500000008E-2"/>
    <n v="0.23838452402037583"/>
    <n v="1.520875E-2"/>
    <n v="1.9066240000000002E-2"/>
    <n v="3.0486249999999999E-2"/>
    <n v="3.8698929999999999E-2"/>
    <n v="4.410944E-2"/>
    <n v="3.4429510000000003E-2"/>
    <n v="3.9443119999999998E-2"/>
    <n v="7.4148749999999999E-2"/>
    <n v="3.7964159999999997E-2"/>
    <n v="2.9242069999999998E-2"/>
    <n v="6.6446720000000001E-2"/>
    <n v="4.7416319999999998E-2"/>
    <n v="3.4429510000000003E-2"/>
    <n v="2.5713529999999998E-2"/>
    <n v="2.5154559999999999E-2"/>
    <n v="3.3750000000000002E-2"/>
    <n v="2.4603750000000001E-2"/>
    <n v="2.197E-2"/>
    <n v="7.6453729999999998E-2"/>
    <n v="8.8697429999999994E-2"/>
    <m/>
  </r>
  <r>
    <x v="3"/>
    <s v="BOSLONG"/>
    <s v="CLA"/>
    <n v="-1"/>
    <n v="19"/>
    <n v="-1"/>
    <n v="-1"/>
    <n v="-1"/>
    <n v="-1"/>
    <n v="-1"/>
    <n v="-1"/>
    <n v="-1"/>
    <n v="67.6875"/>
    <n v="36.233929654931998"/>
    <n v="-1"/>
    <n v="-1"/>
    <n v="-1"/>
    <n v="0.33500000000000002"/>
    <n v="0.42599999999999999"/>
    <n v="0.28999999999999998"/>
    <n v="0.40500000000000003"/>
    <n v="0.35899999999999999"/>
    <n v="0.32300000000000001"/>
    <n v="0.29299999999999998"/>
    <n v="0.29199999999999998"/>
    <n v="0.29499999999999998"/>
    <n v="0.29399999999999998"/>
    <n v="0.372"/>
    <n v="0.28299999999999997"/>
    <n v="0.315"/>
    <n v="0.32700000000000001"/>
    <n v="0.318"/>
    <n v="0.27300000000000002"/>
    <n v="0.30499999999999999"/>
    <n v="0.35"/>
    <n v="0.31900000000000001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0.90312824269041136"/>
    <n v="32.723885215026719"/>
    <n v="0.94660762129906295"/>
    <n v="1.7386530256291399"/>
    <n v="0.65716370524932799"/>
    <n v="1.5299169057386099"/>
    <n v="1.1277052176481499"/>
    <n v="0.86315544877939998"/>
    <n v="0.67449962789376405"/>
    <n v="0.66869064751763696"/>
    <n v="0.68620888241743205"/>
    <n v="0.68033902120397705"/>
    <n v="1.2339008767651101"/>
    <n v="0.61776929221737797"/>
    <n v="0.810088255700673"/>
    <n v="0.890455968354951"/>
    <n v="0.82974997592986099"/>
    <n v="0.56402471134249299"/>
    <n v="0.74659526022016598"/>
    <n v="1.0575448316324201"/>
    <n v="0.83636733557826104"/>
    <m/>
    <m/>
  </r>
  <r>
    <x v="3"/>
    <s v="DIYTHOM"/>
    <s v="COP"/>
    <n v="-1"/>
    <n v="28"/>
    <n v="26"/>
    <n v="-1"/>
    <n v="-1"/>
    <n v="-1"/>
    <n v="-1"/>
    <n v="-1"/>
    <n v="-1"/>
    <n v="192.375"/>
    <n v="102.980642177175"/>
    <n v="-1"/>
    <n v="-1"/>
    <n v="-1"/>
    <n v="1.085"/>
    <n v="1.1779999999999999"/>
    <n v="1.05"/>
    <n v="0.81599999999999995"/>
    <n v="0.92500000000000004"/>
    <n v="0.88500000000000001"/>
    <n v="0.86899999999999999"/>
    <n v="0.999"/>
    <n v="0.92400000000000004"/>
    <n v="0.90200000000000002"/>
    <n v="0.879"/>
    <n v="0.84899999999999998"/>
    <n v="0.86799999999999999"/>
    <n v="0.94899999999999995"/>
    <n v="1.0249999999999999"/>
    <n v="1.026"/>
    <n v="1.024"/>
    <n v="0.96799999999999997"/>
    <n v="1.161"/>
    <n v="0.91700000000000004"/>
    <s v="F"/>
    <s v="F"/>
    <s v="F"/>
    <s v="M"/>
    <s v="M"/>
    <s v="M"/>
    <s v="M"/>
    <s v="F"/>
    <s v="M"/>
    <s v="M"/>
    <s v="M"/>
    <s v="M"/>
    <s v="M"/>
    <s v="M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4.8598086095066559"/>
    <n v="500.46621146515935"/>
    <n v="7.2708452361726303"/>
    <n v="10.0780299125793"/>
    <n v="6.3833749834048801"/>
    <n v="2.3460581379249699"/>
    <n v="3.8593264767572899"/>
    <n v="3.2381251118301999"/>
    <n v="3.0118778351758402"/>
    <n v="5.2384623660428904"/>
    <n v="3.8427892375041601"/>
    <n v="3.4921974750831901"/>
    <n v="3.15184370960805"/>
    <n v="2.7459483887317799"/>
    <n v="2.9981416587330298"/>
    <n v="4.2724373524274499"/>
    <n v="5.8009962612558201"/>
    <n v="5.8234970826094203"/>
    <n v="5.7785605430333904"/>
    <n v="4.62225614482601"/>
    <n v="9.5128960763435408"/>
    <n v="3.72850820008926"/>
    <m/>
  </r>
  <r>
    <x v="3"/>
    <s v="HARSP"/>
    <s v="COP"/>
    <n v="-1"/>
    <n v="3"/>
    <n v="0"/>
    <n v="-1"/>
    <n v="-1"/>
    <n v="-1"/>
    <n v="-1"/>
    <n v="-1"/>
    <n v="-1"/>
    <n v="10.6875"/>
    <n v="5.7211467876208397"/>
    <n v="-1"/>
    <n v="-1"/>
    <n v="-1"/>
    <n v="0.52400000000000002"/>
    <n v="0.497"/>
    <n v="0.82599999999999996"/>
    <m/>
    <m/>
    <m/>
    <m/>
    <m/>
    <m/>
    <m/>
    <m/>
    <m/>
    <m/>
    <m/>
    <m/>
    <m/>
    <m/>
    <m/>
    <m/>
    <m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701025191432798"/>
    <n v="8.9827869836319625"/>
    <n v="0.91959427635464897"/>
    <n v="0.80184656492513995"/>
    <n v="2.9888667161500502"/>
    <m/>
    <m/>
    <m/>
    <m/>
    <m/>
    <m/>
    <m/>
    <m/>
    <m/>
    <m/>
    <m/>
    <m/>
    <m/>
    <m/>
    <m/>
    <m/>
    <m/>
    <m/>
  </r>
  <r>
    <x v="3"/>
    <s v="LEOASHL"/>
    <s v="COP"/>
    <n v="-1"/>
    <n v="2"/>
    <n v="0"/>
    <n v="-1"/>
    <n v="-1"/>
    <n v="-1"/>
    <n v="-1"/>
    <n v="-1"/>
    <n v="-1"/>
    <n v="7.125"/>
    <n v="3.81409785841389"/>
    <n v="-1"/>
    <n v="-1"/>
    <n v="-1"/>
    <n v="1.0129999999999999"/>
    <n v="0.98099999999999998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8683178761471204"/>
    <n v="18.56824078549079"/>
    <n v="5.0705689155121503"/>
    <n v="4.6660668367820897"/>
    <m/>
    <m/>
    <m/>
    <m/>
    <m/>
    <m/>
    <m/>
    <m/>
    <m/>
    <m/>
    <m/>
    <m/>
    <m/>
    <m/>
    <m/>
    <m/>
    <m/>
    <m/>
    <m/>
  </r>
  <r>
    <x v="3"/>
    <s v="LEOMINU"/>
    <s v="COP"/>
    <n v="-1"/>
    <n v="0"/>
    <n v="1"/>
    <n v="-1"/>
    <n v="-1"/>
    <n v="-1"/>
    <n v="-1"/>
    <n v="-1"/>
    <n v="-1"/>
    <n v="3.5625"/>
    <n v="1.9070489292069499"/>
    <n v="-1"/>
    <n v="-1"/>
    <n v="-1"/>
    <n v="0.9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776241691879799"/>
    <n v="7.9669336984790107"/>
    <n v="4.1776241691879799"/>
    <m/>
    <m/>
    <m/>
    <m/>
    <m/>
    <m/>
    <m/>
    <m/>
    <m/>
    <m/>
    <m/>
    <m/>
    <m/>
    <m/>
    <m/>
    <m/>
    <m/>
    <m/>
    <m/>
    <m/>
  </r>
  <r>
    <x v="3"/>
    <s v="LIMMACR"/>
    <s v="COP"/>
    <n v="-1"/>
    <n v="0"/>
    <n v="1"/>
    <n v="-1"/>
    <n v="-1"/>
    <n v="-1"/>
    <n v="-1"/>
    <n v="-1"/>
    <n v="-1"/>
    <n v="3.5625"/>
    <n v="1.9070489292069499"/>
    <n v="-1"/>
    <n v="-1"/>
    <n v="-1"/>
    <n v="2.395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.090089644347898"/>
    <n v="89.803105032512946"/>
    <n v="47.090089644347898"/>
    <m/>
    <m/>
    <m/>
    <m/>
    <m/>
    <m/>
    <m/>
    <m/>
    <m/>
    <m/>
    <m/>
    <m/>
    <m/>
    <m/>
    <m/>
    <m/>
    <m/>
    <m/>
    <m/>
    <m/>
  </r>
  <r>
    <x v="3"/>
    <s v="SKIOREG"/>
    <s v="COP"/>
    <n v="-1"/>
    <n v="4"/>
    <n v="13"/>
    <n v="-1"/>
    <n v="-1"/>
    <n v="-1"/>
    <n v="-1"/>
    <n v="-1"/>
    <n v="-1"/>
    <n v="60.5625"/>
    <n v="32.419831796518103"/>
    <n v="-1"/>
    <n v="-1"/>
    <n v="-1"/>
    <n v="1.147"/>
    <n v="1.3280000000000001"/>
    <n v="1.093"/>
    <n v="1.375"/>
    <n v="1.1200000000000001"/>
    <n v="1.284"/>
    <n v="1.1950000000000001"/>
    <n v="1.306"/>
    <n v="1.087"/>
    <n v="1.196"/>
    <n v="1.1120000000000001"/>
    <n v="1.099"/>
    <n v="1.2030000000000001"/>
    <n v="1.208"/>
    <n v="1.222"/>
    <n v="1.224"/>
    <m/>
    <m/>
    <m/>
    <m/>
    <s v="M"/>
    <s v="F"/>
    <s v="M"/>
    <s v="F"/>
    <s v="M"/>
    <s v="F"/>
    <s v="M"/>
    <s v="F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n v="7.9455737121369889"/>
    <n v="257.59416327431711"/>
    <n v="6.9951571981901397"/>
    <n v="10.2237739968404"/>
    <n v="6.1738268571266701"/>
    <n v="11.187478519976199"/>
    <n v="6.5766223636186298"/>
    <n v="9.3693969230428191"/>
    <n v="7.7787730503521404"/>
    <n v="9.7908648218886505"/>
    <n v="6.08643159550539"/>
    <n v="7.7956437011095696"/>
    <n v="6.4556447763001898"/>
    <n v="6.2619882677621801"/>
    <n v="7.9143672881413698"/>
    <n v="7.99984524995961"/>
    <n v="8.2421905277714806"/>
    <n v="8.2771742566063899"/>
    <m/>
    <m/>
    <m/>
    <m/>
    <m/>
  </r>
  <r>
    <x v="3"/>
    <s v="CYCCOPE"/>
    <s v="IMM"/>
    <n v="-1"/>
    <n v="110"/>
    <n v="-1"/>
    <n v="-1"/>
    <n v="-1"/>
    <n v="-1"/>
    <n v="-1"/>
    <n v="-1"/>
    <n v="-1"/>
    <n v="391.875"/>
    <n v="209.77538221276399"/>
    <n v="-1"/>
    <n v="-1"/>
    <n v="-1"/>
    <n v="0.749"/>
    <n v="0.65700000000000003"/>
    <n v="0.42099999999999999"/>
    <n v="0.49399999999999999"/>
    <n v="0.56699999999999995"/>
    <n v="0.42799999999999999"/>
    <n v="0.65200000000000002"/>
    <n v="0.56499999999999995"/>
    <n v="0.61"/>
    <n v="0.47099999999999997"/>
    <n v="0.45100000000000001"/>
    <n v="0.40799999999999997"/>
    <n v="0.64600000000000002"/>
    <n v="0.40200000000000002"/>
    <n v="0.72299999999999998"/>
    <n v="0.38500000000000001"/>
    <n v="0.41099999999999998"/>
    <n v="0.40400000000000003"/>
    <n v="0.42299999999999999"/>
    <n v="0.633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53679094143960304"/>
    <n v="112.60552490884214"/>
    <n v="1.66963544635729"/>
    <n v="0.99234653389490202"/>
    <n v="0.16956208978183299"/>
    <n v="0.319907798522447"/>
    <n v="0.55290890390602798"/>
    <n v="0.18103418989640399"/>
    <n v="0.96270182478797295"/>
    <n v="0.54520669196328497"/>
    <n v="0.73907461352366499"/>
    <n v="0.26474138787200902"/>
    <n v="0.222848497963999"/>
    <n v="0.14970961290221499"/>
    <n v="0.928008462149291"/>
    <n v="0.14115825166425999"/>
    <n v="1.4511352112182201"/>
    <n v="0.11890714073594"/>
    <n v="0.154127762174181"/>
    <n v="0.143966968367888"/>
    <n v="0.172782637214144"/>
    <n v="0.85605480389608601"/>
    <m/>
  </r>
  <r>
    <x v="3"/>
    <s v="DIACOPE"/>
    <s v="IMM"/>
    <n v="-1"/>
    <n v="1"/>
    <n v="-1"/>
    <n v="-1"/>
    <n v="-1"/>
    <n v="-1"/>
    <n v="-1"/>
    <n v="-1"/>
    <n v="-1"/>
    <n v="3.5625"/>
    <n v="1.9070489292069499"/>
    <n v="-1"/>
    <n v="-1"/>
    <n v="-1"/>
    <n v="0.42299999999999999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2814087147043098"/>
    <n v="1.0071904834081107"/>
    <n v="0.52814087147043098"/>
    <m/>
    <m/>
    <m/>
    <m/>
    <m/>
    <m/>
    <m/>
    <m/>
    <m/>
    <m/>
    <m/>
    <m/>
    <m/>
    <m/>
    <m/>
    <m/>
    <m/>
    <m/>
    <m/>
    <m/>
  </r>
  <r>
    <x v="3"/>
    <s v="HARCOPE"/>
    <s v="IMM"/>
    <n v="-1"/>
    <n v="1"/>
    <n v="-1"/>
    <n v="-1"/>
    <n v="-1"/>
    <n v="-1"/>
    <n v="-1"/>
    <n v="-1"/>
    <n v="-1"/>
    <n v="3.5625"/>
    <n v="1.9070489292069499"/>
    <n v="-1"/>
    <n v="-1"/>
    <n v="-1"/>
    <n v="0.38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00099253854658"/>
    <n v="0.76300885364002513"/>
    <n v="0.400099253854658"/>
    <m/>
    <m/>
    <m/>
    <m/>
    <m/>
    <m/>
    <m/>
    <m/>
    <m/>
    <m/>
    <m/>
    <m/>
    <m/>
    <m/>
    <m/>
    <m/>
    <m/>
    <m/>
    <m/>
    <m/>
  </r>
  <r>
    <x v="3"/>
    <s v="DREPOLYV"/>
    <s v="MOL"/>
    <n v="-1"/>
    <n v="-1"/>
    <n v="-1"/>
    <n v="-1"/>
    <n v="-1"/>
    <n v="-1"/>
    <n v="-1"/>
    <n v="-1"/>
    <n v="-1"/>
    <n v="62.5"/>
    <n v="33.456998758016603"/>
    <n v="2"/>
    <n v="-1"/>
    <n v="2"/>
    <n v="8.5000000000000006E-2"/>
    <n v="7.0000000000000007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7877283967159417E-2"/>
    <n v="3.2746801681272908"/>
    <n v="0.11065041586454837"/>
    <n v="8.5104152069770483E-2"/>
    <s v=""/>
    <s v=""/>
    <s v=""/>
    <s v=""/>
    <s v=""/>
    <s v=""/>
    <s v=""/>
    <s v=""/>
    <s v=""/>
    <s v=""/>
    <s v=""/>
    <s v=""/>
    <s v=""/>
    <s v=""/>
    <s v=""/>
    <s v=""/>
    <s v=""/>
    <s v=""/>
    <m/>
  </r>
  <r>
    <x v="3"/>
    <s v="COPNAUP"/>
    <s v="NAU"/>
    <n v="-1"/>
    <n v="-1"/>
    <n v="-1"/>
    <n v="-1"/>
    <n v="-1"/>
    <n v="-1"/>
    <n v="-1"/>
    <n v="-1"/>
    <n v="-1"/>
    <n v="17625"/>
    <n v="9434.8736497606806"/>
    <n v="564"/>
    <n v="-1"/>
    <n v="564"/>
    <n v="0.106"/>
    <n v="0.153"/>
    <n v="0.12"/>
    <n v="0.114"/>
    <n v="0.11"/>
    <n v="0.113"/>
    <n v="0.10199999999999999"/>
    <n v="0.13"/>
    <n v="0.14099999999999999"/>
    <n v="0.152"/>
    <n v="0.122"/>
    <n v="0.112"/>
    <n v="0.112"/>
    <n v="0.185"/>
    <n v="0.11"/>
    <n v="0.14299999999999999"/>
    <n v="0.123"/>
    <n v="0.113"/>
    <n v="0.13100000000000001"/>
    <n v="0.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233155235208645E-2"/>
    <n v="539.98758822133254"/>
    <n v="3.2278340588934862E-2"/>
    <n v="7.7881903430931224E-2"/>
    <n v="4.3472249504692119E-2"/>
    <n v="3.84369365105749E-2"/>
    <n v="3.5279268165910829E-2"/>
    <n v="3.7632700791829184E-2"/>
    <n v="2.9431848234424133E-2"/>
    <n v="5.2679442313682365E-2"/>
    <n v="6.4018131398123818E-2"/>
    <n v="7.666581101018384E-2"/>
    <n v="4.5231471504872452E-2"/>
    <n v="3.6838367624309649E-2"/>
    <n v="3.6838367624309649E-2"/>
    <n v="0.12285399154068005"/>
    <n v="3.5279268165910829E-2"/>
    <n v="6.6219151722577044E-2"/>
    <n v="4.6126381923769305E-2"/>
    <n v="3.7632700791829184E-2"/>
    <n v="5.3657228001919549E-2"/>
    <n v="0.17620954385470775"/>
    <m/>
  </r>
  <r>
    <x v="3"/>
    <s v="COOUNIC"/>
    <s v="ROT"/>
    <n v="-1"/>
    <n v="-1"/>
    <n v="-1"/>
    <n v="-1"/>
    <n v="-1"/>
    <n v="-1"/>
    <n v="-1"/>
    <n v="-1"/>
    <n v="-1"/>
    <n v="31.25"/>
    <n v="16.728499379008301"/>
    <n v="1"/>
    <n v="-1"/>
    <n v="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2999999999999995E-2"/>
    <m/>
    <m/>
    <m/>
    <m/>
    <m/>
    <m/>
    <m/>
    <m/>
    <m/>
    <m/>
    <m/>
    <m/>
    <m/>
    <m/>
    <m/>
    <m/>
    <m/>
    <m/>
    <m/>
    <n v="1.7457804E-2"/>
    <n v="0.29204286337284863"/>
    <n v="1.7457804E-2"/>
    <m/>
    <m/>
    <m/>
    <m/>
    <m/>
    <m/>
    <m/>
    <m/>
    <m/>
    <m/>
    <m/>
    <m/>
    <m/>
    <m/>
    <m/>
    <m/>
    <m/>
    <m/>
    <m/>
    <m/>
  </r>
  <r>
    <x v="3"/>
    <s v="COUSP"/>
    <s v="ROT"/>
    <n v="-1"/>
    <n v="-1"/>
    <n v="-1"/>
    <n v="-1"/>
    <n v="-1"/>
    <n v="-1"/>
    <n v="-1"/>
    <n v="-1"/>
    <n v="-1"/>
    <n v="31.25"/>
    <n v="16.728499379008301"/>
    <n v="1"/>
    <n v="-1"/>
    <n v="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862951500000001E-2"/>
    <n v="0.21517787617996392"/>
    <n v="1.2862951500000001E-2"/>
    <m/>
    <m/>
    <m/>
    <m/>
    <m/>
    <m/>
    <m/>
    <m/>
    <m/>
    <m/>
    <m/>
    <m/>
    <m/>
    <m/>
    <m/>
    <m/>
    <m/>
    <m/>
    <m/>
    <m/>
  </r>
  <r>
    <x v="3"/>
    <s v="KELLONG"/>
    <s v="ROT"/>
    <n v="-1"/>
    <n v="-1"/>
    <n v="-1"/>
    <n v="-1"/>
    <n v="-1"/>
    <n v="-1"/>
    <n v="-1"/>
    <n v="-1"/>
    <n v="-1"/>
    <n v="250"/>
    <n v="133.82799503206601"/>
    <n v="8"/>
    <n v="-1"/>
    <n v="8"/>
    <n v="0.123"/>
    <n v="0.121"/>
    <n v="0.11899999999999999"/>
    <n v="0.124"/>
    <n v="0.13500000000000001"/>
    <n v="0.128"/>
    <n v="0.127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428110412500008E-3"/>
    <n v="0.83546288501453192"/>
    <n v="5.6663400150000001E-3"/>
    <n v="5.3944032450000002E-3"/>
    <n v="5.1313091550000004E-3"/>
    <n v="5.8056700800000003E-3"/>
    <n v="7.4918418750000004E-3"/>
    <n v="6.3858278400000003E-3"/>
    <n v="6.237326235E-3"/>
    <n v="7.8297698850000007E-3"/>
    <m/>
    <m/>
    <m/>
    <m/>
    <m/>
    <m/>
    <m/>
    <m/>
    <m/>
    <m/>
    <m/>
    <m/>
    <m/>
  </r>
  <r>
    <x v="3"/>
    <s v="KERCOCH"/>
    <s v="ROT"/>
    <n v="-1"/>
    <n v="-1"/>
    <n v="-1"/>
    <n v="-1"/>
    <n v="-1"/>
    <n v="-1"/>
    <n v="-1"/>
    <n v="-1"/>
    <n v="-1"/>
    <n v="187.5"/>
    <n v="100.37099627405"/>
    <n v="6"/>
    <n v="-1"/>
    <n v="6"/>
    <n v="0.124"/>
    <n v="9.8000000000000004E-2"/>
    <n v="0.123"/>
    <n v="0.104"/>
    <n v="0.104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642903333333333E-3"/>
    <n v="0.26527084062267431"/>
    <n v="3.813248E-3"/>
    <n v="1.882384E-3"/>
    <n v="3.721734E-3"/>
    <n v="2.2497279999999999E-3"/>
    <n v="2.2497279999999999E-3"/>
    <n v="1.940598E-3"/>
    <m/>
    <m/>
    <m/>
    <m/>
    <m/>
    <m/>
    <m/>
    <m/>
    <m/>
    <m/>
    <m/>
    <m/>
    <m/>
    <m/>
    <m/>
  </r>
  <r>
    <x v="3"/>
    <s v="KERCRAS"/>
    <s v="ROT"/>
    <n v="-1"/>
    <n v="-1"/>
    <n v="-1"/>
    <n v="-1"/>
    <n v="-1"/>
    <n v="-1"/>
    <n v="-1"/>
    <n v="-1"/>
    <n v="-1"/>
    <n v="62.5"/>
    <n v="33.456998758016603"/>
    <n v="2"/>
    <n v="-1"/>
    <n v="2"/>
    <n v="0.122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689730000000001E-3"/>
    <n v="0.1260985249799981"/>
    <n v="3.6316959999999998E-3"/>
    <n v="3.90625E-3"/>
    <m/>
    <m/>
    <m/>
    <m/>
    <m/>
    <m/>
    <m/>
    <m/>
    <m/>
    <m/>
    <m/>
    <m/>
    <m/>
    <m/>
    <m/>
    <m/>
    <m/>
    <m/>
    <m/>
  </r>
  <r>
    <x v="3"/>
    <s v="KERQUAD"/>
    <s v="ROT"/>
    <n v="-1"/>
    <n v="-1"/>
    <n v="-1"/>
    <n v="-1"/>
    <n v="-1"/>
    <n v="-1"/>
    <n v="-1"/>
    <n v="-1"/>
    <n v="-1"/>
    <n v="31.25"/>
    <n v="16.728499379008301"/>
    <n v="1"/>
    <n v="-1"/>
    <n v="1"/>
    <n v="0.1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021512499999994E-2"/>
    <n v="1.4390108184376047"/>
    <n v="8.6021512499999994E-2"/>
    <m/>
    <m/>
    <m/>
    <m/>
    <m/>
    <m/>
    <m/>
    <m/>
    <m/>
    <m/>
    <m/>
    <m/>
    <m/>
    <m/>
    <m/>
    <m/>
    <m/>
    <m/>
    <m/>
    <m/>
  </r>
  <r>
    <x v="3"/>
    <s v="NOOSP"/>
    <s v="ROT"/>
    <n v="-1"/>
    <n v="-1"/>
    <n v="-1"/>
    <n v="-1"/>
    <n v="-1"/>
    <n v="-1"/>
    <n v="-1"/>
    <n v="-1"/>
    <n v="-1"/>
    <n v="187.5"/>
    <n v="100.37099627405"/>
    <n v="6"/>
    <n v="-1"/>
    <n v="6"/>
    <n v="0.38700000000000001"/>
    <n v="0.19800000000000001"/>
    <n v="0.20599999999999999"/>
    <n v="0.189"/>
    <n v="0.17899999999999999"/>
    <n v="0.1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296611833333341E-2"/>
    <n v="5.4498050240170404"/>
    <n v="0.2028621105"/>
    <n v="2.7168372E-2"/>
    <n v="3.0596356000000002E-2"/>
    <n v="2.3629441500000001E-2"/>
    <n v="2.00736865E-2"/>
    <n v="2.14497045E-2"/>
    <m/>
    <m/>
    <m/>
    <m/>
    <m/>
    <m/>
    <m/>
    <m/>
    <m/>
    <m/>
    <m/>
    <m/>
    <m/>
    <m/>
    <m/>
  </r>
  <r>
    <x v="3"/>
    <s v="NOTACUM"/>
    <s v="ROT"/>
    <n v="-1"/>
    <n v="-1"/>
    <n v="-1"/>
    <n v="-1"/>
    <n v="-1"/>
    <n v="-1"/>
    <n v="-1"/>
    <n v="-1"/>
    <n v="-1"/>
    <n v="218.75"/>
    <n v="117.099495653058"/>
    <n v="7"/>
    <n v="-1"/>
    <n v="7"/>
    <n v="0.25900000000000001"/>
    <n v="0.249"/>
    <n v="0.219"/>
    <n v="0.20300000000000001"/>
    <n v="0.20699999999999999"/>
    <n v="0.23100000000000001"/>
    <n v="0.2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065119999999999E-2"/>
    <n v="5.160003327891479"/>
    <n v="6.0808926499999999E-2"/>
    <n v="5.4033871499999997E-2"/>
    <n v="3.6762106500000002E-2"/>
    <n v="2.9278994499999999E-2"/>
    <n v="3.1044100500000001E-2"/>
    <n v="4.31423685E-2"/>
    <n v="5.3385472000000003E-2"/>
    <m/>
    <m/>
    <m/>
    <m/>
    <m/>
    <m/>
    <m/>
    <m/>
    <m/>
    <m/>
    <m/>
    <m/>
    <m/>
    <m/>
  </r>
  <r>
    <x v="3"/>
    <s v="NOTLAUR"/>
    <s v="ROT"/>
    <n v="-1"/>
    <n v="-1"/>
    <n v="-1"/>
    <n v="-1"/>
    <n v="-1"/>
    <n v="-1"/>
    <n v="-1"/>
    <n v="-1"/>
    <n v="-1"/>
    <n v="2000"/>
    <n v="1070.6239602565299"/>
    <n v="64"/>
    <n v="-1"/>
    <n v="64"/>
    <n v="0.221"/>
    <n v="0.217"/>
    <n v="0.23100000000000001"/>
    <n v="0.24399999999999999"/>
    <n v="0.224"/>
    <n v="0.23300000000000001"/>
    <n v="0.215"/>
    <n v="0.28999999999999998"/>
    <n v="0.20599999999999999"/>
    <n v="0.247"/>
    <n v="0.23"/>
    <n v="0.224"/>
    <n v="0.215"/>
    <n v="0.22500000000000001"/>
    <n v="0.26700000000000002"/>
    <n v="0.24199999999999999"/>
    <n v="0.23200000000000001"/>
    <n v="0.20499999999999999"/>
    <n v="0.21199999999999999"/>
    <n v="0.2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45012475000003E-2"/>
    <n v="47.048583289507114"/>
    <n v="3.7778513499999999E-2"/>
    <n v="3.5764095500000002E-2"/>
    <n v="4.31423685E-2"/>
    <n v="5.0843744000000003E-2"/>
    <n v="3.9337983999999999E-2"/>
    <n v="4.4272679500000002E-2"/>
    <n v="3.4784312499999998E-2"/>
    <n v="8.5361500000000007E-2"/>
    <n v="3.0596356000000002E-2"/>
    <n v="5.2742280500000002E-2"/>
    <n v="4.2584499999999997E-2"/>
    <n v="3.9337983999999999E-2"/>
    <n v="3.4784312499999998E-2"/>
    <n v="3.9867187499999998E-2"/>
    <n v="6.6619570500000003E-2"/>
    <n v="4.9603708000000003E-2"/>
    <n v="4.3705088000000003E-2"/>
    <n v="3.0152937500000001E-2"/>
    <n v="3.3348448000000003E-2"/>
    <n v="4.4272679500000002E-2"/>
    <m/>
  </r>
  <r>
    <x v="3"/>
    <s v="NOTSQUA"/>
    <s v="ROT"/>
    <n v="-1"/>
    <n v="-1"/>
    <n v="-1"/>
    <n v="-1"/>
    <n v="-1"/>
    <n v="-1"/>
    <n v="-1"/>
    <n v="-1"/>
    <n v="-1"/>
    <n v="31.25"/>
    <n v="16.728499379008301"/>
    <n v="1"/>
    <n v="-1"/>
    <n v="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021508E-2"/>
    <n v="0.16764479035472674"/>
    <n v="1.0021508E-2"/>
    <m/>
    <m/>
    <m/>
    <m/>
    <m/>
    <m/>
    <m/>
    <m/>
    <m/>
    <m/>
    <m/>
    <m/>
    <m/>
    <m/>
    <m/>
    <m/>
    <m/>
    <m/>
    <m/>
    <m/>
  </r>
  <r>
    <x v="3"/>
    <s v="POLDOLI"/>
    <s v="ROT"/>
    <n v="-1"/>
    <n v="-1"/>
    <n v="-1"/>
    <n v="-1"/>
    <n v="-1"/>
    <n v="-1"/>
    <n v="-1"/>
    <n v="-1"/>
    <n v="-1"/>
    <n v="250"/>
    <n v="133.82799503206601"/>
    <n v="8"/>
    <n v="-1"/>
    <n v="8"/>
    <n v="0.11600000000000001"/>
    <n v="0.14299999999999999"/>
    <n v="0.14899999999999999"/>
    <n v="0.121"/>
    <n v="0.121"/>
    <n v="0.13800000000000001"/>
    <n v="0.115"/>
    <n v="0.1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090159600000006E-2"/>
    <n v="9.2461975357134492"/>
    <n v="4.8075596800000002E-2"/>
    <n v="9.0065575600000003E-2"/>
    <n v="0.1018848292"/>
    <n v="5.4564078799999999E-2"/>
    <n v="5.4564078799999999E-2"/>
    <n v="8.0944617600000004E-2"/>
    <n v="4.6842950000000001E-2"/>
    <n v="7.5779550000000001E-2"/>
    <m/>
    <m/>
    <m/>
    <m/>
    <m/>
    <m/>
    <m/>
    <m/>
    <m/>
    <m/>
    <m/>
    <m/>
    <m/>
  </r>
  <r>
    <x v="3"/>
    <s v="POLREMA"/>
    <s v="ROT"/>
    <n v="-1"/>
    <n v="-1"/>
    <n v="-1"/>
    <n v="-1"/>
    <n v="-1"/>
    <n v="-1"/>
    <n v="-1"/>
    <n v="-1"/>
    <n v="-1"/>
    <n v="31.25"/>
    <n v="16.728499379008301"/>
    <n v="1"/>
    <n v="-1"/>
    <n v="1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842950000000001E-2"/>
    <n v="0.78361225998591688"/>
    <n v="4.6842950000000001E-2"/>
    <m/>
    <m/>
    <m/>
    <m/>
    <m/>
    <m/>
    <m/>
    <m/>
    <m/>
    <m/>
    <m/>
    <m/>
    <m/>
    <m/>
    <m/>
    <m/>
    <m/>
    <m/>
    <m/>
    <m/>
  </r>
  <r>
    <x v="3"/>
    <s v="POLSP"/>
    <s v="ROT"/>
    <n v="-1"/>
    <n v="-1"/>
    <n v="-1"/>
    <n v="-1"/>
    <n v="-1"/>
    <n v="-1"/>
    <n v="-1"/>
    <n v="-1"/>
    <n v="-1"/>
    <n v="31.25"/>
    <n v="16.728499379008301"/>
    <n v="1"/>
    <n v="-1"/>
    <n v="1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1230348E-2"/>
    <n v="0.70465516149374507"/>
    <n v="4.21230348E-2"/>
    <m/>
    <m/>
    <m/>
    <m/>
    <m/>
    <m/>
    <m/>
    <m/>
    <m/>
    <m/>
    <m/>
    <m/>
    <m/>
    <m/>
    <m/>
    <m/>
    <m/>
    <m/>
    <m/>
    <m/>
  </r>
  <r>
    <x v="3"/>
    <s v="ROTBDEL"/>
    <s v="ROT"/>
    <n v="-1"/>
    <n v="-1"/>
    <n v="-1"/>
    <n v="-1"/>
    <n v="-1"/>
    <n v="-1"/>
    <n v="-1"/>
    <n v="-1"/>
    <n v="-1"/>
    <n v="31.25"/>
    <n v="16.728499379008301"/>
    <n v="1"/>
    <n v="-1"/>
    <n v="1"/>
    <n v="0.21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635970000000002E-2"/>
    <n v="1.6165747641348649"/>
    <n v="9.6635970000000002E-2"/>
    <m/>
    <m/>
    <m/>
    <m/>
    <m/>
    <m/>
    <m/>
    <m/>
    <m/>
    <m/>
    <m/>
    <m/>
    <m/>
    <m/>
    <m/>
    <m/>
    <m/>
    <m/>
    <m/>
    <m/>
  </r>
  <r>
    <x v="3"/>
    <s v="SYNSP"/>
    <s v="ROT"/>
    <n v="-1"/>
    <n v="-1"/>
    <n v="-1"/>
    <n v="-1"/>
    <n v="-1"/>
    <n v="-1"/>
    <n v="-1"/>
    <n v="-1"/>
    <n v="-1"/>
    <n v="2406.25"/>
    <n v="1288.09445218364"/>
    <n v="77"/>
    <n v="-1"/>
    <n v="77"/>
    <n v="0.13700000000000001"/>
    <n v="0.13500000000000001"/>
    <n v="0.16300000000000001"/>
    <n v="0.16"/>
    <n v="0.127"/>
    <n v="0.126"/>
    <n v="0.219"/>
    <n v="0.185"/>
    <n v="0.161"/>
    <n v="0.13700000000000001"/>
    <n v="0.125"/>
    <n v="0.20599999999999999"/>
    <n v="0.191"/>
    <n v="0.18099999999999999"/>
    <n v="0.218"/>
    <n v="0.219"/>
    <n v="0.14599999999999999"/>
    <n v="0.13800000000000001"/>
    <n v="0.13700000000000001"/>
    <n v="0.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42130500000004E-2"/>
    <n v="64.458990672499723"/>
    <n v="2.5713529999999998E-2"/>
    <n v="2.4603750000000001E-2"/>
    <n v="4.3307470000000001E-2"/>
    <n v="4.0960000000000003E-2"/>
    <n v="2.0483830000000001E-2"/>
    <n v="2.0003759999999999E-2"/>
    <n v="0.10503459"/>
    <n v="6.3316250000000004E-2"/>
    <n v="4.1732810000000002E-2"/>
    <n v="2.5713529999999998E-2"/>
    <n v="1.953125E-2"/>
    <n v="8.7418159999999995E-2"/>
    <n v="6.9678710000000005E-2"/>
    <n v="5.9297410000000002E-2"/>
    <n v="0.10360232"/>
    <n v="0.10503459"/>
    <n v="3.1121360000000001E-2"/>
    <n v="2.628072E-2"/>
    <n v="2.5713529999999998E-2"/>
    <n v="6.2295040000000003E-2"/>
    <m/>
  </r>
  <r>
    <x v="4"/>
    <s v="BOSLONG"/>
    <s v="CLA"/>
    <n v="-1"/>
    <n v="1"/>
    <n v="-1"/>
    <n v="-1"/>
    <n v="-1"/>
    <n v="-1"/>
    <n v="-1"/>
    <n v="-1"/>
    <n v="-1"/>
    <n v="64.5"/>
    <n v="7.5353443717403898"/>
    <n v="-1"/>
    <n v="-1"/>
    <n v="-1"/>
    <n v="0.3059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75280387152912998"/>
    <n v="5.6726364163514047"/>
    <n v="0.75280387152912998"/>
    <m/>
    <m/>
    <m/>
    <m/>
    <m/>
    <m/>
    <m/>
    <m/>
    <m/>
    <m/>
    <m/>
    <m/>
    <m/>
    <m/>
    <m/>
    <m/>
    <m/>
    <m/>
    <m/>
    <m/>
  </r>
  <r>
    <x v="4"/>
    <s v="DIYTHOM"/>
    <s v="COP"/>
    <n v="-1"/>
    <n v="1"/>
    <n v="18"/>
    <n v="-1"/>
    <n v="-1"/>
    <n v="-1"/>
    <n v="-1"/>
    <n v="-1"/>
    <n v="-1"/>
    <n v="1225.5"/>
    <n v="143.17154306306699"/>
    <n v="-1"/>
    <n v="-1"/>
    <n v="-1"/>
    <n v="0.96499999999999997"/>
    <n v="0.88"/>
    <n v="0.83599999999999997"/>
    <n v="0.82499999999999996"/>
    <n v="0.83199999999999996"/>
    <n v="0.85"/>
    <n v="0.80400000000000005"/>
    <n v="0.81799999999999995"/>
    <n v="0.82399999999999995"/>
    <n v="0.78600000000000003"/>
    <n v="0.94"/>
    <n v="0.83"/>
    <n v="0.78100000000000003"/>
    <n v="0.80200000000000005"/>
    <n v="0.77100000000000002"/>
    <n v="0.76800000000000002"/>
    <n v="0.79100000000000004"/>
    <n v="0.81299999999999994"/>
    <n v="0.82599999999999996"/>
    <m/>
    <s v="M"/>
    <s v="M"/>
    <s v="M"/>
    <s v="M"/>
    <s v="M"/>
    <s v="M"/>
    <s v="M"/>
    <s v="M"/>
    <s v="M"/>
    <s v="M"/>
    <s v="F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n v="2.5499911329353937"/>
    <n v="365.0861652994987"/>
    <n v="4.5656464073515997"/>
    <n v="3.1661030665237901"/>
    <n v="2.5827820615271002"/>
    <n v="2.4504791728531501"/>
    <n v="2.5340690539667698"/>
    <n v="2.7588111657657999"/>
    <n v="2.2120521096297501"/>
    <n v="2.3689694248816302"/>
    <n v="2.4387083787608899"/>
    <n v="2.0218845224020998"/>
    <n v="4.1138307371007699"/>
    <n v="2.5099719419613802"/>
    <n v="1.97130327968347"/>
    <n v="2.1902872851766801"/>
    <n v="1.87298681791993"/>
    <n v="1.8442206623744499"/>
    <n v="2.07343048453611"/>
    <n v="2.31200253519168"/>
    <n v="2.4622924181654402"/>
    <m/>
    <m/>
  </r>
  <r>
    <x v="4"/>
    <s v="LEOMINU"/>
    <s v="COP"/>
    <n v="-1"/>
    <n v="5"/>
    <n v="6"/>
    <n v="-1"/>
    <n v="-1"/>
    <n v="-1"/>
    <n v="-1"/>
    <n v="-1"/>
    <n v="-1"/>
    <n v="709.5"/>
    <n v="82.888788089144199"/>
    <n v="-1"/>
    <n v="-1"/>
    <n v="-1"/>
    <n v="0.91200000000000003"/>
    <n v="0.96399999999999997"/>
    <n v="0.997"/>
    <n v="1.006"/>
    <n v="1.0569999999999999"/>
    <n v="0.97299999999999998"/>
    <n v="1.038"/>
    <n v="0.96"/>
    <n v="0.98099999999999998"/>
    <n v="0.98499999999999999"/>
    <n v="1.008"/>
    <m/>
    <m/>
    <m/>
    <m/>
    <m/>
    <m/>
    <m/>
    <m/>
    <m/>
    <s v="M"/>
    <s v="M"/>
    <s v="M"/>
    <s v="F"/>
    <s v="F"/>
    <s v="M"/>
    <s v="F"/>
    <s v="M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n v="4.7816254460802972"/>
    <n v="396.34313832180936"/>
    <n v="3.86291238060014"/>
    <n v="4.4595161806715797"/>
    <n v="4.8657376190996899"/>
    <n v="4.98031710964508"/>
    <n v="5.6608603776044504"/>
    <n v="4.5681513309562298"/>
    <n v="5.4010646010744896"/>
    <n v="4.4117482267033301"/>
    <n v="4.6660668367820897"/>
    <n v="4.7155034096386297"/>
    <n v="5.0060018341075603"/>
    <m/>
    <m/>
    <m/>
    <m/>
    <m/>
    <m/>
    <m/>
    <m/>
    <m/>
    <m/>
  </r>
  <r>
    <x v="4"/>
    <s v="LEOSICI"/>
    <s v="COP"/>
    <n v="-1"/>
    <n v="0"/>
    <n v="3"/>
    <n v="-1"/>
    <n v="-1"/>
    <n v="-1"/>
    <n v="-1"/>
    <n v="-1"/>
    <n v="-1"/>
    <n v="193.5"/>
    <n v="22.606033115221202"/>
    <n v="-1"/>
    <n v="-1"/>
    <n v="-1"/>
    <n v="1.2989999999999999"/>
    <n v="1.2909999999999999"/>
    <n v="1.3380000000000001"/>
    <m/>
    <m/>
    <m/>
    <m/>
    <m/>
    <m/>
    <m/>
    <m/>
    <m/>
    <m/>
    <m/>
    <m/>
    <m/>
    <m/>
    <m/>
    <m/>
    <m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860718603338487"/>
    <n v="222.9117312869476"/>
    <n v="9.6555257747589707"/>
    <n v="9.5022662209244899"/>
    <n v="10.424363814332001"/>
    <m/>
    <m/>
    <m/>
    <m/>
    <m/>
    <m/>
    <m/>
    <m/>
    <m/>
    <m/>
    <m/>
    <m/>
    <m/>
    <m/>
    <m/>
    <m/>
    <m/>
    <m/>
  </r>
  <r>
    <x v="4"/>
    <s v="SKIOREG"/>
    <s v="COP"/>
    <n v="-1"/>
    <n v="1"/>
    <n v="1"/>
    <n v="-1"/>
    <n v="-1"/>
    <n v="-1"/>
    <n v="-1"/>
    <n v="-1"/>
    <n v="-1"/>
    <n v="129"/>
    <n v="15.070688743480799"/>
    <n v="-1"/>
    <n v="-1"/>
    <n v="-1"/>
    <n v="1.288"/>
    <n v="1.2350000000000001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581977249855544"/>
    <n v="135.0062096158151"/>
    <n v="9.4451815794461194"/>
    <n v="8.4712138705249895"/>
    <m/>
    <m/>
    <m/>
    <m/>
    <m/>
    <m/>
    <m/>
    <m/>
    <m/>
    <m/>
    <m/>
    <m/>
    <m/>
    <m/>
    <m/>
    <m/>
    <m/>
    <m/>
    <m/>
  </r>
  <r>
    <x v="4"/>
    <s v="CYCCOPE"/>
    <s v="IMM"/>
    <n v="-1"/>
    <n v="158"/>
    <n v="-1"/>
    <n v="-1"/>
    <n v="-1"/>
    <n v="-1"/>
    <n v="-1"/>
    <n v="-1"/>
    <n v="-1"/>
    <n v="10191"/>
    <n v="1190.5844107349801"/>
    <n v="-1"/>
    <n v="-1"/>
    <n v="-1"/>
    <n v="0.78800000000000003"/>
    <n v="0.89400000000000002"/>
    <n v="0.83199999999999996"/>
    <n v="0.69899999999999995"/>
    <n v="0.624"/>
    <n v="0.749"/>
    <n v="0.81299999999999994"/>
    <n v="0.68300000000000005"/>
    <n v="0.46899999999999997"/>
    <n v="0.70299999999999996"/>
    <n v="0.80600000000000005"/>
    <n v="0.67600000000000005"/>
    <n v="0.63600000000000001"/>
    <n v="0.66"/>
    <n v="0.84499999999999997"/>
    <n v="0.72799999999999998"/>
    <n v="0.80700000000000005"/>
    <n v="0.86799999999999999"/>
    <n v="0.77600000000000002"/>
    <n v="0.77100000000000002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758753983359679"/>
    <n v="2093.9450749060825"/>
    <n v="2.0423864634905899"/>
    <n v="3.37084505092071"/>
    <n v="2.5340690539667698"/>
    <n v="1.2691215765017201"/>
    <n v="0.80874509740031797"/>
    <n v="1.66963544635729"/>
    <n v="2.31200253519168"/>
    <n v="1.1576546846970699"/>
    <n v="0.26030650762149998"/>
    <n v="1.29819962782172"/>
    <n v="2.2339783292891302"/>
    <n v="1.1112639423694799"/>
    <n v="0.87227532860314405"/>
    <n v="1.0104579939946701"/>
    <n v="2.6949454232666099"/>
    <n v="1.4913872152582699"/>
    <n v="2.24500220970608"/>
    <n v="2.9981416587330298"/>
    <n v="1.92167470408387"/>
    <n v="1.87298681791993"/>
    <m/>
  </r>
  <r>
    <x v="4"/>
    <s v="DIACOPE"/>
    <s v="IMM"/>
    <n v="-1"/>
    <n v="20"/>
    <n v="-1"/>
    <n v="-1"/>
    <n v="-1"/>
    <n v="-1"/>
    <n v="-1"/>
    <n v="-1"/>
    <n v="-1"/>
    <n v="1290"/>
    <n v="150.70688743480801"/>
    <n v="-1"/>
    <n v="-1"/>
    <n v="-1"/>
    <n v="0.499"/>
    <n v="0.51600000000000001"/>
    <n v="0.502"/>
    <n v="0.71199999999999997"/>
    <n v="0.48099999999999998"/>
    <n v="0.76400000000000001"/>
    <n v="0.46899999999999997"/>
    <n v="0.59499999999999997"/>
    <n v="1.147"/>
    <n v="0.502"/>
    <n v="0.50900000000000001"/>
    <n v="0.46"/>
    <n v="0.49299999999999999"/>
    <n v="0.505"/>
    <n v="0.65200000000000002"/>
    <n v="0.55900000000000005"/>
    <n v="0.502"/>
    <n v="0.47599999999999998"/>
    <n v="0.50800000000000001"/>
    <n v="0.4889999999999999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255241707714389"/>
    <n v="199.76562199656848"/>
    <n v="0.81023059668390596"/>
    <n v="0.88367171365022601"/>
    <n v="0.822907183790618"/>
    <n v="2.0344705600492698"/>
    <n v="0.73668864187058802"/>
    <n v="2.4419683169381701"/>
    <n v="0.690026689097195"/>
    <n v="1.2779891521828"/>
    <n v="6.9951571981901397"/>
    <n v="0.822907183790618"/>
    <n v="0.85295728435863905"/>
    <n v="0.65625255955974104"/>
    <n v="0.78523879359677495"/>
    <n v="0.83570479796318897"/>
    <n v="1.6196810430062201"/>
    <n v="1.0872384647870299"/>
    <n v="0.822907183790618"/>
    <n v="0.71701828966870895"/>
    <n v="0.84862386541023005"/>
    <n v="0.76884389704409295"/>
    <m/>
  </r>
  <r>
    <x v="4"/>
    <s v="DREPOLYV"/>
    <s v="MOL"/>
    <n v="-1"/>
    <n v="-1"/>
    <n v="-1"/>
    <n v="-1"/>
    <n v="-1"/>
    <n v="-1"/>
    <n v="-1"/>
    <n v="-1"/>
    <n v="-1"/>
    <n v="2351.25"/>
    <n v="274.689588434955"/>
    <n v="171"/>
    <n v="-1"/>
    <n v="171"/>
    <n v="7.8E-2"/>
    <n v="8.6999999999999994E-2"/>
    <n v="9.0999999999999998E-2"/>
    <n v="8.4000000000000005E-2"/>
    <n v="0.09"/>
    <n v="8.1000000000000003E-2"/>
    <n v="8.1000000000000003E-2"/>
    <n v="7.9000000000000001E-2"/>
    <n v="8.3000000000000004E-2"/>
    <n v="8.5999999999999993E-2"/>
    <n v="8.7999999999999995E-2"/>
    <n v="0.08"/>
    <n v="0.09"/>
    <n v="7.5999999999999998E-2"/>
    <n v="8.4000000000000005E-2"/>
    <n v="7.9000000000000001E-2"/>
    <n v="0.128"/>
    <n v="0.08"/>
    <n v="7.3999999999999996E-2"/>
    <n v="7.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286584647235709"/>
    <n v="31.003072915854588"/>
    <n v="9.7893076299818055E-2"/>
    <n v="0.11459175145620078"/>
    <n v="0.12290059094102512"/>
    <n v="0.10873087852656856"/>
    <n v="0.12076854045275696"/>
    <n v="0.10316976392212798"/>
    <n v="0.10316976392212798"/>
    <n v="9.962128283722127E-2"/>
    <n v="0.10684464086996007"/>
    <n v="0.11260384075721208"/>
    <n v="0.11661475677470312"/>
    <n v="0.1013799991711169"/>
    <n v="0.12076854045275696"/>
    <n v="9.4526084689219525E-2"/>
    <n v="0.10873087852656856"/>
    <n v="9.962128283722127E-2"/>
    <n v="0.23483328218606961"/>
    <n v="0.1013799991711169"/>
    <n v="9.1274899353531794E-2"/>
    <n v="9.7893076299818055E-2"/>
    <m/>
  </r>
  <r>
    <x v="4"/>
    <s v="COPNAUP"/>
    <s v="NAU"/>
    <n v="-1"/>
    <n v="-1"/>
    <n v="-1"/>
    <n v="-1"/>
    <n v="-1"/>
    <n v="-1"/>
    <n v="-1"/>
    <n v="-1"/>
    <n v="-1"/>
    <n v="770"/>
    <n v="89.956824282792198"/>
    <n v="56"/>
    <n v="-1"/>
    <n v="56"/>
    <n v="9.8000000000000004E-2"/>
    <n v="0.13100000000000001"/>
    <n v="0.109"/>
    <n v="0.20200000000000001"/>
    <n v="0.218"/>
    <n v="0.188"/>
    <n v="0.13"/>
    <n v="0.14299999999999999"/>
    <n v="0.17499999999999999"/>
    <n v="0.14000000000000001"/>
    <n v="0.13300000000000001"/>
    <n v="0.155"/>
    <n v="0.151"/>
    <n v="0.13600000000000001"/>
    <n v="0.23300000000000001"/>
    <n v="0.14599999999999999"/>
    <n v="0.111"/>
    <n v="0.106"/>
    <n v="0.21"/>
    <n v="0.13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643508835357804E-2"/>
    <n v="7.704218075264043"/>
    <n v="2.6737432723878494E-2"/>
    <n v="5.3657228001919549E-2"/>
    <n v="3.4514431011782545E-2"/>
    <n v="0.15171216634747359"/>
    <n v="0.18216825902348954"/>
    <n v="0.12768972786484611"/>
    <n v="5.2679442313682365E-2"/>
    <n v="6.6219151722577044E-2"/>
    <n v="0.10751484669706084"/>
    <n v="6.2933865666250186E-2"/>
    <n v="5.564434844158727E-2"/>
    <n v="8.0347653641320488E-2"/>
    <n v="7.5460868039834816E-2"/>
    <n v="5.8704379673962324E-2"/>
    <n v="0.21371319331727137"/>
    <n v="6.9602361859324738E-2"/>
    <n v="3.6053901860956812E-2"/>
    <n v="3.2278340588934862E-2"/>
    <n v="0.16653419823704091"/>
    <n v="5.8704379673962324E-2"/>
    <m/>
  </r>
  <r>
    <x v="4"/>
    <s v="COLSP"/>
    <s v="ROT"/>
    <n v="-1"/>
    <n v="-1"/>
    <n v="-1"/>
    <n v="-1"/>
    <n v="-1"/>
    <n v="-1"/>
    <n v="-1"/>
    <n v="-1"/>
    <n v="-1"/>
    <n v="68.75"/>
    <n v="8.0318593109635898"/>
    <n v="5"/>
    <n v="-1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999999999999999E-2"/>
    <n v="4.4999999999999998E-2"/>
    <n v="4.9000000000000002E-2"/>
    <n v="5.1999999999999998E-2"/>
    <n v="4.7E-2"/>
    <m/>
    <m/>
    <m/>
    <m/>
    <m/>
    <m/>
    <m/>
    <m/>
    <m/>
    <m/>
    <m/>
    <m/>
    <m/>
    <m/>
    <m/>
    <n v="1.9819476000000003E-2"/>
    <n v="0.15918724284901942"/>
    <n v="1.7520480000000001E-2"/>
    <n v="1.64025E-2"/>
    <n v="2.1176819999999999E-2"/>
    <n v="2.5309439999999999E-2"/>
    <n v="1.8688139999999999E-2"/>
    <m/>
    <m/>
    <m/>
    <m/>
    <m/>
    <m/>
    <m/>
    <m/>
    <m/>
    <m/>
    <m/>
    <m/>
    <m/>
    <m/>
    <m/>
    <m/>
  </r>
  <r>
    <x v="4"/>
    <s v="COOUNIC"/>
    <s v="ROT"/>
    <n v="-1"/>
    <n v="-1"/>
    <n v="-1"/>
    <n v="-1"/>
    <n v="-1"/>
    <n v="-1"/>
    <n v="-1"/>
    <n v="-1"/>
    <n v="-1"/>
    <n v="13.75"/>
    <n v="1.6063718621927201"/>
    <n v="1"/>
    <n v="-1"/>
    <n v="1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999999999999999E-2"/>
    <m/>
    <m/>
    <m/>
    <m/>
    <m/>
    <m/>
    <m/>
    <m/>
    <m/>
    <m/>
    <m/>
    <m/>
    <m/>
    <m/>
    <m/>
    <m/>
    <m/>
    <m/>
    <m/>
    <n v="1.1220768000000001E-2"/>
    <n v="1.8024725987392486E-2"/>
    <n v="1.1220768000000001E-2"/>
    <m/>
    <m/>
    <m/>
    <m/>
    <m/>
    <m/>
    <m/>
    <m/>
    <m/>
    <m/>
    <m/>
    <m/>
    <m/>
    <m/>
    <m/>
    <m/>
    <m/>
    <m/>
    <m/>
    <m/>
  </r>
  <r>
    <x v="4"/>
    <s v="KELLONG"/>
    <s v="ROT"/>
    <n v="-1"/>
    <n v="-1"/>
    <n v="-1"/>
    <n v="-1"/>
    <n v="-1"/>
    <n v="-1"/>
    <n v="-1"/>
    <n v="-1"/>
    <n v="-1"/>
    <n v="55"/>
    <n v="6.4254874487708697"/>
    <n v="4"/>
    <n v="-1"/>
    <n v="4"/>
    <n v="0.11799999999999999"/>
    <n v="0.11700000000000001"/>
    <n v="0.115"/>
    <n v="0.13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786027400000002E-3"/>
    <n v="3.4560144397794611E-2"/>
    <n v="5.0030324400000001E-3"/>
    <n v="4.8769115850000001E-3"/>
    <n v="4.6310643749999996E-3"/>
    <n v="7.0034025600000001E-3"/>
    <m/>
    <m/>
    <m/>
    <m/>
    <m/>
    <m/>
    <m/>
    <m/>
    <m/>
    <m/>
    <m/>
    <m/>
    <m/>
    <m/>
    <m/>
    <m/>
    <m/>
  </r>
  <r>
    <x v="4"/>
    <s v="KERCOCH"/>
    <s v="ROT"/>
    <n v="-1"/>
    <n v="-1"/>
    <n v="-1"/>
    <n v="-1"/>
    <n v="-1"/>
    <n v="-1"/>
    <n v="-1"/>
    <n v="-1"/>
    <n v="-1"/>
    <n v="41.25"/>
    <n v="4.8191155865781496"/>
    <n v="3"/>
    <n v="-1"/>
    <n v="3"/>
    <n v="9.8000000000000004E-2"/>
    <n v="9.8000000000000004E-2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915413333333331E-3"/>
    <n v="1.0561290998096926E-2"/>
    <n v="1.882384E-3"/>
    <n v="1.882384E-3"/>
    <n v="2.8098559999999999E-3"/>
    <m/>
    <m/>
    <m/>
    <m/>
    <m/>
    <m/>
    <m/>
    <m/>
    <m/>
    <m/>
    <m/>
    <m/>
    <m/>
    <m/>
    <m/>
    <m/>
    <m/>
    <m/>
  </r>
  <r>
    <x v="4"/>
    <s v="KERCRAS"/>
    <s v="ROT"/>
    <n v="-1"/>
    <n v="-1"/>
    <n v="-1"/>
    <n v="-1"/>
    <n v="-1"/>
    <n v="-1"/>
    <n v="-1"/>
    <n v="-1"/>
    <n v="-1"/>
    <n v="13.75"/>
    <n v="1.6063718621927201"/>
    <n v="1"/>
    <n v="-1"/>
    <n v="1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431220000000001E-3"/>
    <n v="5.6915714851159954E-3"/>
    <n v="3.5431220000000001E-3"/>
    <m/>
    <m/>
    <m/>
    <m/>
    <m/>
    <m/>
    <m/>
    <m/>
    <m/>
    <m/>
    <m/>
    <m/>
    <m/>
    <m/>
    <m/>
    <m/>
    <m/>
    <m/>
    <m/>
    <m/>
  </r>
  <r>
    <x v="4"/>
    <s v="KEREARL"/>
    <s v="ROT"/>
    <n v="-1"/>
    <n v="-1"/>
    <n v="-1"/>
    <n v="-1"/>
    <n v="-1"/>
    <n v="-1"/>
    <n v="-1"/>
    <n v="-1"/>
    <n v="-1"/>
    <n v="41.25"/>
    <n v="4.8191155865781496"/>
    <n v="3"/>
    <n v="-1"/>
    <n v="3"/>
    <n v="0.122"/>
    <n v="0.113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678513333333332E-3"/>
    <n v="1.5748153295086855E-2"/>
    <n v="3.6316959999999998E-3"/>
    <n v="2.8857940000000001E-3"/>
    <n v="3.286064E-3"/>
    <m/>
    <m/>
    <m/>
    <m/>
    <m/>
    <m/>
    <m/>
    <m/>
    <m/>
    <m/>
    <m/>
    <m/>
    <m/>
    <m/>
    <m/>
    <m/>
    <m/>
    <m/>
  </r>
  <r>
    <x v="4"/>
    <s v="MONCOPE"/>
    <s v="ROT"/>
    <n v="-1"/>
    <n v="-1"/>
    <n v="-1"/>
    <n v="-1"/>
    <n v="-1"/>
    <n v="-1"/>
    <n v="-1"/>
    <n v="-1"/>
    <n v="-1"/>
    <n v="13.75"/>
    <n v="1.6063718621927201"/>
    <n v="1"/>
    <n v="-1"/>
    <n v="1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236928000000004E-3"/>
    <n v="1.2567759972359777E-2"/>
    <n v="7.8236928000000004E-3"/>
    <m/>
    <m/>
    <m/>
    <m/>
    <m/>
    <m/>
    <m/>
    <m/>
    <m/>
    <m/>
    <m/>
    <m/>
    <m/>
    <m/>
    <m/>
    <m/>
    <m/>
    <m/>
    <m/>
    <m/>
  </r>
  <r>
    <x v="4"/>
    <s v="POLDOLI"/>
    <s v="ROT"/>
    <n v="-1"/>
    <n v="-1"/>
    <n v="-1"/>
    <n v="-1"/>
    <n v="-1"/>
    <n v="-1"/>
    <n v="-1"/>
    <n v="-1"/>
    <n v="-1"/>
    <n v="302.5"/>
    <n v="35.3401809682398"/>
    <n v="22"/>
    <n v="-1"/>
    <n v="22"/>
    <n v="0.125"/>
    <n v="0.12"/>
    <n v="0.13600000000000001"/>
    <n v="0.121"/>
    <n v="0.11600000000000001"/>
    <n v="0.15"/>
    <n v="0.14000000000000001"/>
    <n v="0.123"/>
    <n v="0.126"/>
    <n v="0.13"/>
    <n v="0.14499999999999999"/>
    <n v="0.13900000000000001"/>
    <n v="0.11700000000000001"/>
    <n v="0.123"/>
    <n v="0.13700000000000001"/>
    <n v="0.11799999999999999"/>
    <n v="0.151"/>
    <n v="0.13600000000000001"/>
    <n v="0.127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8941506479999984E-2"/>
    <n v="2.4364053152262763"/>
    <n v="6.0156250000000001E-2"/>
    <n v="5.3222400000000003E-2"/>
    <n v="7.7476044800000005E-2"/>
    <n v="5.4564078799999999E-2"/>
    <n v="4.8075596800000002E-2"/>
    <n v="0.10395"/>
    <n v="8.4515199999999999E-2"/>
    <n v="5.7314703600000003E-2"/>
    <n v="6.1611580800000003E-2"/>
    <n v="6.7667599999999994E-2"/>
    <n v="9.3897649999999999E-2"/>
    <n v="8.2717065199999995E-2"/>
    <n v="4.9329680399999999E-2"/>
    <n v="5.7314703600000003E-2"/>
    <n v="7.9197672400000002E-2"/>
    <n v="5.0605385599999997E-2"/>
    <n v="0.1060428908"/>
    <n v="7.7476044800000005E-2"/>
    <n v="6.3090196400000007E-2"/>
    <n v="5.0605385599999997E-2"/>
    <m/>
  </r>
  <r>
    <x v="4"/>
    <s v="POLSP"/>
    <s v="ROT"/>
    <n v="-1"/>
    <n v="-1"/>
    <n v="-1"/>
    <n v="-1"/>
    <n v="-1"/>
    <n v="-1"/>
    <n v="-1"/>
    <n v="-1"/>
    <n v="-1"/>
    <n v="41.25"/>
    <n v="4.8191155865781496"/>
    <n v="3"/>
    <n v="-1"/>
    <n v="3"/>
    <n v="0.124"/>
    <n v="0.1010000000000000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595656799999996E-2"/>
    <n v="0.22454985595172613"/>
    <n v="5.8724019199999998E-2"/>
    <n v="3.1733270799999998E-2"/>
    <n v="4.9329680399999999E-2"/>
    <m/>
    <m/>
    <m/>
    <m/>
    <m/>
    <m/>
    <m/>
    <m/>
    <m/>
    <m/>
    <m/>
    <m/>
    <m/>
    <m/>
    <m/>
    <m/>
    <m/>
    <m/>
  </r>
  <r>
    <x v="4"/>
    <s v="SYNSP"/>
    <s v="ROT"/>
    <n v="-1"/>
    <n v="-1"/>
    <n v="-1"/>
    <n v="-1"/>
    <n v="-1"/>
    <n v="-1"/>
    <n v="-1"/>
    <n v="-1"/>
    <n v="-1"/>
    <n v="2200"/>
    <n v="257.01949795083499"/>
    <n v="160"/>
    <n v="-1"/>
    <n v="160"/>
    <n v="0.128"/>
    <n v="0.13100000000000001"/>
    <n v="0.193"/>
    <n v="0.124"/>
    <n v="0.19900000000000001"/>
    <n v="0.182"/>
    <n v="0.13500000000000001"/>
    <n v="0.18"/>
    <n v="0.13200000000000001"/>
    <n v="0.183"/>
    <n v="0.124"/>
    <n v="0.20599999999999999"/>
    <n v="0.23599999999999999"/>
    <n v="0.186"/>
    <n v="0.20899999999999999"/>
    <n v="0.17"/>
    <n v="0.17599999999999999"/>
    <n v="0.19800000000000001"/>
    <n v="0.22500000000000001"/>
    <n v="0.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848432000000007E-2"/>
    <n v="15.38221394578469"/>
    <n v="2.097152E-2"/>
    <n v="2.248091E-2"/>
    <n v="7.1890570000000001E-2"/>
    <n v="1.9066240000000002E-2"/>
    <n v="7.8805990000000006E-2"/>
    <n v="6.0285680000000001E-2"/>
    <n v="2.4603750000000001E-2"/>
    <n v="5.8319999999999997E-2"/>
    <n v="2.2999680000000002E-2"/>
    <n v="6.1284869999999998E-2"/>
    <n v="1.9066240000000002E-2"/>
    <n v="8.7418159999999995E-2"/>
    <n v="0.13144256000000001"/>
    <n v="6.4348559999999999E-2"/>
    <n v="9.1293289999999999E-2"/>
    <n v="4.913E-2"/>
    <n v="5.4517759999999998E-2"/>
    <n v="7.7623919999999999E-2"/>
    <n v="0.11390625"/>
    <n v="6.751269E-2"/>
    <m/>
  </r>
  <r>
    <x v="5"/>
    <s v="DIYTHOM"/>
    <s v="COP"/>
    <n v="-1"/>
    <n v="5"/>
    <n v="24"/>
    <n v="-1"/>
    <n v="-1"/>
    <n v="-1"/>
    <n v="-1"/>
    <n v="-1"/>
    <n v="-1"/>
    <n v="140.166666666667"/>
    <n v="40.2176321923831"/>
    <n v="-1"/>
    <n v="-1"/>
    <n v="-1"/>
    <n v="0.92"/>
    <n v="1.012"/>
    <n v="0.78800000000000003"/>
    <n v="0.75800000000000001"/>
    <n v="0.79"/>
    <n v="0.88100000000000001"/>
    <n v="0.79600000000000004"/>
    <n v="0.99299999999999999"/>
    <n v="0.85499999999999998"/>
    <n v="1.0149999999999999"/>
    <n v="0.85399999999999998"/>
    <n v="0.871"/>
    <n v="0.872"/>
    <n v="0.91400000000000003"/>
    <n v="0.92"/>
    <n v="0.81299999999999994"/>
    <n v="0.80600000000000005"/>
    <n v="0.79700000000000004"/>
    <n v="0.81299999999999994"/>
    <n v="0.76500000000000001"/>
    <s v="M"/>
    <s v="F"/>
    <s v="M"/>
    <s v="M"/>
    <s v="M"/>
    <s v="M"/>
    <s v="M"/>
    <s v="F"/>
    <s v="M"/>
    <s v="F"/>
    <s v="M"/>
    <s v="M"/>
    <s v="M"/>
    <s v="F"/>
    <s v="F"/>
    <s v="M"/>
    <s v="M"/>
    <s v="M"/>
    <s v="M"/>
    <s v="M"/>
    <m/>
    <m/>
    <m/>
    <m/>
    <m/>
    <m/>
    <m/>
    <m/>
    <m/>
    <m/>
    <m/>
    <m/>
    <m/>
    <m/>
    <m/>
    <m/>
    <m/>
    <m/>
    <m/>
    <m/>
    <n v="3.0571734027428632"/>
    <n v="122.95227545984876"/>
    <n v="3.7771698509072502"/>
    <n v="5.5143645631778799"/>
    <n v="2.0423864634905899"/>
    <n v="1.7507155383794599"/>
    <n v="2.0630435335392199"/>
    <n v="3.1804106300670099"/>
    <n v="2.1259532929805398"/>
    <n v="5.1146669184477904"/>
    <n v="2.8238024807844102"/>
    <n v="5.57954812315272"/>
    <n v="2.8107135451850001"/>
    <n v="3.0394913749407499"/>
    <n v="3.0533689517175402"/>
    <n v="3.6803170785330099"/>
    <n v="3.7771698509072502"/>
    <n v="2.31200253519168"/>
    <n v="2.2339783292891302"/>
    <n v="2.1365761486443402"/>
    <n v="2.31200253519168"/>
    <n v="1.81578631033002"/>
    <m/>
  </r>
  <r>
    <x v="5"/>
    <s v="HARSP"/>
    <s v="COP"/>
    <n v="-1"/>
    <n v="4"/>
    <n v="0"/>
    <n v="-1"/>
    <n v="-1"/>
    <n v="-1"/>
    <n v="-1"/>
    <n v="-1"/>
    <n v="-1"/>
    <n v="19.3333333333333"/>
    <n v="5.5472596127424998"/>
    <n v="-1"/>
    <n v="-1"/>
    <n v="-1"/>
    <n v="0.42699999999999999"/>
    <n v="0.55800000000000005"/>
    <n v="1.006"/>
    <n v="0.46500000000000002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196465307268388"/>
    <n v="10.094051709367998"/>
    <n v="0.54117337598746795"/>
    <n v="1.08220815308457"/>
    <n v="4.98031710964508"/>
    <n v="0.67488748419023703"/>
    <m/>
    <m/>
    <m/>
    <m/>
    <m/>
    <m/>
    <m/>
    <m/>
    <m/>
    <m/>
    <m/>
    <m/>
    <m/>
    <m/>
    <m/>
    <m/>
    <m/>
  </r>
  <r>
    <x v="5"/>
    <s v="LEOMINU"/>
    <s v="COP"/>
    <n v="-1"/>
    <n v="2"/>
    <n v="1"/>
    <n v="-1"/>
    <n v="-1"/>
    <n v="-1"/>
    <n v="-1"/>
    <n v="-1"/>
    <n v="-1"/>
    <n v="14.5"/>
    <n v="4.1604447095568799"/>
    <n v="-1"/>
    <n v="-1"/>
    <n v="-1"/>
    <n v="1.042"/>
    <n v="1.014"/>
    <n v="0.95599999999999996"/>
    <m/>
    <m/>
    <m/>
    <m/>
    <m/>
    <m/>
    <m/>
    <m/>
    <m/>
    <m/>
    <m/>
    <m/>
    <m/>
    <m/>
    <m/>
    <m/>
    <m/>
    <s v="F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676584908640002"/>
    <n v="20.667668487200444"/>
    <n v="5.4551364527640898"/>
    <n v="5.0835433301828701"/>
    <n v="4.36429568964504"/>
    <m/>
    <m/>
    <m/>
    <m/>
    <m/>
    <m/>
    <m/>
    <m/>
    <m/>
    <m/>
    <m/>
    <m/>
    <m/>
    <m/>
    <m/>
    <m/>
    <m/>
    <m/>
  </r>
  <r>
    <x v="5"/>
    <s v="LEOSICI"/>
    <s v="COP"/>
    <n v="-1"/>
    <n v="40"/>
    <n v="17"/>
    <n v="-1"/>
    <n v="-1"/>
    <n v="-1"/>
    <n v="-1"/>
    <n v="-1"/>
    <n v="-1"/>
    <n v="275.5"/>
    <n v="79.048449481580604"/>
    <n v="-1"/>
    <n v="-1"/>
    <n v="-1"/>
    <n v="1.4970000000000001"/>
    <n v="1.26"/>
    <n v="1.474"/>
    <n v="1.3049999999999999"/>
    <n v="1.3660000000000001"/>
    <n v="1.43"/>
    <n v="1.4410000000000001"/>
    <n v="1.484"/>
    <n v="1.4910000000000001"/>
    <n v="1.492"/>
    <n v="1.359"/>
    <n v="1.319"/>
    <n v="1.1850000000000001"/>
    <n v="1.1990000000000001"/>
    <n v="1.2729999999999999"/>
    <n v="1.45"/>
    <n v="1.331"/>
    <n v="1.431"/>
    <n v="1.24"/>
    <n v="1.4339999999999999"/>
    <s v="F"/>
    <s v="M"/>
    <s v="F"/>
    <s v="M"/>
    <s v="F"/>
    <s v="F"/>
    <s v="F"/>
    <s v="F"/>
    <s v="F"/>
    <s v="F"/>
    <s v="M"/>
    <s v="F"/>
    <s v="M"/>
    <s v="M"/>
    <s v="M"/>
    <s v="F"/>
    <s v="M"/>
    <s v="F"/>
    <s v="M"/>
    <s v="F"/>
    <m/>
    <m/>
    <m/>
    <m/>
    <m/>
    <m/>
    <m/>
    <m/>
    <m/>
    <m/>
    <m/>
    <m/>
    <m/>
    <m/>
    <m/>
    <m/>
    <m/>
    <m/>
    <m/>
    <m/>
    <n v="11.268944622656033"/>
    <n v="890.79259971475483"/>
    <n v="13.942886405032199"/>
    <n v="8.9225283817413192"/>
    <n v="13.3948146527965"/>
    <n v="9.7714598403741402"/>
    <n v="10.9988058891599"/>
    <n v="12.383646984456799"/>
    <n v="12.631878406490401"/>
    <n v="13.631449207483101"/>
    <n v="13.7986094511538"/>
    <n v="13.822591648791001"/>
    <n v="10.8534202430666"/>
    <n v="10.0452846261663"/>
    <n v="7.6112984856430899"/>
    <n v="7.8463903573914102"/>
    <n v="9.1629178239901794"/>
    <n v="12.8372308762572"/>
    <n v="10.283699790521499"/>
    <n v="12.406088578368999"/>
    <n v="8.5603277092170895"/>
    <n v="12.473563095019101"/>
    <m/>
  </r>
  <r>
    <x v="5"/>
    <s v="LIMMACR"/>
    <s v="COP"/>
    <n v="-1"/>
    <n v="22"/>
    <n v="19"/>
    <n v="-1"/>
    <n v="-1"/>
    <n v="-1"/>
    <n v="-1"/>
    <n v="-1"/>
    <n v="-1"/>
    <n v="198.166666666667"/>
    <n v="56.859411030610602"/>
    <n v="-1"/>
    <n v="-1"/>
    <n v="-1"/>
    <n v="2.3889999999999998"/>
    <n v="2.524"/>
    <n v="2.177"/>
    <n v="2.42"/>
    <n v="2.4089999999999998"/>
    <n v="2.2770000000000001"/>
    <n v="2.6230000000000002"/>
    <n v="2.4380000000000002"/>
    <n v="2.5630000000000002"/>
    <n v="2.4889999999999999"/>
    <n v="2.5489999999999999"/>
    <n v="2.35"/>
    <n v="2.359"/>
    <n v="2.4159999999999999"/>
    <n v="2.302"/>
    <n v="2.5449999999999999"/>
    <n v="2.2799999999999998"/>
    <n v="2.23"/>
    <n v="2.5230000000000001"/>
    <n v="2.6139999999999999"/>
    <s v="M"/>
    <s v="F"/>
    <s v="M"/>
    <s v="M"/>
    <s v="F"/>
    <s v="M"/>
    <s v="F"/>
    <s v="M"/>
    <s v="M"/>
    <s v="F"/>
    <s v="F"/>
    <s v="F"/>
    <s v="M"/>
    <s v="F"/>
    <s v="F"/>
    <s v="F"/>
    <s v="M"/>
    <s v="M"/>
    <s v="F"/>
    <s v="F"/>
    <m/>
    <m/>
    <m/>
    <m/>
    <m/>
    <m/>
    <m/>
    <m/>
    <m/>
    <m/>
    <m/>
    <m/>
    <m/>
    <m/>
    <m/>
    <m/>
    <m/>
    <m/>
    <m/>
    <m/>
    <n v="48.84230077048413"/>
    <n v="2777.1444551896661"/>
    <n v="46.785153000404598"/>
    <n v="53.943564958835303"/>
    <n v="36.777445234353401"/>
    <n v="48.373779885982003"/>
    <n v="47.806344662241003"/>
    <n v="41.314117041293798"/>
    <n v="59.5958198753179"/>
    <n v="49.311193326645601"/>
    <n v="56.128975623662697"/>
    <n v="52.027470116604"/>
    <n v="55.338336527381102"/>
    <n v="44.832606570734903"/>
    <n v="45.278662865446201"/>
    <n v="48.1669641691743"/>
    <n v="42.499224286276998"/>
    <n v="55.113703274559001"/>
    <n v="41.455244407571797"/>
    <n v="39.141532141984101"/>
    <n v="53.888228259098298"/>
    <n v="59.067649182115701"/>
    <m/>
  </r>
  <r>
    <x v="5"/>
    <s v="SKIOREG"/>
    <s v="COP"/>
    <n v="-1"/>
    <n v="1"/>
    <n v="0"/>
    <n v="-1"/>
    <n v="-1"/>
    <n v="-1"/>
    <n v="-1"/>
    <n v="-1"/>
    <n v="-1"/>
    <n v="4.8333333333333304"/>
    <n v="1.3868149031856301"/>
    <n v="-1"/>
    <n v="-1"/>
    <n v="-1"/>
    <n v="1.258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8858931502862699"/>
    <n v="12.323089048932106"/>
    <n v="8.8858931502862699"/>
    <m/>
    <m/>
    <m/>
    <m/>
    <m/>
    <m/>
    <m/>
    <m/>
    <m/>
    <m/>
    <m/>
    <m/>
    <m/>
    <m/>
    <m/>
    <m/>
    <m/>
    <m/>
    <m/>
    <m/>
  </r>
  <r>
    <x v="5"/>
    <s v="CYCCOPE"/>
    <s v="IMM"/>
    <n v="-1"/>
    <n v="78"/>
    <n v="-1"/>
    <n v="-1"/>
    <n v="-1"/>
    <n v="-1"/>
    <n v="-1"/>
    <n v="-1"/>
    <n v="-1"/>
    <n v="377"/>
    <n v="108.17156244847899"/>
    <n v="-1"/>
    <n v="-1"/>
    <n v="-1"/>
    <n v="0.56799999999999995"/>
    <n v="0.80100000000000005"/>
    <n v="0.67500000000000004"/>
    <n v="0.70099999999999996"/>
    <n v="0.747"/>
    <n v="0.82299999999999995"/>
    <n v="0.83499999999999996"/>
    <n v="0.60699999999999998"/>
    <n v="0.78600000000000003"/>
    <n v="0.77600000000000002"/>
    <n v="0.72099999999999997"/>
    <n v="0.89"/>
    <n v="0.64900000000000002"/>
    <n v="0.80100000000000005"/>
    <n v="0.69599999999999995"/>
    <n v="0.84799999999999998"/>
    <n v="0.74"/>
    <n v="0.72399999999999998"/>
    <n v="0.51600000000000001"/>
    <n v="0.7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679436727556531"/>
    <n v="181.66729485315048"/>
    <n v="0.55679039234622396"/>
    <n v="2.1794651492149"/>
    <n v="1.10475205503151"/>
    <n v="1.28359900356054"/>
    <n v="1.6520060336426901"/>
    <n v="2.4269799345799301"/>
    <n v="2.5705387058146498"/>
    <n v="0.724749531904054"/>
    <n v="2.0218845224020998"/>
    <n v="1.92167470408387"/>
    <n v="1.43526416225078"/>
    <n v="3.3113658555772898"/>
    <n v="0.94523607086767103"/>
    <n v="2.1794651492149"/>
    <n v="1.24763491858824"/>
    <n v="2.7331305300733102"/>
    <n v="1.5913978511125999"/>
    <n v="1.45911978979715"/>
    <n v="0.38031911643132399"/>
    <n v="1.86336107463689"/>
    <m/>
  </r>
  <r>
    <x v="5"/>
    <s v="COPNAUP"/>
    <s v="NAU"/>
    <n v="-1"/>
    <n v="-1"/>
    <n v="-1"/>
    <n v="-1"/>
    <n v="-1"/>
    <n v="-1"/>
    <n v="-1"/>
    <n v="-1"/>
    <n v="-1"/>
    <n v="231"/>
    <n v="66.280188131561303"/>
    <n v="231"/>
    <n v="-1"/>
    <n v="231"/>
    <n v="0.184"/>
    <n v="0.182"/>
    <n v="0.125"/>
    <n v="0.19"/>
    <n v="0.14399999999999999"/>
    <n v="0.161"/>
    <n v="0.13600000000000001"/>
    <n v="0.125"/>
    <n v="0.128"/>
    <n v="0.153"/>
    <n v="0.17899999999999999"/>
    <n v="0.129"/>
    <n v="0.14299999999999999"/>
    <n v="0.13"/>
    <n v="0.14899999999999999"/>
    <n v="0.151"/>
    <n v="0.111"/>
    <n v="0.153"/>
    <n v="0.14799999999999999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4155518083496533E-2"/>
    <n v="4.9150416895675466"/>
    <n v="0.1212662362035863"/>
    <n v="0.1181268040891094"/>
    <n v="4.7946968582758688E-2"/>
    <n v="0.13097420332287191"/>
    <n v="6.7335967442926234E-2"/>
    <n v="8.8015513207260532E-2"/>
    <n v="5.8704379673962324E-2"/>
    <n v="4.7946968582758688E-2"/>
    <n v="5.0755259236681539E-2"/>
    <n v="7.7881903430931224E-2"/>
    <n v="0.11350745793518947"/>
    <n v="5.1712130158977757E-2"/>
    <n v="6.6219151722577044E-2"/>
    <n v="5.2679442313682365E-2"/>
    <n v="7.3084312737679707E-2"/>
    <n v="7.5460868039834816E-2"/>
    <n v="3.6053901860956812E-2"/>
    <n v="7.7881903430931224E-2"/>
    <n v="7.1912641255667167E-2"/>
    <n v="5.564434844158727E-2"/>
    <m/>
  </r>
  <r>
    <x v="5"/>
    <s v="CEPSP"/>
    <s v="ROT"/>
    <n v="-1"/>
    <n v="-1"/>
    <n v="-1"/>
    <n v="-1"/>
    <n v="-1"/>
    <n v="-1"/>
    <n v="-1"/>
    <n v="-1"/>
    <n v="-1"/>
    <n v="1"/>
    <n v="0.28692722134874998"/>
    <n v="1"/>
    <n v="-1"/>
    <n v="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5865E-2"/>
    <n v="1.4801571104107292E-2"/>
    <n v="5.15865E-2"/>
    <m/>
    <m/>
    <m/>
    <m/>
    <m/>
    <m/>
    <m/>
    <m/>
    <m/>
    <m/>
    <m/>
    <m/>
    <m/>
    <m/>
    <m/>
    <m/>
    <m/>
    <m/>
    <m/>
    <m/>
  </r>
  <r>
    <x v="5"/>
    <s v="COOUNIC"/>
    <s v="ROT"/>
    <n v="-1"/>
    <n v="-1"/>
    <n v="-1"/>
    <n v="-1"/>
    <n v="-1"/>
    <n v="-1"/>
    <n v="-1"/>
    <n v="-1"/>
    <n v="-1"/>
    <n v="1"/>
    <n v="0.28692722134874998"/>
    <n v="1"/>
    <n v="-1"/>
    <n v="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000000000000006E-2"/>
    <m/>
    <m/>
    <m/>
    <m/>
    <m/>
    <m/>
    <m/>
    <m/>
    <m/>
    <m/>
    <m/>
    <m/>
    <m/>
    <m/>
    <m/>
    <m/>
    <m/>
    <m/>
    <m/>
    <n v="2.7238249999999999E-2"/>
    <n v="7.8153953869025891E-3"/>
    <n v="2.7238249999999999E-2"/>
    <m/>
    <m/>
    <m/>
    <m/>
    <m/>
    <m/>
    <m/>
    <m/>
    <m/>
    <m/>
    <m/>
    <m/>
    <m/>
    <m/>
    <m/>
    <m/>
    <m/>
    <m/>
    <m/>
    <m/>
  </r>
  <r>
    <x v="5"/>
    <s v="COUSP"/>
    <s v="ROT"/>
    <n v="-1"/>
    <n v="-1"/>
    <n v="-1"/>
    <n v="-1"/>
    <n v="-1"/>
    <n v="-1"/>
    <n v="-1"/>
    <n v="-1"/>
    <n v="-1"/>
    <n v="1"/>
    <n v="0.28692722134874998"/>
    <n v="1"/>
    <n v="-1"/>
    <n v="1"/>
    <n v="0.20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0458812499999999E-2"/>
    <n v="2.5955095717132573E-2"/>
    <n v="9.0458812499999999E-2"/>
    <m/>
    <m/>
    <m/>
    <m/>
    <m/>
    <m/>
    <m/>
    <m/>
    <m/>
    <m/>
    <m/>
    <m/>
    <m/>
    <m/>
    <m/>
    <m/>
    <m/>
    <m/>
    <m/>
    <m/>
  </r>
  <r>
    <x v="5"/>
    <s v="ENCSP"/>
    <s v="ROT"/>
    <n v="-1"/>
    <n v="-1"/>
    <n v="-1"/>
    <n v="-1"/>
    <n v="-1"/>
    <n v="-1"/>
    <n v="-1"/>
    <n v="-1"/>
    <n v="-1"/>
    <n v="1"/>
    <n v="0.28692722134874998"/>
    <n v="1"/>
    <n v="-1"/>
    <n v="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5865E-2"/>
    <n v="1.4801571104107292E-2"/>
    <n v="5.15865E-2"/>
    <m/>
    <m/>
    <m/>
    <m/>
    <m/>
    <m/>
    <m/>
    <m/>
    <m/>
    <m/>
    <m/>
    <m/>
    <m/>
    <m/>
    <m/>
    <m/>
    <m/>
    <m/>
    <m/>
    <m/>
  </r>
  <r>
    <x v="5"/>
    <s v="KERCOCH"/>
    <s v="ROT"/>
    <n v="-1"/>
    <n v="-1"/>
    <n v="-1"/>
    <n v="-1"/>
    <n v="-1"/>
    <n v="-1"/>
    <n v="-1"/>
    <n v="-1"/>
    <n v="-1"/>
    <n v="1"/>
    <n v="0.28692722134874998"/>
    <n v="1"/>
    <n v="-1"/>
    <n v="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500860000000002E-3"/>
    <n v="7.0299636804547355E-4"/>
    <n v="2.4500860000000002E-3"/>
    <m/>
    <m/>
    <m/>
    <m/>
    <m/>
    <m/>
    <m/>
    <m/>
    <m/>
    <m/>
    <m/>
    <m/>
    <m/>
    <m/>
    <m/>
    <m/>
    <m/>
    <m/>
    <m/>
    <m/>
  </r>
  <r>
    <x v="5"/>
    <s v="KERCRAS"/>
    <s v="ROT"/>
    <n v="-1"/>
    <n v="-1"/>
    <n v="-1"/>
    <n v="-1"/>
    <n v="-1"/>
    <n v="-1"/>
    <n v="-1"/>
    <n v="-1"/>
    <n v="-1"/>
    <n v="2"/>
    <n v="0.57385444269749997"/>
    <n v="2"/>
    <n v="-1"/>
    <n v="2"/>
    <n v="0.13100000000000001"/>
    <n v="0.140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920909999999997E-3"/>
    <n v="2.8647335987002052E-3"/>
    <n v="4.4961819999999996E-3"/>
    <n v="5.4879999999999998E-3"/>
    <m/>
    <m/>
    <m/>
    <m/>
    <m/>
    <m/>
    <m/>
    <m/>
    <m/>
    <m/>
    <m/>
    <m/>
    <m/>
    <m/>
    <m/>
    <m/>
    <m/>
    <m/>
    <m/>
  </r>
  <r>
    <x v="5"/>
    <s v="KEREARL"/>
    <s v="ROT"/>
    <n v="-1"/>
    <n v="-1"/>
    <n v="-1"/>
    <n v="-1"/>
    <n v="-1"/>
    <n v="-1"/>
    <n v="-1"/>
    <n v="-1"/>
    <n v="-1"/>
    <n v="4"/>
    <n v="1.1477088853949999"/>
    <n v="4"/>
    <n v="-1"/>
    <n v="4"/>
    <n v="0.124"/>
    <n v="0.126"/>
    <n v="0.14599999999999999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33834999999999E-3"/>
    <n v="4.8127835028187833E-3"/>
    <n v="3.813248E-3"/>
    <n v="4.0007519999999998E-3"/>
    <n v="6.2242720000000003E-3"/>
    <n v="2.735262E-3"/>
    <m/>
    <m/>
    <m/>
    <m/>
    <m/>
    <m/>
    <m/>
    <m/>
    <m/>
    <m/>
    <m/>
    <m/>
    <m/>
    <m/>
    <m/>
    <m/>
    <m/>
  </r>
  <r>
    <x v="5"/>
    <s v="KERSP"/>
    <s v="ROT"/>
    <n v="-1"/>
    <n v="-1"/>
    <n v="-1"/>
    <n v="-1"/>
    <n v="-1"/>
    <n v="-1"/>
    <n v="-1"/>
    <n v="-1"/>
    <n v="-1"/>
    <n v="10"/>
    <n v="2.8692722134875002"/>
    <n v="10"/>
    <n v="-1"/>
    <n v="10"/>
    <n v="0.13400000000000001"/>
    <n v="0.13900000000000001"/>
    <n v="0.13500000000000001"/>
    <n v="0.13400000000000001"/>
    <n v="0.125"/>
    <n v="0.121"/>
    <n v="0.122"/>
    <n v="0.125"/>
    <n v="0.1310000000000000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793904000000005E-3"/>
    <n v="1.2565663186733911E-2"/>
    <n v="4.8122080000000001E-3"/>
    <n v="5.3712380000000004E-3"/>
    <n v="4.9207499999999998E-3"/>
    <n v="4.8122080000000001E-3"/>
    <n v="3.90625E-3"/>
    <n v="3.5431220000000001E-3"/>
    <n v="3.6316959999999998E-3"/>
    <n v="3.90625E-3"/>
    <n v="4.4961819999999996E-3"/>
    <n v="4.3940000000000003E-3"/>
    <m/>
    <m/>
    <m/>
    <m/>
    <m/>
    <m/>
    <m/>
    <m/>
    <m/>
    <m/>
    <m/>
  </r>
  <r>
    <x v="5"/>
    <s v="NOOSP"/>
    <s v="ROT"/>
    <n v="-1"/>
    <n v="-1"/>
    <n v="-1"/>
    <n v="-1"/>
    <n v="-1"/>
    <n v="-1"/>
    <n v="-1"/>
    <n v="-1"/>
    <n v="-1"/>
    <n v="3"/>
    <n v="0.860781664046251"/>
    <n v="3"/>
    <n v="-1"/>
    <n v="3"/>
    <n v="0.29899999999999999"/>
    <n v="0.17100000000000001"/>
    <n v="0.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406861499999999E-2"/>
    <n v="3.9085393801087651E-2"/>
    <n v="9.3558146499999995E-2"/>
    <n v="1.7500738500000002E-2"/>
    <n v="2.5161699499999999E-2"/>
    <m/>
    <m/>
    <m/>
    <m/>
    <m/>
    <m/>
    <m/>
    <m/>
    <m/>
    <m/>
    <m/>
    <m/>
    <m/>
    <m/>
    <m/>
    <m/>
    <m/>
    <m/>
  </r>
  <r>
    <x v="5"/>
    <s v="NOTLAUR"/>
    <s v="ROT"/>
    <n v="-1"/>
    <n v="-1"/>
    <n v="-1"/>
    <n v="-1"/>
    <n v="-1"/>
    <n v="-1"/>
    <n v="-1"/>
    <n v="-1"/>
    <n v="-1"/>
    <n v="1"/>
    <n v="0.28692722134874998"/>
    <n v="1"/>
    <n v="-1"/>
    <n v="1"/>
    <n v="0.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84499999999997E-2"/>
    <n v="1.2218652257525843E-2"/>
    <n v="4.2584499999999997E-2"/>
    <m/>
    <m/>
    <m/>
    <m/>
    <m/>
    <m/>
    <m/>
    <m/>
    <m/>
    <m/>
    <m/>
    <m/>
    <m/>
    <m/>
    <m/>
    <m/>
    <m/>
    <m/>
    <m/>
    <m/>
  </r>
  <r>
    <x v="5"/>
    <s v="POLDOLI"/>
    <s v="ROT"/>
    <n v="-1"/>
    <n v="-1"/>
    <n v="-1"/>
    <n v="-1"/>
    <n v="-1"/>
    <n v="-1"/>
    <n v="-1"/>
    <n v="-1"/>
    <n v="-1"/>
    <n v="6"/>
    <n v="1.7215633280925"/>
    <n v="6"/>
    <n v="-1"/>
    <n v="6"/>
    <n v="0.13700000000000001"/>
    <n v="0.124"/>
    <n v="0.11700000000000001"/>
    <n v="0.11"/>
    <n v="0.106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366874533333336E-2"/>
    <n v="8.8431327475315222E-2"/>
    <n v="7.9197672400000002E-2"/>
    <n v="5.8724019199999998E-2"/>
    <n v="4.9329680399999999E-2"/>
    <n v="4.0994799999999998E-2"/>
    <n v="3.6683292800000003E-2"/>
    <n v="4.32717824E-2"/>
    <m/>
    <m/>
    <m/>
    <m/>
    <m/>
    <m/>
    <m/>
    <m/>
    <m/>
    <m/>
    <m/>
    <m/>
    <m/>
    <m/>
    <m/>
  </r>
  <r>
    <x v="5"/>
    <s v="SYNSP"/>
    <s v="ROT"/>
    <n v="-1"/>
    <n v="-1"/>
    <n v="-1"/>
    <n v="-1"/>
    <n v="-1"/>
    <n v="-1"/>
    <n v="-1"/>
    <n v="-1"/>
    <n v="-1"/>
    <n v="21"/>
    <n v="6.0254716483237498"/>
    <n v="21"/>
    <n v="-1"/>
    <n v="21"/>
    <n v="0.159"/>
    <n v="0.17199999999999999"/>
    <n v="0.16200000000000001"/>
    <n v="0.14599999999999999"/>
    <n v="0.16500000000000001"/>
    <n v="0.107"/>
    <n v="0.17399999999999999"/>
    <n v="0.19500000000000001"/>
    <n v="0.17899999999999999"/>
    <n v="0.161"/>
    <n v="0.185"/>
    <n v="0.16300000000000001"/>
    <n v="0.16600000000000001"/>
    <n v="0.13400000000000001"/>
    <n v="0.16800000000000001"/>
    <n v="0.159"/>
    <n v="0.14199999999999999"/>
    <n v="0.159"/>
    <n v="0.20499999999999999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294638499999997E-2"/>
    <n v="0.26689608845449964"/>
    <n v="4.0196790000000003E-2"/>
    <n v="5.0884480000000003E-2"/>
    <n v="4.2515280000000003E-2"/>
    <n v="3.1121360000000001E-2"/>
    <n v="4.4921250000000003E-2"/>
    <n v="1.225043E-2"/>
    <n v="5.2680240000000003E-2"/>
    <n v="7.4148749999999999E-2"/>
    <n v="5.7353389999999997E-2"/>
    <n v="4.1732810000000002E-2"/>
    <n v="6.3316250000000004E-2"/>
    <n v="4.3307470000000001E-2"/>
    <n v="4.5742959999999999E-2"/>
    <n v="2.4061039999999999E-2"/>
    <n v="4.7416319999999998E-2"/>
    <n v="4.0196790000000003E-2"/>
    <n v="2.8632879999999999E-2"/>
    <n v="4.0196790000000003E-2"/>
    <n v="8.6151249999999999E-2"/>
    <n v="1.9066240000000002E-2"/>
    <m/>
  </r>
  <r>
    <x v="6"/>
    <s v="BOSLONG"/>
    <s v="CLA"/>
    <n v="-1"/>
    <n v="3"/>
    <n v="-1"/>
    <n v="-1"/>
    <n v="-1"/>
    <n v="-1"/>
    <n v="-1"/>
    <n v="-1"/>
    <n v="-1"/>
    <n v="89.25"/>
    <n v="10.8878633101088"/>
    <n v="-1"/>
    <n v="-1"/>
    <n v="-1"/>
    <n v="0.29799999999999999"/>
    <n v="0.29299999999999998"/>
    <n v="0.36899999999999999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246062125286527"/>
    <n v="9.3903533545527136"/>
    <n v="0.704001821854362"/>
    <n v="0.67449962789376405"/>
    <n v="1.2088804140104701"/>
    <m/>
    <m/>
    <m/>
    <m/>
    <m/>
    <m/>
    <m/>
    <m/>
    <m/>
    <m/>
    <m/>
    <m/>
    <m/>
    <m/>
    <m/>
    <m/>
    <m/>
    <m/>
  </r>
  <r>
    <x v="6"/>
    <s v="DIYTHOM"/>
    <s v="COP"/>
    <n v="-1"/>
    <n v="29"/>
    <n v="89"/>
    <n v="-1"/>
    <n v="-1"/>
    <n v="-1"/>
    <n v="-1"/>
    <n v="-1"/>
    <n v="-1"/>
    <n v="3510.5"/>
    <n v="428.25595686427999"/>
    <n v="-1"/>
    <n v="-1"/>
    <n v="-1"/>
    <n v="0.80800000000000005"/>
    <n v="1.0609999999999999"/>
    <n v="0.79500000000000004"/>
    <n v="0.81"/>
    <n v="0.76900000000000002"/>
    <n v="0.753"/>
    <n v="1.012"/>
    <n v="1.093"/>
    <n v="0.80800000000000005"/>
    <n v="0.81100000000000005"/>
    <n v="0.83699999999999997"/>
    <n v="0.95699999999999996"/>
    <n v="0.81499999999999995"/>
    <n v="0.80600000000000005"/>
    <n v="0.79800000000000004"/>
    <n v="0.78700000000000003"/>
    <n v="0.76900000000000002"/>
    <n v="0.81299999999999994"/>
    <n v="0.99399999999999999"/>
    <n v="0.97199999999999998"/>
    <s v="M"/>
    <s v="F"/>
    <s v="M"/>
    <s v="M"/>
    <s v="M"/>
    <s v="M"/>
    <s v="F"/>
    <s v="F"/>
    <s v="M"/>
    <s v="M"/>
    <s v="M"/>
    <s v="F"/>
    <s v="M"/>
    <s v="M"/>
    <s v="M"/>
    <s v="M"/>
    <s v="M"/>
    <s v="M"/>
    <s v="F"/>
    <s v="F"/>
    <m/>
    <m/>
    <m/>
    <m/>
    <m/>
    <m/>
    <m/>
    <m/>
    <m/>
    <m/>
    <m/>
    <m/>
    <m/>
    <m/>
    <m/>
    <m/>
    <m/>
    <m/>
    <m/>
    <m/>
    <n v="3.208378996158868"/>
    <n v="1374.0074169832742"/>
    <n v="2.2560667360250299"/>
    <n v="6.6530213027982503"/>
    <n v="2.1153699989897001"/>
    <n v="2.27831812361593"/>
    <n v="1.85377238770398"/>
    <n v="1.7053161125516001"/>
    <n v="5.5143645631778799"/>
    <n v="7.4860182734945502"/>
    <n v="2.2560667360250299"/>
    <n v="2.2895051838095601"/>
    <n v="2.5950689907210802"/>
    <n v="4.41722206537513"/>
    <n v="2.3346648602228699"/>
    <n v="2.2339783292891302"/>
    <n v="2.1472386639509198"/>
    <n v="2.03211615028916"/>
    <n v="1.85377238770398"/>
    <n v="2.31200253519168"/>
    <n v="5.1351458847879599"/>
    <n v="4.6985506374539199"/>
    <m/>
  </r>
  <r>
    <x v="6"/>
    <s v="CYCCOPE"/>
    <s v="IMM"/>
    <n v="-1"/>
    <n v="100"/>
    <n v="-1"/>
    <n v="-1"/>
    <n v="-1"/>
    <n v="-1"/>
    <n v="-1"/>
    <n v="-1"/>
    <n v="-1"/>
    <n v="2975"/>
    <n v="362.92877700362698"/>
    <n v="-1"/>
    <n v="-1"/>
    <n v="-1"/>
    <n v="0.45600000000000002"/>
    <n v="0.41399999999999998"/>
    <n v="0.84399999999999997"/>
    <n v="0.81399999999999995"/>
    <n v="0.878"/>
    <n v="0.65400000000000003"/>
    <n v="0.67700000000000005"/>
    <n v="0.76900000000000002"/>
    <n v="0.83699999999999997"/>
    <n v="0.82599999999999996"/>
    <n v="0.67700000000000005"/>
    <n v="0.55800000000000005"/>
    <n v="0.81599999999999995"/>
    <n v="0.63600000000000001"/>
    <n v="0.35"/>
    <n v="0.69199999999999995"/>
    <n v="0.80600000000000005"/>
    <n v="0.63200000000000001"/>
    <n v="0.377"/>
    <n v="0.545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680301866006472"/>
    <n v="496.49752252701649"/>
    <n v="0.23281945342660601"/>
    <n v="0.15864273708680801"/>
    <n v="2.6823061976212301"/>
    <n v="2.3233130260173298"/>
    <n v="3.1376324514621898"/>
    <n v="0.97447903654810897"/>
    <n v="1.1178045025624499"/>
    <n v="1.85377238770398"/>
    <n v="2.5950689907210802"/>
    <n v="2.4622924181654402"/>
    <n v="1.1178045025624499"/>
    <n v="0.51887961577876396"/>
    <n v="2.3460581379249699"/>
    <n v="0.87227532860314405"/>
    <n v="8.1447728364652805E-2"/>
    <n v="1.2194107938735299"/>
    <n v="2.2339783292891302"/>
    <n v="0.85069844849835996"/>
    <n v="0.10939664427252099"/>
    <n v="0.47252300153019799"/>
    <m/>
  </r>
  <r>
    <x v="6"/>
    <s v="DIACOPE"/>
    <s v="IMM"/>
    <n v="-1"/>
    <n v="12"/>
    <n v="-1"/>
    <n v="-1"/>
    <n v="-1"/>
    <n v="-1"/>
    <n v="-1"/>
    <n v="-1"/>
    <n v="-1"/>
    <n v="357"/>
    <n v="43.551453240435301"/>
    <n v="-1"/>
    <n v="-1"/>
    <n v="-1"/>
    <n v="0.53200000000000003"/>
    <n v="0.47699999999999998"/>
    <n v="0.74399999999999999"/>
    <n v="0.46500000000000002"/>
    <n v="0.48299999999999998"/>
    <n v="0.67100000000000004"/>
    <n v="0.64700000000000002"/>
    <n v="0.48099999999999998"/>
    <n v="0.44400000000000001"/>
    <n v="0.495"/>
    <n v="0.66400000000000003"/>
    <n v="0.44900000000000001"/>
    <m/>
    <m/>
    <m/>
    <m/>
    <m/>
    <m/>
    <m/>
    <m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n v="1.096044411525676"/>
    <n v="47.734326938000905"/>
    <n v="0.95639952967041897"/>
    <n v="0.72092623143924395"/>
    <n v="2.2798282419575902"/>
    <n v="0.67488748419023703"/>
    <n v="0.74464845861086204"/>
    <n v="1.74477549670273"/>
    <n v="1.58770683044659"/>
    <n v="0.73668864187058802"/>
    <n v="0.59875633145112805"/>
    <n v="0.79351600625052998"/>
    <n v="1.69802293451633"/>
    <n v="0.61637675120186597"/>
    <m/>
    <m/>
    <m/>
    <m/>
    <m/>
    <m/>
    <m/>
    <m/>
    <m/>
  </r>
  <r>
    <x v="6"/>
    <s v="DREPOLYV"/>
    <s v="MOL"/>
    <n v="-1"/>
    <n v="-1"/>
    <n v="-1"/>
    <n v="-1"/>
    <n v="-1"/>
    <n v="-1"/>
    <n v="-1"/>
    <n v="-1"/>
    <n v="-1"/>
    <n v="1110"/>
    <n v="135.41208150387399"/>
    <n v="185"/>
    <n v="-1"/>
    <n v="185"/>
    <n v="7.5999999999999998E-2"/>
    <n v="7.6999999999999999E-2"/>
    <n v="7.6999999999999999E-2"/>
    <n v="8.4000000000000005E-2"/>
    <n v="7.2999999999999995E-2"/>
    <n v="8.4000000000000005E-2"/>
    <n v="7.8E-2"/>
    <n v="7.6999999999999999E-2"/>
    <n v="8.7999999999999995E-2"/>
    <n v="8.1000000000000003E-2"/>
    <n v="8.5999999999999993E-2"/>
    <n v="7.9000000000000001E-2"/>
    <n v="7.9000000000000001E-2"/>
    <n v="7.8E-2"/>
    <n v="7.2999999999999995E-2"/>
    <n v="8.4000000000000005E-2"/>
    <n v="8.8999999999999996E-2"/>
    <n v="7.8E-2"/>
    <n v="7.8E-2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206066817006447"/>
    <n v="13.820247516584608"/>
    <n v="9.4526084689219525E-2"/>
    <n v="9.619485028214779E-2"/>
    <n v="9.619485028214779E-2"/>
    <n v="0.10873087852656856"/>
    <n v="8.9691483909852543E-2"/>
    <n v="0.10873087852656856"/>
    <n v="9.7893076299818055E-2"/>
    <n v="9.619485028214779E-2"/>
    <n v="0.11661475677470312"/>
    <n v="0.10316976392212798"/>
    <n v="0.11260384075721208"/>
    <n v="9.962128283722127E-2"/>
    <n v="9.962128283722127E-2"/>
    <n v="9.7893076299818055E-2"/>
    <n v="8.9691483909852543E-2"/>
    <n v="0.10873087852656856"/>
    <n v="0.11867347627390945"/>
    <n v="9.7893076299818055E-2"/>
    <n v="9.7893076299818055E-2"/>
    <n v="0.11065041586454837"/>
    <m/>
  </r>
  <r>
    <x v="6"/>
    <s v="COPNAUP"/>
    <s v="NAU"/>
    <n v="-1"/>
    <n v="-1"/>
    <n v="-1"/>
    <n v="-1"/>
    <n v="-1"/>
    <n v="-1"/>
    <n v="-1"/>
    <n v="-1"/>
    <n v="-1"/>
    <n v="474"/>
    <n v="57.824618588141"/>
    <n v="79"/>
    <n v="-1"/>
    <n v="79"/>
    <n v="0.19800000000000001"/>
    <n v="0.16800000000000001"/>
    <n v="0.19800000000000001"/>
    <n v="0.151"/>
    <n v="0.14299999999999999"/>
    <n v="0.13800000000000001"/>
    <n v="0.14000000000000001"/>
    <n v="0.17399999999999999"/>
    <n v="0.16200000000000001"/>
    <n v="0.114"/>
    <n v="0.14299999999999999"/>
    <n v="0.16800000000000001"/>
    <n v="0.14799999999999999"/>
    <n v="0.14899999999999999"/>
    <n v="0.13100000000000001"/>
    <n v="0.13300000000000001"/>
    <n v="0.14000000000000001"/>
    <n v="0.14799999999999999"/>
    <n v="0.188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0048080335310315E-2"/>
    <n v="4.6287497141021889"/>
    <n v="0.14460176027961549"/>
    <n v="9.7480870620755999E-2"/>
    <n v="0.14460176027961549"/>
    <n v="7.5460868039834816E-2"/>
    <n v="6.6219151722577044E-2"/>
    <n v="6.0797669266349663E-2"/>
    <n v="6.2933865666250186E-2"/>
    <n v="0.10604625083069369"/>
    <n v="8.9333254911206222E-2"/>
    <n v="3.84369365105749E-2"/>
    <n v="6.6219151722577044E-2"/>
    <n v="9.7480870620755999E-2"/>
    <n v="7.1912641255667167E-2"/>
    <n v="7.3084312737679707E-2"/>
    <n v="5.3657228001919549E-2"/>
    <n v="5.564434844158727E-2"/>
    <n v="6.2933865666250186E-2"/>
    <n v="7.1912641255667167E-2"/>
    <n v="0.12768972786484611"/>
    <n v="3.4514431011782545E-2"/>
    <m/>
  </r>
  <r>
    <x v="6"/>
    <s v="COOUNIC"/>
    <s v="ROT"/>
    <n v="-1"/>
    <n v="-1"/>
    <n v="-1"/>
    <n v="-1"/>
    <n v="-1"/>
    <n v="-1"/>
    <n v="-1"/>
    <n v="-1"/>
    <n v="-1"/>
    <n v="12"/>
    <n v="1.4639143946364801"/>
    <n v="2"/>
    <n v="-1"/>
    <n v="2"/>
    <n v="0.151"/>
    <n v="0.1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999999999999999E-2"/>
    <n v="9.2999999999999999E-2"/>
    <m/>
    <m/>
    <m/>
    <m/>
    <m/>
    <m/>
    <m/>
    <m/>
    <m/>
    <m/>
    <m/>
    <m/>
    <m/>
    <m/>
    <m/>
    <m/>
    <m/>
    <m/>
    <n v="2.3264279999999998E-2"/>
    <n v="3.4056914372853568E-2"/>
    <n v="1.1448216000000001E-2"/>
    <n v="3.5080343999999999E-2"/>
    <m/>
    <m/>
    <m/>
    <m/>
    <m/>
    <m/>
    <m/>
    <m/>
    <m/>
    <m/>
    <m/>
    <m/>
    <m/>
    <m/>
    <m/>
    <m/>
    <m/>
    <m/>
    <m/>
  </r>
  <r>
    <x v="6"/>
    <s v="KERCRAS"/>
    <s v="ROT"/>
    <n v="-1"/>
    <n v="-1"/>
    <n v="-1"/>
    <n v="-1"/>
    <n v="-1"/>
    <n v="-1"/>
    <n v="-1"/>
    <n v="-1"/>
    <n v="-1"/>
    <n v="12"/>
    <n v="1.4639143946364801"/>
    <n v="2"/>
    <n v="-1"/>
    <n v="2"/>
    <n v="0.127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967659999999999E-3"/>
    <n v="5.9973147188573141E-3"/>
    <n v="4.0967659999999999E-3"/>
    <n v="4.0967659999999999E-3"/>
    <m/>
    <m/>
    <m/>
    <m/>
    <m/>
    <m/>
    <m/>
    <m/>
    <m/>
    <m/>
    <m/>
    <m/>
    <m/>
    <m/>
    <m/>
    <m/>
    <m/>
    <m/>
    <m/>
  </r>
  <r>
    <x v="6"/>
    <s v="KEREARL"/>
    <s v="ROT"/>
    <n v="-1"/>
    <n v="-1"/>
    <n v="-1"/>
    <n v="-1"/>
    <n v="-1"/>
    <n v="-1"/>
    <n v="-1"/>
    <n v="-1"/>
    <n v="-1"/>
    <n v="6"/>
    <n v="0.73195719731824005"/>
    <n v="1"/>
    <n v="-1"/>
    <n v="1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8098559999999999E-3"/>
    <n v="2.0566943226278406E-3"/>
    <n v="2.8098559999999999E-3"/>
    <m/>
    <m/>
    <m/>
    <m/>
    <m/>
    <m/>
    <m/>
    <m/>
    <m/>
    <m/>
    <m/>
    <m/>
    <m/>
    <m/>
    <m/>
    <m/>
    <m/>
    <m/>
    <m/>
    <m/>
  </r>
  <r>
    <x v="6"/>
    <s v="KERSP"/>
    <s v="ROT"/>
    <n v="-1"/>
    <n v="-1"/>
    <n v="-1"/>
    <n v="-1"/>
    <n v="-1"/>
    <n v="-1"/>
    <n v="-1"/>
    <n v="-1"/>
    <n v="-1"/>
    <n v="30"/>
    <n v="3.6597859865912001"/>
    <n v="5"/>
    <n v="-1"/>
    <n v="5"/>
    <n v="0.13200000000000001"/>
    <n v="0.125"/>
    <n v="0.121"/>
    <n v="0.11700000000000001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131563999999991E-3"/>
    <n v="1.3955336357400545E-2"/>
    <n v="4.5999359999999998E-3"/>
    <n v="3.90625E-3"/>
    <n v="3.5431220000000001E-3"/>
    <n v="3.203226E-3"/>
    <n v="3.813248E-3"/>
    <m/>
    <m/>
    <m/>
    <m/>
    <m/>
    <m/>
    <m/>
    <m/>
    <m/>
    <m/>
    <m/>
    <m/>
    <m/>
    <m/>
    <m/>
    <m/>
  </r>
  <r>
    <x v="6"/>
    <s v="MONCOPE"/>
    <s v="ROT"/>
    <n v="-1"/>
    <n v="-1"/>
    <n v="-1"/>
    <n v="-1"/>
    <n v="-1"/>
    <n v="-1"/>
    <n v="-1"/>
    <n v="-1"/>
    <n v="-1"/>
    <n v="6"/>
    <n v="0.73195719731824005"/>
    <n v="1"/>
    <n v="-1"/>
    <n v="1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1064499999999994E-3"/>
    <n v="5.933574422200447E-3"/>
    <n v="8.1064499999999994E-3"/>
    <m/>
    <m/>
    <m/>
    <m/>
    <m/>
    <m/>
    <m/>
    <m/>
    <m/>
    <m/>
    <m/>
    <m/>
    <m/>
    <m/>
    <m/>
    <m/>
    <m/>
    <m/>
    <m/>
    <m/>
  </r>
  <r>
    <x v="6"/>
    <s v="POLDOLI"/>
    <s v="ROT"/>
    <n v="-1"/>
    <n v="-1"/>
    <n v="-1"/>
    <n v="-1"/>
    <n v="-1"/>
    <n v="-1"/>
    <n v="-1"/>
    <n v="-1"/>
    <n v="-1"/>
    <n v="30"/>
    <n v="3.6597859865912001"/>
    <n v="5"/>
    <n v="-1"/>
    <n v="5"/>
    <n v="0.124"/>
    <n v="0.128"/>
    <n v="0.115"/>
    <n v="0.13500000000000001"/>
    <n v="0.13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036000719999999E-2"/>
    <n v="0.23069827208580879"/>
    <n v="5.8724019199999998E-2"/>
    <n v="6.4592281599999996E-2"/>
    <n v="4.6842950000000001E-2"/>
    <n v="7.5779550000000001E-2"/>
    <n v="6.9241202799999998E-2"/>
    <m/>
    <m/>
    <m/>
    <m/>
    <m/>
    <m/>
    <m/>
    <m/>
    <m/>
    <m/>
    <m/>
    <m/>
    <m/>
    <m/>
    <m/>
    <m/>
  </r>
  <r>
    <x v="6"/>
    <s v="SYNSP"/>
    <s v="ROT"/>
    <n v="-1"/>
    <n v="-1"/>
    <n v="-1"/>
    <n v="-1"/>
    <n v="-1"/>
    <n v="-1"/>
    <n v="-1"/>
    <n v="-1"/>
    <n v="-1"/>
    <n v="1032"/>
    <n v="125.896637938737"/>
    <n v="172"/>
    <n v="-1"/>
    <n v="172"/>
    <n v="0.13500000000000001"/>
    <n v="0.19400000000000001"/>
    <n v="0.219"/>
    <n v="0.17799999999999999"/>
    <n v="0.20100000000000001"/>
    <n v="0.17499999999999999"/>
    <n v="0.158"/>
    <n v="0.20899999999999999"/>
    <n v="0.20899999999999999"/>
    <n v="0.193"/>
    <n v="0.128"/>
    <n v="0.13600000000000001"/>
    <n v="0.2"/>
    <n v="0.19600000000000001"/>
    <n v="0.13900000000000001"/>
    <n v="0.17599999999999999"/>
    <n v="0.125"/>
    <n v="0.124"/>
    <n v="0.19900000000000001"/>
    <n v="0.16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6769245999999995E-2"/>
    <n v="7.1470572097170928"/>
    <n v="2.4603750000000001E-2"/>
    <n v="7.3013839999999997E-2"/>
    <n v="0.10503459"/>
    <n v="5.639752E-2"/>
    <n v="8.1206009999999995E-2"/>
    <n v="5.3593750000000002E-2"/>
    <n v="3.9443119999999998E-2"/>
    <n v="9.1293289999999999E-2"/>
    <n v="9.1293289999999999E-2"/>
    <n v="7.1890570000000001E-2"/>
    <n v="2.097152E-2"/>
    <n v="2.5154559999999999E-2"/>
    <n v="0.08"/>
    <n v="7.5295360000000006E-2"/>
    <n v="2.6856189999999999E-2"/>
    <n v="5.4517759999999998E-2"/>
    <n v="1.953125E-2"/>
    <n v="1.9066240000000002E-2"/>
    <n v="7.8805990000000006E-2"/>
    <n v="4.7416319999999998E-2"/>
    <m/>
  </r>
  <r>
    <x v="7"/>
    <s v="DIYTHOM"/>
    <s v="COP"/>
    <n v="-1"/>
    <n v="35"/>
    <n v="62"/>
    <n v="-1"/>
    <n v="-1"/>
    <n v="-1"/>
    <n v="-1"/>
    <n v="-1"/>
    <n v="-1"/>
    <n v="1212.5"/>
    <n v="621.24867122385604"/>
    <n v="-1"/>
    <n v="-1"/>
    <n v="-1"/>
    <n v="0.752"/>
    <n v="0.95699999999999996"/>
    <n v="0.78700000000000003"/>
    <n v="0.94299999999999995"/>
    <n v="0.95299999999999996"/>
    <n v="0.76400000000000001"/>
    <n v="0.83399999999999996"/>
    <n v="0.79"/>
    <n v="0.747"/>
    <n v="0.97099999999999997"/>
    <n v="0.83899999999999997"/>
    <n v="0.77600000000000002"/>
    <n v="0.79700000000000004"/>
    <n v="0.90400000000000003"/>
    <n v="0.997"/>
    <n v="0.77"/>
    <n v="0.76300000000000001"/>
    <n v="0.77200000000000002"/>
    <n v="0.91900000000000004"/>
    <n v="0.96099999999999997"/>
    <s v="M"/>
    <s v="F"/>
    <s v="M"/>
    <s v="F"/>
    <s v="F"/>
    <s v="M"/>
    <s v="M"/>
    <s v="M"/>
    <s v="M"/>
    <s v="F"/>
    <s v="M"/>
    <s v="M"/>
    <s v="M"/>
    <s v="F"/>
    <s v="F"/>
    <s v="M"/>
    <s v="M"/>
    <s v="M"/>
    <s v="F"/>
    <s v="F"/>
    <m/>
    <m/>
    <m/>
    <m/>
    <m/>
    <m/>
    <m/>
    <m/>
    <m/>
    <m/>
    <m/>
    <m/>
    <m/>
    <m/>
    <m/>
    <m/>
    <m/>
    <m/>
    <m/>
    <m/>
    <n v="2.9304165944441523"/>
    <n v="1820.517415430767"/>
    <n v="1.6963429847904099"/>
    <n v="4.41722206537513"/>
    <n v="2.03211615028916"/>
    <n v="4.1662013962107798"/>
    <n v="4.3443784975512196"/>
    <n v="1.80638148633513"/>
    <n v="2.55833882096419"/>
    <n v="2.0630435335392199"/>
    <n v="1.6520060336426901"/>
    <n v="4.6793893542606204"/>
    <n v="2.61977398062748"/>
    <n v="1.92167470408387"/>
    <n v="2.1365761486443402"/>
    <n v="3.5230394713450499"/>
    <n v="5.1969509569900803"/>
    <n v="1.86336107463689"/>
    <n v="1.7970131520014301"/>
    <n v="1.8826497124193"/>
    <n v="3.7608968323137502"/>
    <n v="4.4909755328623104"/>
    <m/>
  </r>
  <r>
    <x v="7"/>
    <s v="HARSP"/>
    <s v="COP"/>
    <n v="-1"/>
    <n v="2"/>
    <n v="0"/>
    <n v="-1"/>
    <n v="-1"/>
    <n v="-1"/>
    <n v="-1"/>
    <n v="-1"/>
    <n v="-1"/>
    <n v="25"/>
    <n v="12.809250953069199"/>
    <n v="-1"/>
    <n v="-1"/>
    <n v="-1"/>
    <n v="0.628"/>
    <n v="0.57899999999999996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303122499864499"/>
    <n v="17.040303456018563"/>
    <n v="1.4697507940894901"/>
    <n v="1.19087370588341"/>
    <m/>
    <m/>
    <m/>
    <m/>
    <m/>
    <m/>
    <m/>
    <m/>
    <m/>
    <m/>
    <m/>
    <m/>
    <m/>
    <m/>
    <m/>
    <m/>
    <m/>
    <m/>
    <m/>
  </r>
  <r>
    <x v="7"/>
    <s v="LEOSICI"/>
    <s v="COP"/>
    <n v="-1"/>
    <n v="4"/>
    <n v="3"/>
    <n v="-1"/>
    <n v="-1"/>
    <n v="-1"/>
    <n v="-1"/>
    <n v="-1"/>
    <n v="-1"/>
    <n v="87.5"/>
    <n v="44.832378335742199"/>
    <n v="-1"/>
    <n v="-1"/>
    <n v="-1"/>
    <n v="1.36"/>
    <n v="1.2769999999999999"/>
    <n v="1.232"/>
    <n v="1.4139999999999999"/>
    <n v="1.2709999999999999"/>
    <n v="1.3720000000000001"/>
    <n v="1.4219999999999999"/>
    <m/>
    <m/>
    <m/>
    <m/>
    <m/>
    <m/>
    <m/>
    <m/>
    <m/>
    <m/>
    <m/>
    <m/>
    <m/>
    <s v="F"/>
    <s v="M"/>
    <s v="M"/>
    <s v="F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430405249078689"/>
    <n v="467.61987432180712"/>
    <n v="10.8741169355306"/>
    <n v="9.2376743898150604"/>
    <n v="8.4180201214849397"/>
    <n v="12.0279661368057"/>
    <n v="9.1256792934622197"/>
    <n v="11.1243687058047"/>
    <n v="12.205011160647601"/>
    <m/>
    <m/>
    <m/>
    <m/>
    <m/>
    <m/>
    <m/>
    <m/>
    <m/>
    <m/>
    <m/>
    <m/>
    <m/>
    <m/>
  </r>
  <r>
    <x v="7"/>
    <s v="LIMMACR"/>
    <s v="COP"/>
    <n v="-1"/>
    <n v="2"/>
    <n v="1"/>
    <n v="-1"/>
    <n v="-1"/>
    <n v="-1"/>
    <n v="-1"/>
    <n v="-1"/>
    <n v="-1"/>
    <n v="37.5"/>
    <n v="19.2138764296038"/>
    <n v="-1"/>
    <n v="-1"/>
    <n v="-1"/>
    <n v="2.6070000000000002"/>
    <n v="2.4350000000000001"/>
    <n v="2.4319999999999999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.270176194337431"/>
    <n v="1004.3127063516176"/>
    <n v="58.658843586676497"/>
    <n v="49.154190355276498"/>
    <n v="48.997494641059298"/>
    <m/>
    <m/>
    <m/>
    <m/>
    <m/>
    <m/>
    <m/>
    <m/>
    <m/>
    <m/>
    <m/>
    <m/>
    <m/>
    <m/>
    <m/>
    <m/>
    <m/>
    <m/>
  </r>
  <r>
    <x v="7"/>
    <s v="SKIOREG"/>
    <s v="COP"/>
    <n v="-1"/>
    <n v="2"/>
    <n v="0"/>
    <n v="-1"/>
    <n v="-1"/>
    <n v="-1"/>
    <n v="-1"/>
    <n v="-1"/>
    <n v="-1"/>
    <n v="25"/>
    <n v="12.809250953069199"/>
    <n v="-1"/>
    <n v="-1"/>
    <n v="-1"/>
    <n v="1.3140000000000001"/>
    <n v="1.347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276950572686754"/>
    <n v="131.64003891783287"/>
    <n v="9.9469565793647092"/>
    <n v="10.606944566008799"/>
    <m/>
    <m/>
    <m/>
    <m/>
    <m/>
    <m/>
    <m/>
    <m/>
    <m/>
    <m/>
    <m/>
    <m/>
    <m/>
    <m/>
    <m/>
    <m/>
    <m/>
    <m/>
    <m/>
  </r>
  <r>
    <x v="7"/>
    <s v="CYCCOPE"/>
    <s v="IMM"/>
    <n v="-1"/>
    <n v="76"/>
    <n v="-1"/>
    <n v="-1"/>
    <n v="-1"/>
    <n v="-1"/>
    <n v="-1"/>
    <n v="-1"/>
    <n v="-1"/>
    <n v="950"/>
    <n v="486.75153621662997"/>
    <n v="-1"/>
    <n v="-1"/>
    <n v="-1"/>
    <n v="0.66200000000000003"/>
    <n v="0.71299999999999997"/>
    <n v="0.65800000000000003"/>
    <n v="0.66200000000000003"/>
    <n v="0.77700000000000002"/>
    <n v="0.76300000000000001"/>
    <n v="0.64"/>
    <n v="0.82499999999999996"/>
    <n v="0.66600000000000004"/>
    <n v="0.56000000000000005"/>
    <n v="0.55800000000000005"/>
    <n v="0.78700000000000003"/>
    <n v="0.69799999999999995"/>
    <n v="0.56699999999999995"/>
    <n v="0.73799999999999999"/>
    <n v="0.86299999999999999"/>
    <n v="0.82099999999999995"/>
    <n v="0.77700000000000002"/>
    <n v="0.79"/>
    <n v="0.8040000000000000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527221326682247"/>
    <n v="743.37732690538337"/>
    <n v="1.0226689213157001"/>
    <n v="1.3730750429535801"/>
    <n v="0.99835647187642296"/>
    <n v="1.0226689213157001"/>
    <n v="1.93152478183761"/>
    <n v="1.7970131520014301"/>
    <n v="0.89425903501841097"/>
    <n v="2.4504791728531501"/>
    <n v="1.0474216097848601"/>
    <n v="0.52630234754966199"/>
    <n v="0.51887961577876396"/>
    <n v="2.03211615028916"/>
    <n v="1.2619288457620901"/>
    <n v="0.55290890390602798"/>
    <n v="1.57439099255107"/>
    <n v="2.9301624525319099"/>
    <n v="2.4036496913128098"/>
    <n v="1.93152478183761"/>
    <n v="2.0630435335392199"/>
    <n v="2.2120521096297501"/>
    <m/>
  </r>
  <r>
    <x v="7"/>
    <s v="DIACOPE"/>
    <s v="IMM"/>
    <n v="-1"/>
    <n v="2"/>
    <n v="-1"/>
    <n v="-1"/>
    <n v="-1"/>
    <n v="-1"/>
    <n v="-1"/>
    <n v="-1"/>
    <n v="-1"/>
    <n v="25"/>
    <n v="12.809250953069199"/>
    <n v="-1"/>
    <n v="-1"/>
    <n v="-1"/>
    <n v="0.46400000000000002"/>
    <n v="0.81599999999999995"/>
    <m/>
    <m/>
    <m/>
    <m/>
    <m/>
    <m/>
    <m/>
    <m/>
    <m/>
    <m/>
    <m/>
    <m/>
    <m/>
    <m/>
    <m/>
    <m/>
    <m/>
    <m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835913676832229"/>
    <n v="22.84646942638232"/>
    <n v="0.671134857517246"/>
    <n v="2.8960478778491998"/>
    <m/>
    <m/>
    <m/>
    <m/>
    <m/>
    <m/>
    <m/>
    <m/>
    <m/>
    <m/>
    <m/>
    <m/>
    <m/>
    <m/>
    <m/>
    <m/>
    <m/>
    <m/>
    <m/>
  </r>
  <r>
    <x v="7"/>
    <s v="MYSRELI"/>
    <s v="MAL"/>
    <n v="1"/>
    <n v="-1"/>
    <n v="-1"/>
    <n v="-1"/>
    <n v="-1"/>
    <n v="-1"/>
    <n v="-1"/>
    <n v="-1"/>
    <n v="-1"/>
    <n v="1"/>
    <n v="0.51237003812276805"/>
    <n v="-1"/>
    <n v="-1"/>
    <n v="-1"/>
    <n v="4.748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.42903854440499"/>
    <n v="125.75048583543109"/>
    <n v="245.42903854440499"/>
    <m/>
    <m/>
    <m/>
    <m/>
    <m/>
    <m/>
    <m/>
    <m/>
    <m/>
    <m/>
    <m/>
    <m/>
    <m/>
    <m/>
    <m/>
    <m/>
    <m/>
    <m/>
    <m/>
    <m/>
  </r>
  <r>
    <x v="7"/>
    <s v="DREPOLYV"/>
    <s v="MOL"/>
    <n v="-1"/>
    <n v="-1"/>
    <n v="-1"/>
    <n v="-1"/>
    <n v="-1"/>
    <n v="-1"/>
    <n v="-1"/>
    <n v="-1"/>
    <n v="-1"/>
    <n v="42"/>
    <n v="21.519541601156298"/>
    <n v="42"/>
    <n v="-1"/>
    <n v="42"/>
    <n v="7.8E-2"/>
    <n v="7.3999999999999996E-2"/>
    <n v="7.1999999999999995E-2"/>
    <n v="7.6999999999999999E-2"/>
    <n v="0.126"/>
    <n v="7.0000000000000007E-2"/>
    <n v="7.9000000000000001E-2"/>
    <n v="7.3999999999999996E-2"/>
    <n v="8.3000000000000004E-2"/>
    <n v="0.11899999999999999"/>
    <n v="0.14399999999999999"/>
    <n v="7.6999999999999999E-2"/>
    <n v="6.8000000000000005E-2"/>
    <n v="6.5000000000000002E-2"/>
    <n v="0.10199999999999999"/>
    <n v="0.114"/>
    <n v="7.5999999999999998E-2"/>
    <n v="8.1000000000000003E-2"/>
    <n v="6.9000000000000006E-2"/>
    <n v="6.9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242595381548298"/>
    <n v="2.6345504061935254"/>
    <n v="9.7893076299818055E-2"/>
    <n v="9.1274899353531794E-2"/>
    <n v="8.8135537184134569E-2"/>
    <n v="9.619485028214779E-2"/>
    <n v="0.2267562891964103"/>
    <n v="8.5104152069770483E-2"/>
    <n v="9.962128283722127E-2"/>
    <n v="9.1274899353531794E-2"/>
    <n v="0.10684464086996007"/>
    <n v="0.20061262803513641"/>
    <n v="0.31071491658943862"/>
    <n v="9.619485028214779E-2"/>
    <n v="8.2177030184577976E-2"/>
    <n v="7.7974030182169807E-2"/>
    <n v="0.14898949868956468"/>
    <n v="0.18380507569726992"/>
    <n v="9.4526084689219525E-2"/>
    <n v="0.10316976392212798"/>
    <n v="8.3627785295740331E-2"/>
    <n v="8.3627785295740331E-2"/>
    <m/>
  </r>
  <r>
    <x v="7"/>
    <s v="COPNAUP"/>
    <s v="NAU"/>
    <n v="-1"/>
    <n v="-1"/>
    <n v="-1"/>
    <n v="-1"/>
    <n v="-1"/>
    <n v="-1"/>
    <n v="-1"/>
    <n v="-1"/>
    <n v="-1"/>
    <n v="649"/>
    <n v="332.52815474167699"/>
    <n v="649"/>
    <n v="-1"/>
    <n v="649"/>
    <n v="0.09"/>
    <n v="0.113"/>
    <n v="0.13300000000000001"/>
    <n v="0.122"/>
    <n v="0.127"/>
    <n v="0.122"/>
    <n v="0.11"/>
    <n v="9.9000000000000005E-2"/>
    <n v="9.2999999999999999E-2"/>
    <n v="0.11600000000000001"/>
    <n v="0.109"/>
    <n v="0.125"/>
    <n v="0.123"/>
    <n v="0.128"/>
    <n v="9.2999999999999999E-2"/>
    <n v="0.109"/>
    <n v="9.8000000000000004E-2"/>
    <n v="9.7000000000000003E-2"/>
    <n v="0.113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523941699983451E-2"/>
    <n v="12.477767092129763"/>
    <n v="2.1795114043230611E-2"/>
    <n v="3.7632700791829184E-2"/>
    <n v="5.564434844158727E-2"/>
    <n v="4.5231471504872452E-2"/>
    <n v="4.9808797095077323E-2"/>
    <n v="4.5231471504872452E-2"/>
    <n v="3.5279268165910829E-2"/>
    <n v="2.7396910450297313E-2"/>
    <n v="2.3579587303706791E-2"/>
    <n v="4.0075255261918477E-2"/>
    <n v="3.4514431011782545E-2"/>
    <n v="4.7946968582758688E-2"/>
    <n v="4.6126381923769305E-2"/>
    <n v="5.0755259236681539E-2"/>
    <n v="2.3579587303706791E-2"/>
    <n v="3.4514431011782545E-2"/>
    <n v="2.6737432723878494E-2"/>
    <n v="2.6087309181848019E-2"/>
    <n v="3.7632700791829184E-2"/>
    <n v="4.090940766832931E-2"/>
    <m/>
  </r>
  <r>
    <x v="7"/>
    <s v="CEPSP"/>
    <s v="ROT"/>
    <n v="-1"/>
    <n v="-1"/>
    <n v="-1"/>
    <n v="-1"/>
    <n v="-1"/>
    <n v="-1"/>
    <n v="-1"/>
    <n v="-1"/>
    <n v="-1"/>
    <n v="6"/>
    <n v="3.07422022873661"/>
    <n v="6"/>
    <n v="-1"/>
    <n v="6"/>
    <n v="0.24099999999999999"/>
    <n v="0.23200000000000001"/>
    <n v="0.20799999999999999"/>
    <n v="0.158"/>
    <n v="0.188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744138499999996E-2"/>
    <n v="0.26052214484355696"/>
    <n v="0.1469739705"/>
    <n v="0.13111526400000001"/>
    <n v="9.4488576000000005E-2"/>
    <n v="4.1415276000000001E-2"/>
    <n v="6.9769055999999996E-2"/>
    <n v="2.47026885E-2"/>
    <m/>
    <m/>
    <m/>
    <m/>
    <m/>
    <m/>
    <m/>
    <m/>
    <m/>
    <m/>
    <m/>
    <m/>
    <m/>
    <m/>
    <m/>
  </r>
  <r>
    <x v="7"/>
    <s v="COLSP"/>
    <s v="ROT"/>
    <n v="-1"/>
    <n v="-1"/>
    <n v="-1"/>
    <n v="-1"/>
    <n v="-1"/>
    <n v="-1"/>
    <n v="-1"/>
    <n v="-1"/>
    <n v="-1"/>
    <n v="2"/>
    <n v="1.0247400762455401"/>
    <n v="2"/>
    <n v="-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999999999999999E-2"/>
    <n v="0.06"/>
    <m/>
    <m/>
    <m/>
    <m/>
    <m/>
    <m/>
    <m/>
    <m/>
    <m/>
    <m/>
    <m/>
    <m/>
    <m/>
    <m/>
    <m/>
    <m/>
    <m/>
    <m/>
    <n v="2.4378480000000001E-2"/>
    <n v="2.4981605453950374E-2"/>
    <n v="9.8769600000000006E-3"/>
    <n v="3.8879999999999998E-2"/>
    <m/>
    <m/>
    <m/>
    <m/>
    <m/>
    <m/>
    <m/>
    <m/>
    <m/>
    <m/>
    <m/>
    <m/>
    <m/>
    <m/>
    <m/>
    <m/>
    <m/>
    <m/>
    <m/>
  </r>
  <r>
    <x v="7"/>
    <s v="COOUNIC"/>
    <s v="ROT"/>
    <n v="-1"/>
    <n v="-1"/>
    <n v="-1"/>
    <n v="-1"/>
    <n v="-1"/>
    <n v="-1"/>
    <n v="-1"/>
    <n v="-1"/>
    <n v="-1"/>
    <n v="2"/>
    <n v="1.0247400762455401"/>
    <n v="2"/>
    <n v="-1"/>
    <n v="2"/>
    <n v="9.9000000000000005E-2"/>
    <n v="0.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999999999999999E-2"/>
    <n v="5.1999999999999998E-2"/>
    <m/>
    <m/>
    <m/>
    <m/>
    <m/>
    <m/>
    <m/>
    <m/>
    <m/>
    <m/>
    <m/>
    <m/>
    <m/>
    <m/>
    <m/>
    <m/>
    <m/>
    <m/>
    <n v="9.028590999999999E-3"/>
    <n v="9.2519590297297956E-3"/>
    <n v="7.2303660000000002E-3"/>
    <n v="1.0826816E-2"/>
    <m/>
    <m/>
    <m/>
    <m/>
    <m/>
    <m/>
    <m/>
    <m/>
    <m/>
    <m/>
    <m/>
    <m/>
    <m/>
    <m/>
    <m/>
    <m/>
    <m/>
    <m/>
    <m/>
  </r>
  <r>
    <x v="7"/>
    <s v="ENCSP"/>
    <s v="ROT"/>
    <n v="-1"/>
    <n v="-1"/>
    <n v="-1"/>
    <n v="-1"/>
    <n v="-1"/>
    <n v="-1"/>
    <n v="-1"/>
    <n v="-1"/>
    <n v="-1"/>
    <n v="15"/>
    <n v="7.68555057184152"/>
    <n v="15"/>
    <n v="-1"/>
    <n v="15"/>
    <n v="0.14599999999999999"/>
    <n v="0.246"/>
    <n v="0.22"/>
    <n v="0.24199999999999999"/>
    <n v="0.20499999999999999"/>
    <n v="0.23"/>
    <n v="0.22"/>
    <n v="0.26300000000000001"/>
    <n v="0.184"/>
    <n v="0.27800000000000002"/>
    <n v="0.27100000000000002"/>
    <n v="0.20100000000000001"/>
    <n v="0.26200000000000001"/>
    <n v="0.23200000000000001"/>
    <n v="0.2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961322970000001"/>
    <n v="1.0730045373574766"/>
    <n v="3.2677428000000001E-2"/>
    <n v="0.15631282799999999"/>
    <n v="0.111804"/>
    <n v="0.14881112399999999"/>
    <n v="9.0458812499999999E-2"/>
    <n v="0.12775349999999999"/>
    <n v="0.111804"/>
    <n v="0.19101019350000001"/>
    <n v="6.5409791999999994E-2"/>
    <n v="0.22559199599999999"/>
    <n v="0.20897636550000001"/>
    <n v="8.5266310499999998E-2"/>
    <n v="0.188839644"/>
    <n v="0.13111526400000001"/>
    <n v="0.2183671875"/>
    <m/>
    <m/>
    <m/>
    <m/>
    <m/>
    <m/>
  </r>
  <r>
    <x v="7"/>
    <s v="KELLONG"/>
    <s v="ROT"/>
    <n v="-1"/>
    <n v="-1"/>
    <n v="-1"/>
    <n v="-1"/>
    <n v="-1"/>
    <n v="-1"/>
    <n v="-1"/>
    <n v="-1"/>
    <n v="-1"/>
    <n v="2"/>
    <n v="1.0247400762455401"/>
    <n v="2"/>
    <n v="-1"/>
    <n v="2"/>
    <n v="0.115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6604646875000001E-3"/>
    <n v="5.8005050154539377E-3"/>
    <n v="4.6310643749999996E-3"/>
    <n v="6.6898649999999997E-3"/>
    <m/>
    <m/>
    <m/>
    <m/>
    <m/>
    <m/>
    <m/>
    <m/>
    <m/>
    <m/>
    <m/>
    <m/>
    <m/>
    <m/>
    <m/>
    <m/>
    <m/>
    <m/>
    <m/>
  </r>
  <r>
    <x v="7"/>
    <s v="KERCRAS"/>
    <s v="ROT"/>
    <n v="-1"/>
    <n v="-1"/>
    <n v="-1"/>
    <n v="-1"/>
    <n v="-1"/>
    <n v="-1"/>
    <n v="-1"/>
    <n v="-1"/>
    <n v="-1"/>
    <n v="1"/>
    <n v="0.51237003812276805"/>
    <n v="1"/>
    <n v="-1"/>
    <n v="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3226E-3"/>
    <n v="1.6412370277358419E-3"/>
    <n v="3.203226E-3"/>
    <m/>
    <m/>
    <m/>
    <m/>
    <m/>
    <m/>
    <m/>
    <m/>
    <m/>
    <m/>
    <m/>
    <m/>
    <m/>
    <m/>
    <m/>
    <m/>
    <m/>
    <m/>
    <m/>
    <m/>
  </r>
  <r>
    <x v="7"/>
    <s v="KERQUAD"/>
    <s v="ROT"/>
    <n v="-1"/>
    <n v="-1"/>
    <n v="-1"/>
    <n v="-1"/>
    <n v="-1"/>
    <n v="-1"/>
    <n v="-1"/>
    <n v="-1"/>
    <n v="-1"/>
    <n v="1"/>
    <n v="0.51237003812276805"/>
    <n v="1"/>
    <n v="-1"/>
    <n v="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750700000000003E-2"/>
    <n v="2.6003138093757167E-2"/>
    <n v="5.0750700000000003E-2"/>
    <m/>
    <m/>
    <m/>
    <m/>
    <m/>
    <m/>
    <m/>
    <m/>
    <m/>
    <m/>
    <m/>
    <m/>
    <m/>
    <m/>
    <m/>
    <m/>
    <m/>
    <m/>
    <m/>
    <m/>
  </r>
  <r>
    <x v="7"/>
    <s v="KERSP"/>
    <s v="ROT"/>
    <n v="-1"/>
    <n v="-1"/>
    <n v="-1"/>
    <n v="-1"/>
    <n v="-1"/>
    <n v="-1"/>
    <n v="-1"/>
    <n v="-1"/>
    <n v="-1"/>
    <n v="3"/>
    <n v="1.5371101143682999"/>
    <n v="3"/>
    <n v="-1"/>
    <n v="3"/>
    <n v="0.10299999999999999"/>
    <n v="0.11899999999999999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925020000000004E-3"/>
    <n v="4.7535161029041966E-3"/>
    <n v="2.1854539999999999E-3"/>
    <n v="3.3703180000000002E-3"/>
    <n v="3.721734E-3"/>
    <m/>
    <m/>
    <m/>
    <m/>
    <m/>
    <m/>
    <m/>
    <m/>
    <m/>
    <m/>
    <m/>
    <m/>
    <m/>
    <m/>
    <m/>
    <m/>
    <m/>
    <m/>
  </r>
  <r>
    <x v="7"/>
    <s v="NOOSP"/>
    <s v="ROT"/>
    <n v="-1"/>
    <n v="-1"/>
    <n v="-1"/>
    <n v="-1"/>
    <n v="-1"/>
    <n v="-1"/>
    <n v="-1"/>
    <n v="-1"/>
    <n v="-1"/>
    <n v="4"/>
    <n v="2.04948015249107"/>
    <n v="4"/>
    <n v="-1"/>
    <n v="4"/>
    <n v="0.185"/>
    <n v="0.13400000000000001"/>
    <n v="0.14299999999999999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040761999999999E-2"/>
    <n v="2.672678289235975E-2"/>
    <n v="2.2160687500000002E-2"/>
    <n v="8.4213640000000006E-3"/>
    <n v="1.02347245E-2"/>
    <n v="1.1346271999999999E-2"/>
    <m/>
    <m/>
    <m/>
    <m/>
    <m/>
    <m/>
    <m/>
    <m/>
    <m/>
    <m/>
    <m/>
    <m/>
    <m/>
    <m/>
    <m/>
    <m/>
    <m/>
  </r>
  <r>
    <x v="7"/>
    <s v="NOTLABI"/>
    <s v="ROT"/>
    <n v="-1"/>
    <n v="-1"/>
    <n v="-1"/>
    <n v="-1"/>
    <n v="-1"/>
    <n v="-1"/>
    <n v="-1"/>
    <n v="-1"/>
    <n v="-1"/>
    <n v="1"/>
    <n v="0.51237003812276805"/>
    <n v="1"/>
    <n v="-1"/>
    <n v="1"/>
    <n v="0.28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481491500000006E-2"/>
    <n v="4.3285785020523306E-2"/>
    <n v="8.4481491500000006E-2"/>
    <m/>
    <m/>
    <m/>
    <m/>
    <m/>
    <m/>
    <m/>
    <m/>
    <m/>
    <m/>
    <m/>
    <m/>
    <m/>
    <m/>
    <m/>
    <m/>
    <m/>
    <m/>
    <m/>
    <m/>
  </r>
  <r>
    <x v="7"/>
    <s v="SYNSP"/>
    <s v="ROT"/>
    <n v="-1"/>
    <n v="-1"/>
    <n v="-1"/>
    <n v="-1"/>
    <n v="-1"/>
    <n v="-1"/>
    <n v="-1"/>
    <n v="-1"/>
    <n v="-1"/>
    <n v="16"/>
    <n v="8.1979206099642905"/>
    <n v="16"/>
    <n v="-1"/>
    <n v="16"/>
    <n v="0.17399999999999999"/>
    <n v="0.107"/>
    <n v="0.153"/>
    <n v="0.161"/>
    <n v="0.13400000000000001"/>
    <n v="0.2"/>
    <n v="0.106"/>
    <n v="0.10299999999999999"/>
    <n v="0.152"/>
    <n v="0.154"/>
    <n v="0.11700000000000001"/>
    <n v="0.13600000000000001"/>
    <n v="0.121"/>
    <n v="9.1999999999999998E-2"/>
    <n v="0.14499999999999999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537961249999998E-2"/>
    <n v="0.24214986130770155"/>
    <n v="5.2680240000000003E-2"/>
    <n v="1.225043E-2"/>
    <n v="3.5815769999999997E-2"/>
    <n v="4.1732810000000002E-2"/>
    <n v="2.4061039999999999E-2"/>
    <n v="0.08"/>
    <n v="1.1910159999999999E-2"/>
    <n v="1.0927269999999999E-2"/>
    <n v="3.5118080000000003E-2"/>
    <n v="3.6522640000000002E-2"/>
    <n v="1.601613E-2"/>
    <n v="2.5154559999999999E-2"/>
    <n v="1.771561E-2"/>
    <n v="7.7868800000000004E-3"/>
    <n v="3.0486249999999999E-2"/>
    <n v="3.4429510000000003E-2"/>
    <m/>
    <m/>
    <m/>
    <m/>
    <m/>
  </r>
  <r>
    <x v="7"/>
    <s v="TYLMONO"/>
    <s v="ROT"/>
    <n v="-1"/>
    <n v="-1"/>
    <n v="-1"/>
    <n v="-1"/>
    <n v="-1"/>
    <n v="-1"/>
    <n v="-1"/>
    <n v="-1"/>
    <n v="-1"/>
    <n v="1"/>
    <n v="0.51237003812276805"/>
    <n v="1"/>
    <n v="-1"/>
    <n v="1"/>
    <n v="0.19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168372E-2"/>
    <n v="1.3920259797373543E-2"/>
    <n v="2.7168372E-2"/>
    <m/>
    <m/>
    <m/>
    <m/>
    <m/>
    <m/>
    <m/>
    <m/>
    <m/>
    <m/>
    <m/>
    <m/>
    <m/>
    <m/>
    <m/>
    <m/>
    <m/>
    <m/>
    <m/>
    <m/>
  </r>
  <r>
    <x v="8"/>
    <s v="BOSLONG"/>
    <s v="CLA"/>
    <n v="-1"/>
    <n v="6"/>
    <n v="-1"/>
    <n v="-1"/>
    <n v="-1"/>
    <n v="-1"/>
    <n v="-1"/>
    <n v="-1"/>
    <n v="-1"/>
    <n v="57.6"/>
    <n v="37.561381703836403"/>
    <n v="-1"/>
    <n v="-1"/>
    <n v="-1"/>
    <n v="0.371"/>
    <n v="0.28499999999999998"/>
    <n v="0.34599999999999997"/>
    <n v="0.28799999999999998"/>
    <n v="0.28399999999999997"/>
    <n v="0.28899999999999998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0035748212537416"/>
    <n v="30.062532885632599"/>
    <n v="1.22552627326874"/>
    <n v="0.628874710985174"/>
    <n v="1.0272334781416199"/>
    <n v="0.645757752872818"/>
    <n v="0.62330704450808005"/>
    <n v="0.65144563297581304"/>
    <m/>
    <m/>
    <m/>
    <m/>
    <m/>
    <m/>
    <m/>
    <m/>
    <m/>
    <m/>
    <m/>
    <m/>
    <m/>
    <m/>
    <m/>
  </r>
  <r>
    <x v="8"/>
    <s v="DAPGALEM"/>
    <s v="CLA"/>
    <n v="-1"/>
    <n v="8"/>
    <n v="-1"/>
    <n v="-1"/>
    <n v="-1"/>
    <n v="-1"/>
    <n v="-1"/>
    <n v="-1"/>
    <n v="-1"/>
    <n v="76.8"/>
    <n v="50.081842271781902"/>
    <n v="-1"/>
    <n v="-1"/>
    <n v="-1"/>
    <n v="0.59099999999999997"/>
    <n v="0.55300000000000005"/>
    <n v="0.56299999999999994"/>
    <n v="0.54600000000000004"/>
    <n v="1.2210000000000001"/>
    <n v="1.0580000000000001"/>
    <n v="1.4530000000000001"/>
    <n v="0.51200000000000001"/>
    <m/>
    <m/>
    <m/>
    <m/>
    <m/>
    <m/>
    <m/>
    <m/>
    <m/>
    <m/>
    <m/>
    <m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85885503484361"/>
    <n v="210.27304954265981"/>
    <n v="1.11553320026563"/>
    <n v="0.92366274552657701"/>
    <n v="0.97189175062572097"/>
    <n v="0.89084297537114898"/>
    <n v="8.7588389320913809"/>
    <n v="5.8306013756699198"/>
    <n v="14.3551719546555"/>
    <n v="0.74216546858161803"/>
    <m/>
    <m/>
    <m/>
    <m/>
    <m/>
    <m/>
    <m/>
    <m/>
    <m/>
    <m/>
    <m/>
    <m/>
    <m/>
  </r>
  <r>
    <x v="8"/>
    <s v="DIYTHOM"/>
    <s v="COP"/>
    <n v="-1"/>
    <n v="64"/>
    <n v="64"/>
    <n v="-1"/>
    <n v="-1"/>
    <n v="-1"/>
    <n v="-1"/>
    <n v="-1"/>
    <n v="-1"/>
    <n v="1228.8"/>
    <n v="801.30947634850997"/>
    <n v="-1"/>
    <n v="-1"/>
    <n v="-1"/>
    <n v="1.1140000000000001"/>
    <n v="0.91700000000000004"/>
    <n v="1.087"/>
    <n v="1.02"/>
    <n v="1.0549999999999999"/>
    <n v="0.83"/>
    <n v="0.84799999999999998"/>
    <n v="0.82599999999999996"/>
    <n v="1.169"/>
    <n v="0.97299999999999998"/>
    <n v="0.879"/>
    <n v="1.097"/>
    <n v="0.873"/>
    <n v="1.0920000000000001"/>
    <n v="1.0229999999999999"/>
    <n v="0.86"/>
    <n v="0.81699999999999995"/>
    <n v="0.96199999999999997"/>
    <n v="0.91400000000000003"/>
    <n v="0.86099999999999999"/>
    <s v="F"/>
    <s v="M"/>
    <s v="F"/>
    <s v="F"/>
    <s v="F"/>
    <s v="M"/>
    <s v="M"/>
    <s v="M"/>
    <s v="F"/>
    <s v="F"/>
    <s v="M"/>
    <s v="F"/>
    <s v="M"/>
    <s v="F"/>
    <s v="F"/>
    <s v="M"/>
    <s v="M"/>
    <s v="M"/>
    <s v="M"/>
    <s v="M"/>
    <m/>
    <m/>
    <m/>
    <m/>
    <m/>
    <m/>
    <m/>
    <m/>
    <m/>
    <m/>
    <m/>
    <m/>
    <m/>
    <m/>
    <m/>
    <m/>
    <m/>
    <m/>
    <m/>
    <m/>
    <n v="4.8444866345419095"/>
    <n v="3881.9330483021331"/>
    <n v="8.0735222702611598"/>
    <n v="3.72850820008926"/>
    <n v="7.3241989042297799"/>
    <n v="5.6894662019152804"/>
    <n v="6.5049071921345201"/>
    <n v="2.5099719419613802"/>
    <n v="2.7331305300733102"/>
    <n v="2.4622924181654402"/>
    <n v="9.7758031823186506"/>
    <n v="4.7177705585475804"/>
    <n v="3.15184370960805"/>
    <n v="7.5953737871416296"/>
    <n v="3.0672938755920001"/>
    <n v="7.4588644413519898"/>
    <n v="5.7561898028763201"/>
    <n v="2.8899324488583402"/>
    <n v="2.35749295935952"/>
    <n v="4.5095569506553899"/>
    <n v="3.6803170785330099"/>
    <n v="2.9032962371655802"/>
    <m/>
  </r>
  <r>
    <x v="8"/>
    <s v="LEOMINU"/>
    <s v="COP"/>
    <n v="-1"/>
    <n v="2"/>
    <n v="1"/>
    <n v="-1"/>
    <n v="-1"/>
    <n v="-1"/>
    <n v="-1"/>
    <n v="-1"/>
    <n v="-1"/>
    <n v="28.8"/>
    <n v="18.780690851918202"/>
    <n v="-1"/>
    <n v="-1"/>
    <n v="-1"/>
    <n v="0.97799999999999998"/>
    <n v="0.94"/>
    <n v="1.026"/>
    <m/>
    <m/>
    <m/>
    <m/>
    <m/>
    <m/>
    <m/>
    <m/>
    <m/>
    <m/>
    <m/>
    <m/>
    <m/>
    <m/>
    <m/>
    <m/>
    <m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82550358748987"/>
    <n v="87.941530686203393"/>
    <n v="4.6291991011698803"/>
    <n v="4.1776241691879799"/>
    <n v="5.2408278058890998"/>
    <m/>
    <m/>
    <m/>
    <m/>
    <m/>
    <m/>
    <m/>
    <m/>
    <m/>
    <m/>
    <m/>
    <m/>
    <m/>
    <m/>
    <m/>
    <m/>
    <m/>
    <m/>
  </r>
  <r>
    <x v="8"/>
    <s v="LEOSICI"/>
    <s v="COP"/>
    <n v="-1"/>
    <n v="4"/>
    <n v="10"/>
    <n v="-1"/>
    <n v="-1"/>
    <n v="-1"/>
    <n v="-1"/>
    <n v="-1"/>
    <n v="-1"/>
    <n v="134.4"/>
    <n v="87.643223975618199"/>
    <n v="-1"/>
    <n v="-1"/>
    <n v="-1"/>
    <n v="1.29"/>
    <n v="1.2669999999999999"/>
    <n v="1.2909999999999999"/>
    <n v="1.33"/>
    <n v="1.2609999999999999"/>
    <n v="1.2749999999999999"/>
    <n v="1.4319999999999999"/>
    <n v="1.53"/>
    <n v="1.2889999999999999"/>
    <n v="1.391"/>
    <n v="1.4059999999999999"/>
    <n v="1.1850000000000001"/>
    <n v="1.254"/>
    <m/>
    <m/>
    <m/>
    <m/>
    <m/>
    <m/>
    <m/>
    <s v="M"/>
    <s v="M"/>
    <s v="M"/>
    <s v="M"/>
    <s v="M"/>
    <s v="M"/>
    <s v="F"/>
    <s v="F"/>
    <s v="M"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n v="10.222459236454309"/>
    <n v="895.92928444219206"/>
    <n v="9.4832145428410506"/>
    <n v="9.0514813053603493"/>
    <n v="9.5022662209244899"/>
    <n v="10.263700635015301"/>
    <n v="8.9408807084737294"/>
    <n v="9.2002494940053499"/>
    <n v="12.428555121244001"/>
    <n v="14.752955486752301"/>
    <n v="9.4641863325932807"/>
    <n v="11.5277750427367"/>
    <n v="11.8525066265214"/>
    <n v="7.6112984856430899"/>
    <n v="8.8129000717949708"/>
    <m/>
    <m/>
    <m/>
    <m/>
    <m/>
    <m/>
    <m/>
    <m/>
  </r>
  <r>
    <x v="8"/>
    <s v="LEOSICO"/>
    <s v="COP"/>
    <n v="-1"/>
    <n v="1"/>
    <n v="2"/>
    <n v="-1"/>
    <n v="-1"/>
    <n v="-1"/>
    <n v="-1"/>
    <n v="-1"/>
    <n v="-1"/>
    <n v="28.8"/>
    <n v="18.780690851918202"/>
    <n v="-1"/>
    <n v="-1"/>
    <n v="-1"/>
    <n v="1.139"/>
    <n v="1.046"/>
    <n v="0.98599999999999999"/>
    <m/>
    <m/>
    <m/>
    <m/>
    <m/>
    <m/>
    <m/>
    <m/>
    <m/>
    <m/>
    <m/>
    <m/>
    <m/>
    <m/>
    <m/>
    <m/>
    <m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023148973890905"/>
    <n v="107.09341322815217"/>
    <n v="6.86949278278757"/>
    <n v="5.5095393493695601"/>
    <n v="4.7279125600101404"/>
    <m/>
    <m/>
    <m/>
    <m/>
    <m/>
    <m/>
    <m/>
    <m/>
    <m/>
    <m/>
    <m/>
    <m/>
    <m/>
    <m/>
    <m/>
    <m/>
    <m/>
    <m/>
  </r>
  <r>
    <x v="8"/>
    <s v="LIMMACR"/>
    <s v="COP"/>
    <n v="-1"/>
    <n v="1"/>
    <n v="0"/>
    <n v="-1"/>
    <n v="-1"/>
    <n v="-1"/>
    <n v="-1"/>
    <n v="-1"/>
    <n v="-1"/>
    <n v="9.6"/>
    <n v="6.2602302839727297"/>
    <n v="-1"/>
    <n v="-1"/>
    <n v="-1"/>
    <n v="2.629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.9495385074637"/>
    <n v="375.2979164746136"/>
    <n v="59.9495385074637"/>
    <m/>
    <m/>
    <m/>
    <m/>
    <m/>
    <m/>
    <m/>
    <m/>
    <m/>
    <m/>
    <m/>
    <m/>
    <m/>
    <m/>
    <m/>
    <m/>
    <m/>
    <m/>
    <m/>
    <m/>
  </r>
  <r>
    <x v="8"/>
    <s v="SKIOREG"/>
    <s v="COP"/>
    <n v="-1"/>
    <n v="1"/>
    <n v="1"/>
    <n v="-1"/>
    <n v="-1"/>
    <n v="-1"/>
    <n v="-1"/>
    <n v="-1"/>
    <n v="-1"/>
    <n v="19.2"/>
    <n v="12.5204605679455"/>
    <n v="-1"/>
    <n v="-1"/>
    <n v="-1"/>
    <n v="1.286"/>
    <n v="1.196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014430513029456"/>
    <n v="107.69402855126735"/>
    <n v="9.4072424014963207"/>
    <n v="7.7956437011095696"/>
    <m/>
    <m/>
    <m/>
    <m/>
    <m/>
    <m/>
    <m/>
    <m/>
    <m/>
    <m/>
    <m/>
    <m/>
    <m/>
    <m/>
    <m/>
    <m/>
    <m/>
    <m/>
    <m/>
  </r>
  <r>
    <x v="8"/>
    <s v="CYCCOPE"/>
    <s v="IMM"/>
    <n v="-1"/>
    <n v="36"/>
    <n v="-1"/>
    <n v="-1"/>
    <n v="-1"/>
    <n v="-1"/>
    <n v="-1"/>
    <n v="-1"/>
    <n v="-1"/>
    <n v="345.6"/>
    <n v="225.36829022301799"/>
    <n v="-1"/>
    <n v="-1"/>
    <n v="-1"/>
    <n v="0.42799999999999999"/>
    <n v="0.878"/>
    <n v="0.84199999999999997"/>
    <n v="0.66300000000000003"/>
    <n v="0.69399999999999995"/>
    <n v="0.76"/>
    <n v="0.81299999999999994"/>
    <n v="0.96599999999999997"/>
    <n v="0.88700000000000001"/>
    <n v="0.91900000000000004"/>
    <n v="0.879"/>
    <n v="0.84199999999999997"/>
    <n v="0.41399999999999998"/>
    <n v="0.72199999999999998"/>
    <n v="0.35699999999999998"/>
    <n v="0.41399999999999998"/>
    <n v="0.91800000000000004"/>
    <n v="0.40899999999999997"/>
    <n v="0.749"/>
    <n v="0.413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8656786331253605"/>
    <n v="420.46480365307974"/>
    <n v="0.18103418989640399"/>
    <n v="3.1376324514621898"/>
    <n v="2.6571608389373398"/>
    <n v="1.0288156162506501"/>
    <n v="1.23346246352023"/>
    <n v="1.76912614726404"/>
    <n v="2.31200253519168"/>
    <n v="4.5844583534761796"/>
    <n v="3.2672744055172802"/>
    <n v="3.7608968323137502"/>
    <n v="3.15184370960805"/>
    <n v="2.6571608389373398"/>
    <n v="0.15864273708680801"/>
    <n v="1.4431833650788"/>
    <n v="8.8109281131908704E-2"/>
    <n v="0.15864273708680801"/>
    <n v="3.7446763195390398"/>
    <n v="0.151171656764609"/>
    <n v="1.66963544635729"/>
    <n v="0.15864273708680801"/>
    <m/>
  </r>
  <r>
    <x v="8"/>
    <s v="DIACOPE"/>
    <s v="IMM"/>
    <n v="-1"/>
    <n v="11"/>
    <n v="-1"/>
    <n v="-1"/>
    <n v="-1"/>
    <n v="-1"/>
    <n v="-1"/>
    <n v="-1"/>
    <n v="-1"/>
    <n v="105.6"/>
    <n v="68.862533123700004"/>
    <n v="-1"/>
    <n v="-1"/>
    <n v="-1"/>
    <n v="0.502"/>
    <n v="0.96299999999999997"/>
    <n v="0.5"/>
    <n v="0.94599999999999995"/>
    <n v="0.48599999999999999"/>
    <n v="0.64900000000000002"/>
    <n v="0.67600000000000005"/>
    <n v="0.64400000000000002"/>
    <n v="0.54300000000000004"/>
    <n v="0.78600000000000003"/>
    <n v="0.48699999999999999"/>
    <m/>
    <m/>
    <m/>
    <m/>
    <m/>
    <m/>
    <m/>
    <m/>
    <m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n v="1.8576275511613773"/>
    <n v="127.92093877334807"/>
    <n v="0.822907183790618"/>
    <n v="4.4475445794530604"/>
    <n v="0.81444270461981905"/>
    <n v="4.2470391997764096"/>
    <n v="0.75668680978987102"/>
    <n v="1.6004495582718401"/>
    <n v="1.7786486567659401"/>
    <n v="1.56870984702197"/>
    <n v="1.00846257289259"/>
    <n v="2.6282859924326298"/>
    <n v="0.76072595796040199"/>
    <m/>
    <m/>
    <m/>
    <m/>
    <m/>
    <m/>
    <m/>
    <m/>
    <m/>
    <m/>
  </r>
  <r>
    <x v="8"/>
    <s v="DREPOLYV"/>
    <s v="MOL"/>
    <n v="-1"/>
    <n v="-1"/>
    <n v="-1"/>
    <n v="-1"/>
    <n v="-1"/>
    <n v="-1"/>
    <n v="-1"/>
    <n v="-1"/>
    <n v="-1"/>
    <n v="724.5"/>
    <n v="472.451754243567"/>
    <n v="322"/>
    <n v="-1"/>
    <n v="322"/>
    <n v="8.1000000000000003E-2"/>
    <n v="8.1000000000000003E-2"/>
    <n v="0.09"/>
    <n v="7.6999999999999999E-2"/>
    <n v="8.4000000000000005E-2"/>
    <n v="0.107"/>
    <n v="8.3000000000000004E-2"/>
    <n v="8.7999999999999995E-2"/>
    <n v="8.6999999999999994E-2"/>
    <n v="7.9000000000000001E-2"/>
    <n v="8.6999999999999994E-2"/>
    <n v="8.4000000000000005E-2"/>
    <n v="0.08"/>
    <n v="8.5000000000000006E-2"/>
    <n v="8.5999999999999993E-2"/>
    <n v="8.1000000000000003E-2"/>
    <n v="7.8E-2"/>
    <n v="7.6999999999999999E-2"/>
    <n v="8.2000000000000003E-2"/>
    <n v="7.9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910733246042163"/>
    <n v="51.547950621762283"/>
    <n v="0.10316976392212798"/>
    <n v="0.10316976392212798"/>
    <n v="0.12076854045275696"/>
    <n v="9.619485028214779E-2"/>
    <n v="0.10873087852656856"/>
    <n v="0.16261343582795867"/>
    <n v="0.10684464086996007"/>
    <n v="0.11661475677470312"/>
    <n v="0.11459175145620078"/>
    <n v="9.962128283722127E-2"/>
    <n v="0.11459175145620078"/>
    <n v="0.10873087852656856"/>
    <n v="0.1013799991711169"/>
    <n v="0.11065041586454837"/>
    <n v="0.11260384075721208"/>
    <n v="0.10316976392212798"/>
    <n v="9.7893076299818055E-2"/>
    <n v="9.619485028214779E-2"/>
    <n v="0.10499112521969811"/>
    <n v="9.962128283722127E-2"/>
    <m/>
  </r>
  <r>
    <x v="8"/>
    <s v="COPNAUP"/>
    <s v="NAU"/>
    <n v="-1"/>
    <n v="-1"/>
    <n v="-1"/>
    <n v="-1"/>
    <n v="-1"/>
    <n v="-1"/>
    <n v="-1"/>
    <n v="-1"/>
    <n v="-1"/>
    <n v="4029.75"/>
    <n v="2627.8294777957399"/>
    <n v="1791"/>
    <n v="-1"/>
    <n v="1791"/>
    <n v="0.115"/>
    <n v="0.11899999999999999"/>
    <n v="0.113"/>
    <n v="0.112"/>
    <n v="0.109"/>
    <n v="0.154"/>
    <n v="0.128"/>
    <n v="9.9000000000000005E-2"/>
    <n v="0.14499999999999999"/>
    <n v="9.6000000000000002E-2"/>
    <n v="0.114"/>
    <n v="0.114"/>
    <n v="0.11799999999999999"/>
    <n v="0.14899999999999999"/>
    <n v="0.115"/>
    <n v="0.115"/>
    <n v="0.11"/>
    <n v="0.113"/>
    <n v="0.10199999999999999"/>
    <n v="0.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684150903663934E-2"/>
    <n v="117.42232893492124"/>
    <n v="3.9251109741472279E-2"/>
    <n v="4.2607870634685928E-2"/>
    <n v="3.7632700791829184E-2"/>
    <n v="3.6838367624309649E-2"/>
    <n v="3.4514431011782545E-2"/>
    <n v="7.9109174585155054E-2"/>
    <n v="5.0755259236681539E-2"/>
    <n v="2.7396910450297313E-2"/>
    <n v="6.8463694073402304E-2"/>
    <n v="2.5446501525940385E-2"/>
    <n v="3.84369365105749E-2"/>
    <n v="3.84369365105749E-2"/>
    <n v="4.1753601378629192E-2"/>
    <n v="7.3084312737679707E-2"/>
    <n v="3.9251109741472279E-2"/>
    <n v="3.9251109741472279E-2"/>
    <n v="3.5279268165910829E-2"/>
    <n v="3.7632700791829184E-2"/>
    <n v="2.9431848234424133E-2"/>
    <n v="7.9109174585155054E-2"/>
    <m/>
  </r>
  <r>
    <x v="8"/>
    <s v="COLSP"/>
    <s v="ROT"/>
    <n v="-1"/>
    <n v="-1"/>
    <n v="-1"/>
    <n v="-1"/>
    <n v="-1"/>
    <n v="-1"/>
    <n v="-1"/>
    <n v="-1"/>
    <n v="-1"/>
    <n v="2.25"/>
    <n v="1.4672414728061101"/>
    <n v="1"/>
    <n v="-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m/>
    <m/>
    <m/>
    <m/>
    <m/>
    <m/>
    <m/>
    <m/>
    <m/>
    <m/>
    <m/>
    <m/>
    <m/>
    <m/>
    <m/>
    <m/>
    <m/>
    <m/>
    <m/>
    <n v="2.2499999999999999E-2"/>
    <n v="3.3012933138137475E-2"/>
    <n v="2.2499999999999999E-2"/>
    <m/>
    <m/>
    <m/>
    <m/>
    <m/>
    <m/>
    <m/>
    <m/>
    <m/>
    <m/>
    <m/>
    <m/>
    <m/>
    <m/>
    <m/>
    <m/>
    <m/>
    <m/>
    <m/>
    <m/>
  </r>
  <r>
    <x v="8"/>
    <s v="COOUNIC"/>
    <s v="ROT"/>
    <n v="-1"/>
    <n v="-1"/>
    <n v="-1"/>
    <n v="-1"/>
    <n v="-1"/>
    <n v="-1"/>
    <n v="-1"/>
    <n v="-1"/>
    <n v="-1"/>
    <n v="6.75"/>
    <n v="4.40172441841833"/>
    <n v="3"/>
    <n v="-1"/>
    <n v="3"/>
    <n v="0.11899999999999999"/>
    <n v="0.11799999999999999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000000000000003E-2"/>
    <n v="7.5999999999999998E-2"/>
    <n v="7.2999999999999995E-2"/>
    <m/>
    <m/>
    <m/>
    <m/>
    <m/>
    <m/>
    <m/>
    <m/>
    <m/>
    <m/>
    <m/>
    <m/>
    <m/>
    <m/>
    <m/>
    <m/>
    <m/>
    <n v="1.4595195333333333E-2"/>
    <n v="6.4244027690318589E-2"/>
    <n v="1.0408216E-2"/>
    <n v="1.7720768000000001E-2"/>
    <n v="1.5656601999999999E-2"/>
    <m/>
    <m/>
    <m/>
    <m/>
    <m/>
    <m/>
    <m/>
    <m/>
    <m/>
    <m/>
    <m/>
    <m/>
    <m/>
    <m/>
    <m/>
    <m/>
    <m/>
    <m/>
  </r>
  <r>
    <x v="8"/>
    <s v="COUSP"/>
    <s v="ROT"/>
    <n v="-1"/>
    <n v="-1"/>
    <n v="-1"/>
    <n v="-1"/>
    <n v="-1"/>
    <n v="-1"/>
    <n v="-1"/>
    <n v="-1"/>
    <n v="-1"/>
    <n v="2.25"/>
    <n v="1.4672414728061101"/>
    <n v="1"/>
    <n v="-1"/>
    <n v="1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233920000000003E-3"/>
    <n v="9.1312188439297629E-3"/>
    <n v="6.2233920000000003E-3"/>
    <m/>
    <m/>
    <m/>
    <m/>
    <m/>
    <m/>
    <m/>
    <m/>
    <m/>
    <m/>
    <m/>
    <m/>
    <m/>
    <m/>
    <m/>
    <m/>
    <m/>
    <m/>
    <m/>
    <m/>
  </r>
  <r>
    <x v="8"/>
    <s v="KERCOCH"/>
    <s v="ROT"/>
    <n v="-1"/>
    <n v="-1"/>
    <n v="-1"/>
    <n v="-1"/>
    <n v="-1"/>
    <n v="-1"/>
    <n v="-1"/>
    <n v="-1"/>
    <n v="-1"/>
    <n v="22.5"/>
    <n v="14.672414728061099"/>
    <n v="10"/>
    <n v="-1"/>
    <n v="10"/>
    <n v="9.1999999999999998E-2"/>
    <n v="0.105"/>
    <n v="9.2999999999999999E-2"/>
    <n v="0.10299999999999999"/>
    <n v="0.106"/>
    <n v="9.9000000000000005E-2"/>
    <n v="9.5000000000000001E-2"/>
    <n v="0.128"/>
    <n v="0.1010000000000000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59831999999996E-3"/>
    <n v="3.5154859191866956E-2"/>
    <n v="1.5573760000000001E-3"/>
    <n v="2.31525E-3"/>
    <n v="1.608714E-3"/>
    <n v="2.1854539999999999E-3"/>
    <n v="2.3820320000000001E-3"/>
    <n v="1.940598E-3"/>
    <n v="1.7147499999999999E-3"/>
    <n v="4.1943040000000003E-3"/>
    <n v="2.0606019999999999E-3"/>
    <n v="4.0007519999999998E-3"/>
    <m/>
    <m/>
    <m/>
    <m/>
    <m/>
    <m/>
    <m/>
    <m/>
    <m/>
    <m/>
    <m/>
  </r>
  <r>
    <x v="8"/>
    <s v="KERCRAS"/>
    <s v="ROT"/>
    <n v="-1"/>
    <n v="-1"/>
    <n v="-1"/>
    <n v="-1"/>
    <n v="-1"/>
    <n v="-1"/>
    <n v="-1"/>
    <n v="-1"/>
    <n v="-1"/>
    <n v="6.75"/>
    <n v="4.40172441841833"/>
    <n v="3"/>
    <n v="-1"/>
    <n v="3"/>
    <n v="0.107"/>
    <n v="0.128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858793333333335E-3"/>
    <n v="1.5343880181193143E-2"/>
    <n v="2.4500860000000002E-3"/>
    <n v="4.1943040000000003E-3"/>
    <n v="3.813248E-3"/>
    <m/>
    <m/>
    <m/>
    <m/>
    <m/>
    <m/>
    <m/>
    <m/>
    <m/>
    <m/>
    <m/>
    <m/>
    <m/>
    <m/>
    <m/>
    <m/>
    <m/>
    <m/>
  </r>
  <r>
    <x v="8"/>
    <s v="KEREARL"/>
    <s v="ROT"/>
    <n v="-1"/>
    <n v="-1"/>
    <n v="-1"/>
    <n v="-1"/>
    <n v="-1"/>
    <n v="-1"/>
    <n v="-1"/>
    <n v="-1"/>
    <n v="-1"/>
    <n v="4.5"/>
    <n v="2.9344829456122201"/>
    <n v="2"/>
    <n v="-1"/>
    <n v="2"/>
    <n v="0.113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144579999999999E-3"/>
    <n v="9.4327721803867653E-3"/>
    <n v="2.8857940000000001E-3"/>
    <n v="3.5431220000000001E-3"/>
    <m/>
    <m/>
    <m/>
    <m/>
    <m/>
    <m/>
    <m/>
    <m/>
    <m/>
    <m/>
    <m/>
    <m/>
    <m/>
    <m/>
    <m/>
    <m/>
    <m/>
    <m/>
    <m/>
  </r>
  <r>
    <x v="8"/>
    <s v="KERHIEM"/>
    <s v="ROT"/>
    <n v="-1"/>
    <n v="-1"/>
    <n v="-1"/>
    <n v="-1"/>
    <n v="-1"/>
    <n v="-1"/>
    <n v="-1"/>
    <n v="-1"/>
    <n v="-1"/>
    <n v="42.75"/>
    <n v="27.877587983316101"/>
    <n v="19"/>
    <n v="-1"/>
    <n v="19"/>
    <n v="0.128"/>
    <n v="0.114"/>
    <n v="0.11700000000000001"/>
    <n v="0.13300000000000001"/>
    <n v="0.129"/>
    <n v="0.125"/>
    <n v="0.125"/>
    <n v="0.127"/>
    <n v="0.125"/>
    <n v="0.12"/>
    <n v="0.121"/>
    <n v="0.115"/>
    <n v="0.13"/>
    <n v="0.11799999999999999"/>
    <n v="0.11799999999999999"/>
    <n v="0.123"/>
    <n v="0.13200000000000001"/>
    <n v="0.11799999999999999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879981894736839E-2"/>
    <n v="1.2232680559768438"/>
    <n v="4.8444211199999997E-2"/>
    <n v="3.4223666399999998E-2"/>
    <n v="3.6997260300000001E-2"/>
    <n v="5.4345914699999998E-2"/>
    <n v="4.9588515899999998E-2"/>
    <n v="4.5117187500000003E-2"/>
    <n v="4.5117187500000003E-2"/>
    <n v="4.7317647300000001E-2"/>
    <n v="4.5117187500000003E-2"/>
    <n v="3.9916800000000002E-2"/>
    <n v="4.0923059099999999E-2"/>
    <n v="3.5132212500000003E-2"/>
    <n v="5.0750700000000003E-2"/>
    <n v="3.7954039199999998E-2"/>
    <n v="3.7954039199999998E-2"/>
    <n v="4.2986027699999999E-2"/>
    <n v="5.3129260800000001E-2"/>
    <n v="3.7954039199999998E-2"/>
    <n v="5.0750700000000003E-2"/>
    <m/>
    <m/>
  </r>
  <r>
    <x v="8"/>
    <s v="KERQUAD"/>
    <s v="ROT"/>
    <n v="-1"/>
    <n v="-1"/>
    <n v="-1"/>
    <n v="-1"/>
    <n v="-1"/>
    <n v="-1"/>
    <n v="-1"/>
    <n v="-1"/>
    <n v="-1"/>
    <n v="22.5"/>
    <n v="14.672414728061099"/>
    <n v="10"/>
    <n v="-1"/>
    <n v="10"/>
    <n v="0.151"/>
    <n v="0.157"/>
    <n v="0.16700000000000001"/>
    <n v="0.156"/>
    <n v="0.159"/>
    <n v="0.14799999999999999"/>
    <n v="0.161"/>
    <n v="0.14899999999999999"/>
    <n v="0.14399999999999999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129310649999983E-2"/>
    <n v="1.2343801366426872"/>
    <n v="7.9532168099999995E-2"/>
    <n v="8.9394528299999998E-2"/>
    <n v="0.1075873953"/>
    <n v="8.7697209600000006E-2"/>
    <n v="9.2854584899999995E-2"/>
    <n v="7.4885395199999996E-2"/>
    <n v="9.6402791099999996E-2"/>
    <n v="7.6413621900000006E-2"/>
    <n v="6.8976230400000005E-2"/>
    <n v="6.7549181700000002E-2"/>
    <m/>
    <m/>
    <m/>
    <m/>
    <m/>
    <m/>
    <m/>
    <m/>
    <m/>
    <m/>
    <m/>
  </r>
  <r>
    <x v="8"/>
    <s v="KERSP"/>
    <s v="ROT"/>
    <n v="-1"/>
    <n v="-1"/>
    <n v="-1"/>
    <n v="-1"/>
    <n v="-1"/>
    <n v="-1"/>
    <n v="-1"/>
    <n v="-1"/>
    <n v="-1"/>
    <n v="4.5"/>
    <n v="2.9344829456122201"/>
    <n v="2"/>
    <n v="-1"/>
    <n v="2"/>
    <n v="0.1310000000000000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639389999999999E-3"/>
    <n v="1.1925559687508381E-2"/>
    <n v="4.4961819999999996E-3"/>
    <n v="3.6316959999999998E-3"/>
    <m/>
    <m/>
    <m/>
    <m/>
    <m/>
    <m/>
    <m/>
    <m/>
    <m/>
    <m/>
    <m/>
    <m/>
    <m/>
    <m/>
    <m/>
    <m/>
    <m/>
    <m/>
    <m/>
  </r>
  <r>
    <x v="8"/>
    <s v="LECFLEX"/>
    <s v="ROT"/>
    <n v="-1"/>
    <n v="-1"/>
    <n v="-1"/>
    <n v="-1"/>
    <n v="-1"/>
    <n v="-1"/>
    <n v="-1"/>
    <n v="-1"/>
    <n v="-1"/>
    <n v="2.25"/>
    <n v="1.4672414728061101"/>
    <n v="1"/>
    <n v="-1"/>
    <n v="1"/>
    <n v="8.1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801304999999997E-3"/>
    <n v="8.1873988932702948E-3"/>
    <n v="5.5801304999999997E-3"/>
    <m/>
    <m/>
    <m/>
    <m/>
    <m/>
    <m/>
    <m/>
    <m/>
    <m/>
    <m/>
    <m/>
    <m/>
    <m/>
    <m/>
    <m/>
    <m/>
    <m/>
    <m/>
    <m/>
    <m/>
  </r>
  <r>
    <x v="8"/>
    <s v="NOTACUM"/>
    <s v="ROT"/>
    <n v="-1"/>
    <n v="-1"/>
    <n v="-1"/>
    <n v="-1"/>
    <n v="-1"/>
    <n v="-1"/>
    <n v="-1"/>
    <n v="-1"/>
    <n v="-1"/>
    <n v="2.25"/>
    <n v="1.4672414728061101"/>
    <n v="1"/>
    <n v="-1"/>
    <n v="1"/>
    <n v="0.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260812000000003E-2"/>
    <n v="5.3203367204025472E-2"/>
    <n v="3.6260812000000003E-2"/>
    <m/>
    <m/>
    <m/>
    <m/>
    <m/>
    <m/>
    <m/>
    <m/>
    <m/>
    <m/>
    <m/>
    <m/>
    <m/>
    <m/>
    <m/>
    <m/>
    <m/>
    <m/>
    <m/>
    <m/>
  </r>
  <r>
    <x v="8"/>
    <s v="NOTSQUA"/>
    <s v="ROT"/>
    <n v="-1"/>
    <n v="-1"/>
    <n v="-1"/>
    <n v="-1"/>
    <n v="-1"/>
    <n v="-1"/>
    <n v="-1"/>
    <n v="-1"/>
    <n v="-1"/>
    <n v="2.25"/>
    <n v="1.4672414728061101"/>
    <n v="1"/>
    <n v="-1"/>
    <n v="1"/>
    <n v="0.1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44625500000001E-2"/>
    <n v="1.9873236267227198E-2"/>
    <n v="1.3544625500000001E-2"/>
    <m/>
    <m/>
    <m/>
    <m/>
    <m/>
    <m/>
    <m/>
    <m/>
    <m/>
    <m/>
    <m/>
    <m/>
    <m/>
    <m/>
    <m/>
    <m/>
    <m/>
    <m/>
    <m/>
    <m/>
  </r>
  <r>
    <x v="8"/>
    <s v="POLDOLI"/>
    <s v="ROT"/>
    <n v="-1"/>
    <n v="-1"/>
    <n v="-1"/>
    <n v="-1"/>
    <n v="-1"/>
    <n v="-1"/>
    <n v="-1"/>
    <n v="-1"/>
    <n v="-1"/>
    <n v="54"/>
    <n v="35.213795347346597"/>
    <n v="24"/>
    <n v="-1"/>
    <n v="24"/>
    <n v="0.11"/>
    <n v="0.111"/>
    <n v="0.126"/>
    <n v="0.106"/>
    <n v="9.6000000000000002E-2"/>
    <n v="0.127"/>
    <n v="0.111"/>
    <n v="0.126"/>
    <n v="0.11600000000000001"/>
    <n v="0.125"/>
    <n v="0.128"/>
    <n v="0.124"/>
    <n v="0.127"/>
    <n v="0.14599999999999999"/>
    <n v="0.121"/>
    <n v="0.11"/>
    <n v="0.112"/>
    <n v="0.125"/>
    <n v="0.114"/>
    <n v="0.11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125044279999999E-2"/>
    <n v="1.8707344370946459"/>
    <n v="4.0994799999999998E-2"/>
    <n v="4.21230348E-2"/>
    <n v="6.1611580800000003E-2"/>
    <n v="3.6683292800000003E-2"/>
    <n v="2.72498688E-2"/>
    <n v="6.3090196400000007E-2"/>
    <n v="4.21230348E-2"/>
    <n v="6.1611580800000003E-2"/>
    <n v="4.8075596800000002E-2"/>
    <n v="6.0156250000000001E-2"/>
    <n v="6.4592281599999996E-2"/>
    <n v="5.8724019199999998E-2"/>
    <n v="6.3090196400000007E-2"/>
    <n v="9.5853788800000006E-2"/>
    <n v="5.4564078799999999E-2"/>
    <n v="4.0994799999999998E-2"/>
    <n v="4.32717824E-2"/>
    <n v="6.0156250000000001E-2"/>
    <n v="4.56315552E-2"/>
    <n v="5.1902897199999999E-2"/>
    <m/>
  </r>
  <r>
    <x v="8"/>
    <s v="POLVULG"/>
    <s v="ROT"/>
    <n v="-1"/>
    <n v="-1"/>
    <n v="-1"/>
    <n v="-1"/>
    <n v="-1"/>
    <n v="-1"/>
    <n v="-1"/>
    <n v="-1"/>
    <n v="-1"/>
    <n v="4.5"/>
    <n v="2.9344829456122201"/>
    <n v="2"/>
    <n v="-1"/>
    <n v="2"/>
    <n v="0.1380000000000000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337971000000003E-2"/>
    <n v="0.1741262639267325"/>
    <n v="8.0944617600000004E-2"/>
    <n v="3.7731324400000002E-2"/>
    <m/>
    <m/>
    <m/>
    <m/>
    <m/>
    <m/>
    <m/>
    <m/>
    <m/>
    <m/>
    <m/>
    <m/>
    <m/>
    <m/>
    <m/>
    <m/>
    <m/>
    <m/>
    <m/>
  </r>
  <r>
    <x v="8"/>
    <s v="ROTBDEL"/>
    <s v="ROT"/>
    <n v="-1"/>
    <n v="-1"/>
    <n v="-1"/>
    <n v="-1"/>
    <n v="-1"/>
    <n v="-1"/>
    <n v="-1"/>
    <n v="-1"/>
    <n v="-1"/>
    <n v="2.25"/>
    <n v="1.4672414728061101"/>
    <n v="1"/>
    <n v="-1"/>
    <n v="1"/>
    <n v="0.30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7270900999999997"/>
    <n v="0.40012996947989615"/>
    <n v="0.27270900999999997"/>
    <m/>
    <m/>
    <m/>
    <m/>
    <m/>
    <m/>
    <m/>
    <m/>
    <m/>
    <m/>
    <m/>
    <m/>
    <m/>
    <m/>
    <m/>
    <m/>
    <m/>
    <m/>
    <m/>
    <m/>
  </r>
  <r>
    <x v="8"/>
    <s v="SYNSP"/>
    <s v="ROT"/>
    <n v="-1"/>
    <n v="-1"/>
    <n v="-1"/>
    <n v="-1"/>
    <n v="-1"/>
    <n v="-1"/>
    <n v="-1"/>
    <n v="-1"/>
    <n v="-1"/>
    <n v="234"/>
    <n v="152.593113171835"/>
    <n v="104"/>
    <n v="-1"/>
    <n v="104"/>
    <n v="0.17100000000000001"/>
    <n v="0.19400000000000001"/>
    <n v="0.19800000000000001"/>
    <n v="0.11"/>
    <n v="0.112"/>
    <n v="0.129"/>
    <n v="0.127"/>
    <n v="0.14299999999999999"/>
    <n v="0.112"/>
    <n v="0.14599999999999999"/>
    <n v="0.14899999999999999"/>
    <n v="0.17399999999999999"/>
    <n v="0.125"/>
    <n v="0.127"/>
    <n v="0.13600000000000001"/>
    <n v="0.189"/>
    <n v="0.19700000000000001"/>
    <n v="0.16700000000000001"/>
    <n v="0.129"/>
    <n v="0.1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57986499999995E-2"/>
    <n v="5.6242749052804655"/>
    <n v="5.0002110000000002E-2"/>
    <n v="7.3013839999999997E-2"/>
    <n v="7.7623919999999999E-2"/>
    <n v="1.3310000000000001E-2"/>
    <n v="1.4049280000000001E-2"/>
    <n v="2.1466889999999999E-2"/>
    <n v="2.0483830000000001E-2"/>
    <n v="2.9242069999999998E-2"/>
    <n v="1.4049280000000001E-2"/>
    <n v="3.1121360000000001E-2"/>
    <n v="3.3079490000000003E-2"/>
    <n v="5.2680240000000003E-2"/>
    <n v="1.953125E-2"/>
    <n v="2.0483830000000001E-2"/>
    <n v="2.5154559999999999E-2"/>
    <n v="6.751269E-2"/>
    <n v="7.6453729999999998E-2"/>
    <n v="4.6574629999999999E-2"/>
    <n v="2.1466889999999999E-2"/>
    <n v="2.9859839999999999E-2"/>
    <m/>
  </r>
  <r>
    <x v="9"/>
    <s v="BOSLONG"/>
    <s v="CLA"/>
    <n v="-1"/>
    <n v="96"/>
    <n v="-1"/>
    <n v="-1"/>
    <n v="-1"/>
    <n v="-1"/>
    <n v="-1"/>
    <n v="-1"/>
    <n v="-1"/>
    <n v="24576"/>
    <n v="10060.649482006"/>
    <n v="-1"/>
    <n v="-1"/>
    <n v="-1"/>
    <n v="0.26400000000000001"/>
    <n v="0.23499999999999999"/>
    <n v="0.27200000000000002"/>
    <n v="0.42099999999999999"/>
    <n v="0.38500000000000001"/>
    <n v="0.372"/>
    <n v="0.32300000000000001"/>
    <n v="0.36899999999999999"/>
    <n v="0.36599999999999999"/>
    <n v="0.224"/>
    <n v="0.21099999999999999"/>
    <n v="0.41899999999999998"/>
    <n v="0.223"/>
    <n v="0.19900000000000001"/>
    <n v="0.27200000000000002"/>
    <n v="0.40899999999999997"/>
    <n v="0.20300000000000001"/>
    <n v="0.39"/>
    <n v="0.38200000000000001"/>
    <n v="0.19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86083139891620974"/>
    <n v="8660.5229676008657"/>
    <n v="0.51816081830112104"/>
    <n v="0.386018684580413"/>
    <n v="0.55881230686921801"/>
    <n v="1.68748661754875"/>
    <n v="1.3459294024027"/>
    <n v="1.2339008767651101"/>
    <n v="0.86315544877939998"/>
    <n v="1.2088804140104701"/>
    <n v="1.1841692544995399"/>
    <n v="0.34192757114307298"/>
    <n v="0.29392819442305601"/>
    <n v="1.66727835857633"/>
    <n v="0.33807880018450098"/>
    <n v="0.25345736657856999"/>
    <n v="0.55881230686921801"/>
    <n v="1.5684352855189601"/>
    <n v="0.26654565710005401"/>
    <n v="1.39059316587882"/>
    <n v="1.3195533180986501"/>
    <n v="0.231504130196241"/>
    <m/>
  </r>
  <r>
    <x v="9"/>
    <s v="BYTLONG"/>
    <s v="CLA"/>
    <n v="40"/>
    <n v="-1"/>
    <n v="-1"/>
    <n v="-1"/>
    <n v="-1"/>
    <n v="-1"/>
    <n v="-1"/>
    <n v="-1"/>
    <n v="-1"/>
    <n v="40"/>
    <n v="16.374755016285899"/>
    <n v="-1"/>
    <n v="-1"/>
    <n v="-1"/>
    <n v="2.044"/>
    <n v="2.585"/>
    <n v="2.8359999999999999"/>
    <n v="2.77"/>
    <n v="2.8820000000000001"/>
    <n v="1.5960000000000001"/>
    <n v="2.286"/>
    <n v="2.3519999999999999"/>
    <n v="2.2959999999999998"/>
    <n v="1.444"/>
    <n v="2.7949999999999999"/>
    <n v="1.7430000000000001"/>
    <n v="3.5590000000000002"/>
    <n v="2.67"/>
    <n v="2.5289999999999999"/>
    <n v="3.48"/>
    <n v="2.5499999999999998"/>
    <n v="3.2290000000000001"/>
    <n v="2.2589999999999999"/>
    <n v="1.883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20.62837151823551"/>
    <n v="1975.260031624626"/>
    <n v="75.501998431317503"/>
    <n v="123.337723420402"/>
    <n v="149.69572473301201"/>
    <n v="142.50696835022299"/>
    <n v="154.815270036394"/>
    <n v="45.018613742504101"/>
    <n v="95.394359467605497"/>
    <n v="101.241221680485"/>
    <n v="96.268592175712797"/>
    <n v="36.521517760990498"/>
    <n v="145.208276696588"/>
    <n v="54.120889131880901"/>
    <n v="240.61842443460401"/>
    <n v="131.96595957762599"/>
    <n v="117.819299724068"/>
    <n v="229.59054746342599"/>
    <n v="119.873272309505"/>
    <n v="196.33855838821799"/>
    <n v="93.054698516203203"/>
    <n v="63.675514323944398"/>
    <m/>
  </r>
  <r>
    <x v="9"/>
    <s v="CECPENG"/>
    <s v="CLA"/>
    <n v="459"/>
    <n v="-1"/>
    <n v="-1"/>
    <n v="-1"/>
    <n v="-1"/>
    <n v="-1"/>
    <n v="-1"/>
    <n v="-1"/>
    <n v="-1"/>
    <n v="459"/>
    <n v="187.90031381188001"/>
    <n v="-1"/>
    <n v="-1"/>
    <n v="-1"/>
    <n v="1.4259999999999999"/>
    <n v="1.387"/>
    <n v="1.0669999999999999"/>
    <n v="0.68400000000000005"/>
    <n v="1.234"/>
    <n v="1.3779999999999999"/>
    <n v="1.3120000000000001"/>
    <n v="0.59299999999999997"/>
    <n v="1.0369999999999999"/>
    <n v="1.47"/>
    <n v="0.97199999999999998"/>
    <n v="1.444"/>
    <n v="1.1479999999999999"/>
    <n v="1.661"/>
    <n v="0.96399999999999997"/>
    <n v="1.1950000000000001"/>
    <n v="1.3089999999999999"/>
    <n v="0.88100000000000001"/>
    <n v="1.1819999999999999"/>
    <n v="1.30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0616468537910766"/>
    <n v="575.28440460849845"/>
    <n v="4.6904217300572304"/>
    <n v="4.3184069003329402"/>
    <n v="1.9763582776936399"/>
    <n v="0.52529454435217504"/>
    <n v="3.04828018538926"/>
    <n v="4.2354384562310399"/>
    <n v="3.65913586747932"/>
    <n v="0.34327224743325202"/>
    <n v="1.81533341243424"/>
    <n v="5.1350108398711498"/>
    <n v="1.49685997789921"/>
    <n v="4.8690691568551099"/>
    <n v="2.4578905147374801"/>
    <n v="7.3898770337933302"/>
    <n v="1.46044520851107"/>
    <n v="2.77007842602471"/>
    <n v="3.6342588265879598"/>
    <n v="1.11677045086478"/>
    <n v="2.6812406019077102"/>
    <n v="3.60949441736593"/>
    <m/>
  </r>
  <r>
    <x v="9"/>
    <s v="DAPGALEM"/>
    <s v="CLA"/>
    <n v="-1"/>
    <n v="9"/>
    <n v="-1"/>
    <n v="-1"/>
    <n v="-1"/>
    <n v="14"/>
    <n v="-1"/>
    <n v="-1"/>
    <n v="-1"/>
    <n v="1962.6666666666699"/>
    <n v="803.454646132427"/>
    <n v="-1"/>
    <n v="-1"/>
    <n v="-1"/>
    <n v="0.877"/>
    <n v="0.66400000000000003"/>
    <n v="0.82399999999999995"/>
    <n v="0.55400000000000005"/>
    <n v="0.57199999999999995"/>
    <n v="1.0609999999999999"/>
    <n v="0.71899999999999997"/>
    <n v="0.93899999999999995"/>
    <n v="0.59799999999999998"/>
    <n v="1.1000000000000001"/>
    <n v="0.56299999999999994"/>
    <n v="1.0940000000000001"/>
    <n v="0.93799999999999994"/>
    <n v="0.90600000000000003"/>
    <n v="0.52"/>
    <n v="0.85"/>
    <n v="0.58399999999999996"/>
    <n v="0.97699999999999998"/>
    <n v="0.9"/>
    <n v="0.64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9742453992151194"/>
    <n v="2389.6712847373828"/>
    <n v="3.42210160259686"/>
    <n v="1.5528567703671301"/>
    <n v="2.86686561462442"/>
    <n v="0.92841422564320197"/>
    <n v="1.0166671152792099"/>
    <n v="5.8776773851703696"/>
    <n v="1.9466330975585899"/>
    <n v="4.1547446429381996"/>
    <n v="1.15346764510043"/>
    <n v="6.51222324784628"/>
    <n v="0.97189175062572097"/>
    <n v="6.4118484516837198"/>
    <n v="4.1421909501665102"/>
    <n v="3.75334197655441"/>
    <n v="0.77557455156891797"/>
    <n v="3.1312936949424701"/>
    <n v="1.0784165403532"/>
    <n v="4.6502319472870104"/>
    <n v="3.68317862271895"/>
    <n v="1.4552881512767999"/>
    <m/>
  </r>
  <r>
    <x v="9"/>
    <s v="EUBCORE"/>
    <s v="CLA"/>
    <n v="-1"/>
    <n v="0"/>
    <n v="-1"/>
    <n v="-1"/>
    <n v="-1"/>
    <n v="1"/>
    <n v="-1"/>
    <n v="-1"/>
    <n v="-1"/>
    <n v="85.3333333333333"/>
    <n v="34.932810701409899"/>
    <n v="-1"/>
    <n v="-1"/>
    <n v="-1"/>
    <n v="0.317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2316437806424703"/>
    <n v="28.755445395062154"/>
    <n v="0.82316437806424703"/>
    <m/>
    <m/>
    <m/>
    <m/>
    <m/>
    <m/>
    <m/>
    <m/>
    <m/>
    <m/>
    <m/>
    <m/>
    <m/>
    <m/>
    <m/>
    <m/>
    <m/>
    <m/>
    <m/>
    <m/>
  </r>
  <r>
    <x v="9"/>
    <s v="HOLGIBB"/>
    <s v="CLA"/>
    <n v="-1"/>
    <n v="42"/>
    <n v="-1"/>
    <n v="-1"/>
    <n v="-1"/>
    <n v="-1"/>
    <n v="-1"/>
    <n v="-1"/>
    <n v="-1"/>
    <n v="10752"/>
    <n v="4401.5341483776401"/>
    <n v="-1"/>
    <n v="-1"/>
    <n v="-1"/>
    <n v="0.55000000000000004"/>
    <n v="0.60199999999999998"/>
    <n v="0.69799999999999995"/>
    <n v="0.94699999999999995"/>
    <n v="0.72499999999999998"/>
    <n v="0.63200000000000001"/>
    <n v="0.35499999999999998"/>
    <n v="0.79100000000000004"/>
    <n v="0.78400000000000003"/>
    <n v="0.92100000000000004"/>
    <n v="0.90500000000000003"/>
    <n v="0.39800000000000002"/>
    <n v="0.93400000000000005"/>
    <n v="0.93400000000000005"/>
    <n v="0.53700000000000003"/>
    <n v="0.81899999999999995"/>
    <n v="0.68100000000000005"/>
    <n v="0.51300000000000001"/>
    <n v="0.53700000000000003"/>
    <n v="1.020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3813002000171033"/>
    <n v="14882.908296291425"/>
    <n v="1.1804550120567201"/>
    <n v="1.5747269789959999"/>
    <n v="2.5245923341201002"/>
    <n v="6.6811141817191801"/>
    <n v="2.8495133890924502"/>
    <n v="1.8389924265598701"/>
    <n v="0.292092837229733"/>
    <n v="3.7624907711662199"/>
    <n v="3.6573009681156399"/>
    <n v="6.1133699984118399"/>
    <n v="5.7809794910683099"/>
    <n v="0.42064861265217102"/>
    <n v="6.3929159723181002"/>
    <n v="6.3929159723181002"/>
    <n v="1.0937307751508401"/>
    <n v="4.2040522750620903"/>
    <n v="2.3336286499990502"/>
    <n v="0.945293900653432"/>
    <n v="1.0937307751508401"/>
    <n v="8.4934586785013799"/>
    <m/>
  </r>
  <r>
    <x v="9"/>
    <s v="LETKIND"/>
    <s v="CLA"/>
    <n v="-1"/>
    <n v="2"/>
    <n v="-1"/>
    <n v="-1"/>
    <n v="-1"/>
    <n v="4"/>
    <n v="-1"/>
    <n v="4"/>
    <n v="-1"/>
    <n v="365.71428571428601"/>
    <n v="149.71204586318501"/>
    <n v="-1"/>
    <n v="-1"/>
    <n v="-1"/>
    <n v="2.5150000000000001"/>
    <n v="1.2370000000000001"/>
    <n v="3.1269999999999998"/>
    <n v="1.9490000000000001"/>
    <n v="1.3280000000000001"/>
    <n v="0.98899999999999999"/>
    <n v="4.38"/>
    <n v="3.0030000000000001"/>
    <n v="4.617"/>
    <n v="1.921"/>
    <m/>
    <m/>
    <m/>
    <m/>
    <m/>
    <m/>
    <m/>
    <m/>
    <m/>
    <m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725197222822798"/>
    <n v="1178.6110337211533"/>
    <n v="5.1575846843684801"/>
    <n v="0.77559863108215998"/>
    <n v="9.2257435613076204"/>
    <n v="2.6110040551104099"/>
    <n v="0.93745147386755201"/>
    <n v="0.42676032229320499"/>
    <n v="22.685367068977001"/>
    <n v="8.2809978683186891"/>
    <n v="26.112641173139"/>
    <n v="2.5120483843586801"/>
    <m/>
    <m/>
    <m/>
    <m/>
    <m/>
    <m/>
    <m/>
    <m/>
    <m/>
    <m/>
    <m/>
  </r>
  <r>
    <x v="9"/>
    <s v="DIYTHOM"/>
    <s v="COP"/>
    <n v="-1"/>
    <n v="1"/>
    <n v="2"/>
    <n v="-1"/>
    <n v="-1"/>
    <n v="2"/>
    <n v="3"/>
    <n v="-1"/>
    <n v="-1"/>
    <n v="682.66666666666697"/>
    <n v="279.46248561127902"/>
    <n v="-1"/>
    <n v="-1"/>
    <n v="-1"/>
    <n v="0.73"/>
    <n v="0.95599999999999996"/>
    <n v="0.86399999999999999"/>
    <n v="0.96299999999999997"/>
    <n v="0.85"/>
    <n v="0.83499999999999996"/>
    <n v="0.83499999999999996"/>
    <n v="0.90900000000000003"/>
    <m/>
    <m/>
    <m/>
    <m/>
    <m/>
    <m/>
    <m/>
    <m/>
    <m/>
    <m/>
    <m/>
    <m/>
    <s v="M"/>
    <s v="F"/>
    <s v="M"/>
    <s v="F"/>
    <s v="F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09928906021358"/>
    <n v="869.1084621510945"/>
    <n v="1.50771964875133"/>
    <n v="4.3989261629137397"/>
    <n v="2.9436650911415101"/>
    <n v="4.5281958238365698"/>
    <n v="2.7588111657657999"/>
    <n v="2.5705387058146498"/>
    <n v="2.5705387058146498"/>
    <n v="3.6010359441326201"/>
    <m/>
    <m/>
    <m/>
    <m/>
    <m/>
    <m/>
    <m/>
    <m/>
    <m/>
    <m/>
    <m/>
    <m/>
    <m/>
  </r>
  <r>
    <x v="9"/>
    <s v="EPILACU"/>
    <s v="COP"/>
    <n v="-1"/>
    <n v="0"/>
    <n v="0"/>
    <n v="-1"/>
    <n v="-1"/>
    <n v="0"/>
    <n v="1"/>
    <n v="-1"/>
    <n v="-1"/>
    <n v="85.3333333333333"/>
    <n v="34.932810701409899"/>
    <n v="-1"/>
    <n v="-1"/>
    <n v="-1"/>
    <n v="1.73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.401653978644799"/>
    <n v="712.68711643166489"/>
    <n v="20.401653978644799"/>
    <m/>
    <m/>
    <m/>
    <m/>
    <m/>
    <m/>
    <m/>
    <m/>
    <m/>
    <m/>
    <m/>
    <m/>
    <m/>
    <m/>
    <m/>
    <m/>
    <m/>
    <m/>
    <m/>
    <m/>
  </r>
  <r>
    <x v="9"/>
    <s v="LEOASHL"/>
    <s v="COP"/>
    <n v="-1"/>
    <n v="0"/>
    <n v="0"/>
    <n v="-1"/>
    <n v="-1"/>
    <n v="1"/>
    <n v="0"/>
    <n v="-1"/>
    <n v="-1"/>
    <n v="85.3333333333333"/>
    <n v="34.932810701409899"/>
    <n v="-1"/>
    <n v="-1"/>
    <n v="-1"/>
    <n v="0.98099999999999998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660668367820897"/>
    <n v="162.99882952943523"/>
    <n v="4.6660668367820897"/>
    <m/>
    <m/>
    <m/>
    <m/>
    <m/>
    <m/>
    <m/>
    <m/>
    <m/>
    <m/>
    <m/>
    <m/>
    <m/>
    <m/>
    <m/>
    <m/>
    <m/>
    <m/>
    <m/>
    <m/>
  </r>
  <r>
    <x v="9"/>
    <s v="LEOMINU"/>
    <s v="COP"/>
    <n v="-1"/>
    <n v="3"/>
    <n v="1"/>
    <n v="-1"/>
    <n v="-1"/>
    <n v="3"/>
    <n v="5"/>
    <n v="-1"/>
    <n v="-1"/>
    <n v="1024"/>
    <n v="419.19372841691899"/>
    <n v="-1"/>
    <n v="-1"/>
    <n v="-1"/>
    <n v="0.92100000000000004"/>
    <n v="0.95799999999999996"/>
    <n v="0.83599999999999997"/>
    <n v="0.997"/>
    <n v="0.86299999999999999"/>
    <n v="0.98199999999999998"/>
    <n v="0.877"/>
    <n v="0.98599999999999999"/>
    <n v="0.70499999999999996"/>
    <n v="0.81499999999999995"/>
    <n v="0.94899999999999995"/>
    <n v="0.96599999999999997"/>
    <m/>
    <m/>
    <m/>
    <m/>
    <m/>
    <m/>
    <m/>
    <m/>
    <s v="M"/>
    <s v="F"/>
    <s v="F"/>
    <s v="F"/>
    <s v="M"/>
    <s v="F"/>
    <s v="M"/>
    <s v="F"/>
    <s v="M"/>
    <s v="M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n v="3.8483385792023745"/>
    <n v="1613.199397226512"/>
    <n v="3.9624214724845399"/>
    <n v="4.3879825795333298"/>
    <n v="3.0834895774059801"/>
    <n v="4.8657376190996899"/>
    <n v="3.34808277936955"/>
    <n v="4.6783959996939899"/>
    <n v="3.4905766007422701"/>
    <n v="4.7279125600101404"/>
    <n v="1.9830699757172801"/>
    <n v="2.8868647184920002"/>
    <n v="4.2820103867250596"/>
    <n v="4.4835186811546599"/>
    <m/>
    <m/>
    <m/>
    <m/>
    <m/>
    <m/>
    <m/>
    <m/>
    <m/>
  </r>
  <r>
    <x v="9"/>
    <s v="SKIOREG"/>
    <s v="COP"/>
    <n v="-1"/>
    <n v="1"/>
    <n v="0"/>
    <n v="-1"/>
    <n v="-1"/>
    <n v="0"/>
    <n v="1"/>
    <n v="-1"/>
    <n v="-1"/>
    <n v="170.666666666667"/>
    <n v="69.865621402819798"/>
    <n v="-1"/>
    <n v="-1"/>
    <n v="-1"/>
    <n v="1.0609999999999999"/>
    <n v="1.143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243307688165649"/>
    <n v="441.8532991203424"/>
    <n v="5.7165113555332301"/>
    <n v="6.9321501820998996"/>
    <m/>
    <m/>
    <m/>
    <m/>
    <m/>
    <m/>
    <m/>
    <m/>
    <m/>
    <m/>
    <m/>
    <m/>
    <m/>
    <m/>
    <m/>
    <m/>
    <m/>
    <m/>
    <m/>
  </r>
  <r>
    <x v="9"/>
    <s v="CYCCOPE"/>
    <s v="IMM"/>
    <n v="-1"/>
    <n v="49"/>
    <n v="-1"/>
    <n v="-1"/>
    <n v="-1"/>
    <n v="-1"/>
    <n v="-1"/>
    <n v="-1"/>
    <n v="-1"/>
    <n v="12544"/>
    <n v="5135.1231731072503"/>
    <n v="-1"/>
    <n v="-1"/>
    <n v="-1"/>
    <n v="0.41099999999999998"/>
    <n v="0.66900000000000004"/>
    <n v="0.33300000000000002"/>
    <n v="0.40600000000000003"/>
    <n v="0.437"/>
    <n v="0.65900000000000003"/>
    <n v="0.48799999999999999"/>
    <n v="0.42599999999999999"/>
    <n v="0.36499999999999999"/>
    <n v="0.77800000000000002"/>
    <n v="0.43099999999999999"/>
    <n v="0.53200000000000003"/>
    <n v="0.31900000000000001"/>
    <n v="0.379"/>
    <n v="0.38400000000000001"/>
    <n v="0.443"/>
    <n v="0.6"/>
    <n v="0.39500000000000002"/>
    <n v="0.60299999999999998"/>
    <n v="0.7369999999999999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46798246939821342"/>
    <n v="2403.1476232147202"/>
    <n v="0.154127762174181"/>
    <n v="1.0662781934368299"/>
    <n v="6.6839385269880799E-2"/>
    <n v="0.14681728655058601"/>
    <n v="0.19662563796541799"/>
    <n v="1.0043935980898799"/>
    <n v="0.30475829367037099"/>
    <n v="0.17769898550503899"/>
    <n v="9.6212502721381002E-2"/>
    <n v="1.94141258251266"/>
    <n v="0.186124525033943"/>
    <n v="0.42933670623784598"/>
    <n v="5.6360891196638202E-2"/>
    <n v="0.111718862084339"/>
    <n v="0.11768572867275399"/>
    <n v="0.20756380959176099"/>
    <n v="0.69213259783559999"/>
    <n v="0.131649528975335"/>
    <n v="0.70597377607238399"/>
    <n v="1.56593873436744"/>
    <m/>
  </r>
  <r>
    <x v="9"/>
    <s v="DIACOPE"/>
    <s v="IMM"/>
    <n v="-1"/>
    <n v="6"/>
    <n v="-1"/>
    <n v="-1"/>
    <n v="-1"/>
    <n v="20"/>
    <n v="-1"/>
    <n v="-1"/>
    <n v="-1"/>
    <n v="2218.6666666666702"/>
    <n v="908.25307823665696"/>
    <n v="-1"/>
    <n v="-1"/>
    <n v="-1"/>
    <n v="0.77600000000000002"/>
    <n v="0.88300000000000001"/>
    <n v="0.60699999999999998"/>
    <n v="0.66900000000000004"/>
    <n v="0.84799999999999998"/>
    <n v="0.67500000000000004"/>
    <n v="0.70699999999999996"/>
    <n v="0.83899999999999997"/>
    <n v="0.79400000000000004"/>
    <n v="0.94"/>
    <n v="0.79600000000000004"/>
    <n v="0.624"/>
    <n v="0.62"/>
    <n v="0.48"/>
    <n v="0.66"/>
    <n v="0.747"/>
    <n v="0.84899999999999998"/>
    <n v="0.39300000000000002"/>
    <n v="0.51700000000000002"/>
    <n v="0.838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2033371240340873"/>
    <n v="2001.1877252970626"/>
    <n v="2.54255340773173"/>
    <n v="3.5527647279936199"/>
    <n v="1.3458198702219399"/>
    <n v="1.7313380401354801"/>
    <n v="3.1994364154962902"/>
    <n v="1.7718420236969601"/>
    <n v="1.9976734973008801"/>
    <n v="3.1122301436175701"/>
    <n v="2.6981328373596001"/>
    <n v="4.1776241691879799"/>
    <n v="2.7157705323466002"/>
    <n v="1.44562720820763"/>
    <n v="1.4217482489067601"/>
    <n v="0.73272841052326898"/>
    <n v="1.6716564150242299"/>
    <n v="2.3037141238155701"/>
    <n v="3.2092174423231201"/>
    <n v="0.43652078919172599"/>
    <n v="0.88811403398322497"/>
    <n v="3.1122301436175701"/>
    <m/>
  </r>
  <r>
    <x v="9"/>
    <s v="DREPOLYV"/>
    <s v="MOL"/>
    <n v="-1"/>
    <n v="-1"/>
    <n v="-1"/>
    <n v="-1"/>
    <n v="-1"/>
    <n v="-1"/>
    <n v="-1"/>
    <n v="-1"/>
    <n v="-1"/>
    <n v="41552"/>
    <n v="17010.095510917799"/>
    <n v="31"/>
    <n v="22"/>
    <n v="53"/>
    <n v="0.109"/>
    <n v="0.10199999999999999"/>
    <n v="9.4E-2"/>
    <n v="8.4000000000000005E-2"/>
    <n v="8.1000000000000003E-2"/>
    <n v="0.105"/>
    <n v="0.12"/>
    <n v="8.1000000000000003E-2"/>
    <n v="8.3000000000000004E-2"/>
    <n v="0.09"/>
    <n v="9.9000000000000005E-2"/>
    <n v="8.7999999999999995E-2"/>
    <n v="0.14199999999999999"/>
    <n v="9.0999999999999998E-2"/>
    <n v="0.16"/>
    <n v="0.128"/>
    <n v="8.3000000000000004E-2"/>
    <n v="5.8000000000000003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65388461448661"/>
    <n v="2662.7407240930388"/>
    <n v="0.16840567905905679"/>
    <n v="0.14898949868956468"/>
    <n v="0.12952524767371265"/>
    <n v="0.10873087852656856"/>
    <n v="0.10316976392212798"/>
    <n v="0.15702041439172909"/>
    <n v="0.20415424781419131"/>
    <n v="0.10316976392212798"/>
    <n v="0.10684464086996007"/>
    <n v="0.12076854045275696"/>
    <n v="0.1413693296235311"/>
    <n v="0.11661475677470312"/>
    <n v="0.30002800637077987"/>
    <n v="0.12290059094102512"/>
    <n v="0.41111616927742639"/>
    <n v="0.23483328218606961"/>
    <n v="0.10684464086996007"/>
    <n v="6.8984084934407039E-2"/>
    <n v="0.12076854045275696"/>
    <s v=""/>
    <m/>
  </r>
  <r>
    <x v="9"/>
    <s v="COPNAUP"/>
    <s v="NAU"/>
    <n v="-1"/>
    <n v="-1"/>
    <n v="-1"/>
    <n v="-1"/>
    <n v="-1"/>
    <n v="-1"/>
    <n v="-1"/>
    <n v="-1"/>
    <n v="-1"/>
    <n v="45472"/>
    <n v="18614.821502513802"/>
    <n v="32"/>
    <n v="26"/>
    <n v="58"/>
    <n v="0.121"/>
    <n v="0.255"/>
    <n v="0.11799999999999999"/>
    <n v="0.14499999999999999"/>
    <n v="0.14399999999999999"/>
    <n v="0.128"/>
    <n v="0.1"/>
    <n v="0.107"/>
    <n v="0.112"/>
    <n v="0.13600000000000001"/>
    <n v="0.114"/>
    <n v="0.11899999999999999"/>
    <n v="0.23400000000000001"/>
    <n v="0.159"/>
    <n v="0.19400000000000001"/>
    <n v="0.22900000000000001"/>
    <n v="0.125"/>
    <n v="0.24399999999999999"/>
    <n v="0.14399999999999999"/>
    <n v="0.14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342236661139207E-2"/>
    <n v="1718.9342525899924"/>
    <n v="4.4346771885494372E-2"/>
    <n v="0.26538327924049449"/>
    <n v="4.1753601378629192E-2"/>
    <n v="6.8463694073402304E-2"/>
    <n v="6.7335967442926234E-2"/>
    <n v="5.0755259236681539E-2"/>
    <n v="2.8065780425595335E-2"/>
    <n v="3.3014003242246778E-2"/>
    <n v="3.6838367624309649E-2"/>
    <n v="5.8704379673962324E-2"/>
    <n v="3.84369365105749E-2"/>
    <n v="4.2607870634685928E-2"/>
    <n v="0.21592114817357524"/>
    <n v="8.5414228309244264E-2"/>
    <n v="0.13768964334490719"/>
    <n v="0.20501341539637802"/>
    <n v="4.7946968582758688E-2"/>
    <n v="0.23873313786631173"/>
    <n v="6.7335967442926234E-2"/>
    <n v="7.3084312737679707E-2"/>
    <m/>
  </r>
  <r>
    <x v="9"/>
    <s v="ASCECAU"/>
    <s v="ROT"/>
    <n v="-1"/>
    <n v="-1"/>
    <n v="-1"/>
    <n v="-1"/>
    <n v="-1"/>
    <n v="-1"/>
    <n v="-1"/>
    <n v="-1"/>
    <n v="-1"/>
    <n v="784"/>
    <n v="320.94519831920297"/>
    <n v="0"/>
    <n v="1"/>
    <n v="1"/>
    <n v="9.7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52076E-2"/>
    <n v="3.515016203826983"/>
    <n v="1.0952076E-2"/>
    <m/>
    <m/>
    <m/>
    <m/>
    <m/>
    <m/>
    <m/>
    <m/>
    <m/>
    <m/>
    <m/>
    <m/>
    <m/>
    <m/>
    <m/>
    <m/>
    <m/>
    <m/>
    <m/>
    <m/>
  </r>
  <r>
    <x v="9"/>
    <s v="ASCOVAL"/>
    <s v="ROT"/>
    <n v="-1"/>
    <n v="-1"/>
    <n v="-1"/>
    <n v="-1"/>
    <n v="-1"/>
    <n v="-1"/>
    <n v="-1"/>
    <n v="-1"/>
    <n v="-1"/>
    <n v="5488"/>
    <n v="2246.6163882344199"/>
    <n v="2"/>
    <n v="5"/>
    <n v="7"/>
    <n v="0.115"/>
    <n v="0.10299999999999999"/>
    <n v="9.8000000000000004E-2"/>
    <n v="0.106"/>
    <n v="9.2999999999999999E-2"/>
    <n v="8.5000000000000006E-2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312979999999999E-2"/>
    <n v="29.909159044237065"/>
    <n v="1.8250499999999999E-2"/>
    <n v="1.3112723999999999E-2"/>
    <n v="1.1294304E-2"/>
    <n v="1.4292192E-2"/>
    <n v="9.6522840000000006E-3"/>
    <n v="7.3695000000000002E-3"/>
    <n v="1.9219356E-2"/>
    <m/>
    <m/>
    <m/>
    <m/>
    <m/>
    <m/>
    <m/>
    <m/>
    <m/>
    <m/>
    <m/>
    <m/>
    <m/>
    <m/>
  </r>
  <r>
    <x v="9"/>
    <s v="ASPHERR"/>
    <s v="ROT"/>
    <n v="-1"/>
    <n v="-1"/>
    <n v="-1"/>
    <n v="-1"/>
    <n v="-1"/>
    <n v="-1"/>
    <n v="-1"/>
    <n v="-1"/>
    <n v="-1"/>
    <n v="2352"/>
    <n v="962.83559495761006"/>
    <n v="1"/>
    <n v="2"/>
    <n v="3"/>
    <n v="0.68100000000000005"/>
    <n v="0.55700000000000005"/>
    <n v="0.5629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945796081899998"/>
    <n v="1920.4522437419353"/>
    <n v="2.83291653177"/>
    <n v="1.5500939762099999"/>
    <n v="1.6007283165899999"/>
    <m/>
    <m/>
    <m/>
    <m/>
    <m/>
    <m/>
    <m/>
    <m/>
    <m/>
    <m/>
    <m/>
    <m/>
    <m/>
    <m/>
    <m/>
    <m/>
    <m/>
    <m/>
  </r>
  <r>
    <x v="9"/>
    <s v="ASPPRIO"/>
    <s v="ROT"/>
    <n v="-1"/>
    <n v="-1"/>
    <n v="-1"/>
    <n v="-1"/>
    <n v="-1"/>
    <n v="-1"/>
    <n v="-1"/>
    <n v="-1"/>
    <n v="-1"/>
    <n v="784"/>
    <n v="320.94519831920297"/>
    <n v="0"/>
    <n v="1"/>
    <n v="1"/>
    <n v="0.45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742213362999998"/>
    <n v="278.39496870434652"/>
    <n v="0.86742213362999998"/>
    <m/>
    <m/>
    <m/>
    <m/>
    <m/>
    <m/>
    <m/>
    <m/>
    <m/>
    <m/>
    <m/>
    <m/>
    <m/>
    <m/>
    <m/>
    <m/>
    <m/>
    <m/>
    <m/>
    <m/>
  </r>
  <r>
    <x v="9"/>
    <s v="COLSP"/>
    <s v="ROT"/>
    <n v="-1"/>
    <n v="-1"/>
    <n v="-1"/>
    <n v="-1"/>
    <n v="-1"/>
    <n v="-1"/>
    <n v="-1"/>
    <n v="-1"/>
    <n v="-1"/>
    <n v="3136"/>
    <n v="1283.7807932768101"/>
    <n v="2"/>
    <n v="2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E-2"/>
    <n v="3.7999999999999999E-2"/>
    <n v="3.1E-2"/>
    <n v="3.9E-2"/>
    <m/>
    <m/>
    <m/>
    <m/>
    <m/>
    <m/>
    <m/>
    <m/>
    <m/>
    <m/>
    <m/>
    <m/>
    <m/>
    <m/>
    <m/>
    <m/>
    <n v="7.0267050000000003E-3"/>
    <n v="9.0207489190221288"/>
    <n v="2.1900600000000002E-3"/>
    <n v="9.8769600000000006E-3"/>
    <n v="5.3623799999999999E-3"/>
    <n v="1.067742E-2"/>
    <m/>
    <m/>
    <m/>
    <m/>
    <m/>
    <m/>
    <m/>
    <m/>
    <m/>
    <m/>
    <m/>
    <m/>
    <m/>
    <m/>
    <m/>
    <m/>
    <m/>
  </r>
  <r>
    <x v="9"/>
    <s v="COOUNIC"/>
    <s v="ROT"/>
    <n v="-1"/>
    <n v="-1"/>
    <n v="-1"/>
    <n v="-1"/>
    <n v="-1"/>
    <n v="-1"/>
    <n v="-1"/>
    <n v="-1"/>
    <n v="-1"/>
    <n v="64288"/>
    <n v="26317.506262174698"/>
    <n v="41"/>
    <n v="41"/>
    <n v="82"/>
    <n v="0.161"/>
    <n v="7.9000000000000001E-2"/>
    <n v="0.13200000000000001"/>
    <n v="0.13800000000000001"/>
    <n v="0.13500000000000001"/>
    <n v="0.11"/>
    <n v="0.114"/>
    <n v="0.14299999999999999"/>
    <n v="0.12"/>
    <n v="0.121"/>
    <n v="0.12"/>
    <n v="0.13"/>
    <n v="0.14299999999999999"/>
    <n v="9.6000000000000002E-2"/>
    <n v="0.126"/>
    <n v="0.14799999999999999"/>
    <n v="0.153"/>
    <n v="0.125"/>
    <n v="0.14899999999999999"/>
    <n v="0.17499999999999999"/>
    <m/>
    <m/>
    <m/>
    <m/>
    <m/>
    <m/>
    <m/>
    <m/>
    <m/>
    <m/>
    <m/>
    <m/>
    <m/>
    <m/>
    <m/>
    <m/>
    <m/>
    <m/>
    <m/>
    <m/>
    <n v="5.8000000000000003E-2"/>
    <n v="5.3999999999999999E-2"/>
    <n v="4.4999999999999998E-2"/>
    <n v="7.0000000000000007E-2"/>
    <n v="6.2E-2"/>
    <n v="5.7000000000000002E-2"/>
    <n v="6.5000000000000002E-2"/>
    <n v="5.8000000000000003E-2"/>
    <n v="4.5999999999999999E-2"/>
    <n v="4.1000000000000002E-2"/>
    <n v="4.2000000000000003E-2"/>
    <n v="4.4999999999999998E-2"/>
    <n v="5.1999999999999998E-2"/>
    <n v="8.7999999999999995E-2"/>
    <n v="6.4000000000000001E-2"/>
    <n v="6.9000000000000006E-2"/>
    <n v="8.2000000000000003E-2"/>
    <n v="6.3E-2"/>
    <n v="6.4000000000000001E-2"/>
    <n v="6.3E-2"/>
    <n v="1.2567551099999999E-2"/>
    <n v="330.74660477445047"/>
    <n v="1.4081704E-2"/>
    <n v="5.9894639999999999E-3"/>
    <n v="6.9497999999999999E-3"/>
    <n v="1.7581200000000002E-2"/>
    <n v="1.349244E-2"/>
    <n v="9.2921400000000008E-3"/>
    <n v="1.25229E-2"/>
    <n v="1.2507351999999999E-2"/>
    <n v="6.6019199999999998E-3"/>
    <n v="5.2884259999999997E-3"/>
    <n v="5.5036800000000004E-3"/>
    <n v="6.8444999999999999E-3"/>
    <n v="1.0053472000000001E-2"/>
    <n v="1.9329024E-2"/>
    <n v="1.3418496E-2"/>
    <n v="1.8320328E-2"/>
    <n v="2.6748072000000001E-2"/>
    <n v="1.2899249999999999E-2"/>
    <n v="1.5867903999999999E-2"/>
    <n v="1.8058950000000001E-2"/>
    <m/>
  </r>
  <r>
    <x v="9"/>
    <s v="GASSTYL"/>
    <s v="ROT"/>
    <n v="-1"/>
    <n v="-1"/>
    <n v="-1"/>
    <n v="-1"/>
    <n v="-1"/>
    <n v="-1"/>
    <n v="-1"/>
    <n v="-1"/>
    <n v="-1"/>
    <n v="2352"/>
    <n v="962.83559495761006"/>
    <n v="0"/>
    <n v="3"/>
    <n v="3"/>
    <n v="9.2999999999999999E-2"/>
    <n v="0.10199999999999999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136893333333333E-2"/>
    <n v="16.5000108883251"/>
    <n v="1.608714E-2"/>
    <n v="2.1224159999999999E-2"/>
    <n v="1.409938E-2"/>
    <m/>
    <m/>
    <m/>
    <m/>
    <m/>
    <m/>
    <m/>
    <m/>
    <m/>
    <m/>
    <m/>
    <m/>
    <m/>
    <m/>
    <m/>
    <m/>
    <m/>
    <m/>
  </r>
  <r>
    <x v="9"/>
    <s v="KELLONG"/>
    <s v="ROT"/>
    <n v="-1"/>
    <n v="-1"/>
    <n v="-1"/>
    <n v="-1"/>
    <n v="-1"/>
    <n v="-1"/>
    <n v="-1"/>
    <n v="-1"/>
    <n v="-1"/>
    <n v="34496"/>
    <n v="14121.5887260449"/>
    <n v="23"/>
    <n v="21"/>
    <n v="44"/>
    <n v="0.12"/>
    <n v="0.15"/>
    <n v="0.16"/>
    <n v="0.159"/>
    <n v="0.14599999999999999"/>
    <n v="0.17499999999999999"/>
    <n v="0.14699999999999999"/>
    <n v="0.13900000000000001"/>
    <n v="0.14199999999999999"/>
    <n v="0.13400000000000001"/>
    <n v="0.14199999999999999"/>
    <n v="0.156"/>
    <n v="0.17100000000000001"/>
    <n v="0.13900000000000001"/>
    <n v="0.122"/>
    <n v="0.156"/>
    <n v="0.13800000000000001"/>
    <n v="0.151"/>
    <n v="0.158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084706268E-2"/>
    <n v="142.41207433966312"/>
    <n v="5.2617599999999999E-3"/>
    <n v="1.0276875E-2"/>
    <n v="1.247232E-2"/>
    <n v="1.2239922554999999E-2"/>
    <n v="9.47645412E-3"/>
    <n v="1.6319296875E-2"/>
    <n v="9.6725125350000003E-3"/>
    <n v="8.1777098549999996E-3"/>
    <n v="8.7187119600000001E-3"/>
    <n v="7.3265866800000003E-3"/>
    <n v="8.7187119600000001E-3"/>
    <n v="1.156008672E-2"/>
    <n v="1.5225642495E-2"/>
    <n v="8.1777098549999996E-3"/>
    <n v="5.5292571600000003E-3"/>
    <n v="1.156008672E-2"/>
    <n v="8.0024792400000006E-3"/>
    <n v="1.0483785795000001E-2"/>
    <n v="1.2010430040000001E-2"/>
    <n v="1.0483785795000001E-2"/>
    <m/>
  </r>
  <r>
    <x v="9"/>
    <s v="KERCOCH"/>
    <s v="ROT"/>
    <n v="-1"/>
    <n v="-1"/>
    <n v="-1"/>
    <n v="-1"/>
    <n v="-1"/>
    <n v="-1"/>
    <n v="-1"/>
    <n v="-1"/>
    <n v="-1"/>
    <n v="54880"/>
    <n v="22466.163882344201"/>
    <n v="31"/>
    <n v="39"/>
    <n v="70"/>
    <n v="0.09"/>
    <n v="0.11700000000000001"/>
    <n v="8.7999999999999995E-2"/>
    <n v="8.2000000000000003E-2"/>
    <n v="9.0999999999999998E-2"/>
    <n v="8.4000000000000005E-2"/>
    <n v="8.5999999999999993E-2"/>
    <n v="7.6999999999999999E-2"/>
    <n v="9.2999999999999999E-2"/>
    <n v="9.4E-2"/>
    <n v="0.10199999999999999"/>
    <n v="8.6999999999999994E-2"/>
    <n v="0.11700000000000001"/>
    <n v="8.5999999999999993E-2"/>
    <n v="9.9000000000000005E-2"/>
    <n v="9.8000000000000004E-2"/>
    <n v="9.9000000000000005E-2"/>
    <n v="0.11700000000000001"/>
    <n v="9.8000000000000004E-2"/>
    <n v="0.13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647305000000002E-3"/>
    <n v="44.139957397640067"/>
    <n v="1.4580000000000001E-3"/>
    <n v="3.203226E-3"/>
    <n v="1.362944E-3"/>
    <n v="1.102736E-3"/>
    <n v="1.5071419999999999E-3"/>
    <n v="1.185408E-3"/>
    <n v="1.2721119999999999E-3"/>
    <n v="9.1306600000000003E-4"/>
    <n v="1.608714E-3"/>
    <n v="1.661168E-3"/>
    <n v="2.1224159999999998E-3"/>
    <n v="1.3170059999999999E-3"/>
    <n v="3.203226E-3"/>
    <n v="1.2721119999999999E-3"/>
    <n v="1.940598E-3"/>
    <n v="1.882384E-3"/>
    <n v="1.940598E-3"/>
    <n v="3.203226E-3"/>
    <n v="1.882384E-3"/>
    <n v="5.2561439999999999E-3"/>
    <m/>
  </r>
  <r>
    <x v="9"/>
    <s v="KERCOCHH"/>
    <s v="ROT"/>
    <n v="-1"/>
    <n v="-1"/>
    <n v="-1"/>
    <n v="-1"/>
    <n v="-1"/>
    <n v="-1"/>
    <n v="-1"/>
    <n v="-1"/>
    <n v="-1"/>
    <n v="2352"/>
    <n v="962.83559495761006"/>
    <n v="2"/>
    <n v="1"/>
    <n v="3"/>
    <n v="0.111"/>
    <n v="0.109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025679999999999E-3"/>
    <n v="2.3132779897061151"/>
    <n v="2.735262E-3"/>
    <n v="2.5900580000000001E-3"/>
    <n v="1.882384E-3"/>
    <m/>
    <m/>
    <m/>
    <m/>
    <m/>
    <m/>
    <m/>
    <m/>
    <m/>
    <m/>
    <m/>
    <m/>
    <m/>
    <m/>
    <m/>
    <m/>
    <m/>
    <m/>
  </r>
  <r>
    <x v="9"/>
    <s v="KERCRAS"/>
    <s v="ROT"/>
    <n v="-1"/>
    <n v="-1"/>
    <n v="-1"/>
    <n v="-1"/>
    <n v="-1"/>
    <n v="-1"/>
    <n v="-1"/>
    <n v="-1"/>
    <n v="-1"/>
    <n v="10192"/>
    <n v="4172.2875781496396"/>
    <n v="5"/>
    <n v="8"/>
    <n v="13"/>
    <n v="0.14599999999999999"/>
    <n v="0.11899999999999999"/>
    <n v="0.123"/>
    <n v="0.107"/>
    <n v="0.106"/>
    <n v="0.113"/>
    <n v="0.11600000000000001"/>
    <n v="0.13100000000000001"/>
    <n v="0.14000000000000001"/>
    <n v="0.115"/>
    <n v="0.10199999999999999"/>
    <n v="0.11899999999999999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290707692307694E-3"/>
    <n v="14.724298132872532"/>
    <n v="6.2242720000000003E-3"/>
    <n v="3.3703180000000002E-3"/>
    <n v="3.721734E-3"/>
    <n v="2.4500860000000002E-3"/>
    <n v="2.3820320000000001E-3"/>
    <n v="2.8857940000000001E-3"/>
    <n v="3.121792E-3"/>
    <n v="4.4961819999999996E-3"/>
    <n v="5.4879999999999998E-3"/>
    <n v="3.0417500000000002E-3"/>
    <n v="2.1224159999999998E-3"/>
    <n v="3.3703180000000002E-3"/>
    <n v="3.203226E-3"/>
    <m/>
    <m/>
    <m/>
    <m/>
    <m/>
    <m/>
    <m/>
    <m/>
  </r>
  <r>
    <x v="9"/>
    <s v="KEREARL"/>
    <s v="ROT"/>
    <n v="-1"/>
    <n v="-1"/>
    <n v="-1"/>
    <n v="-1"/>
    <n v="-1"/>
    <n v="-1"/>
    <n v="-1"/>
    <n v="-1"/>
    <n v="-1"/>
    <n v="7056"/>
    <n v="2888.5067848728299"/>
    <n v="6"/>
    <n v="3"/>
    <n v="9"/>
    <n v="0.111"/>
    <n v="9.2999999999999999E-2"/>
    <n v="9.4E-2"/>
    <n v="0.11"/>
    <n v="9.7000000000000003E-2"/>
    <n v="8.8999999999999996E-2"/>
    <n v="0.128"/>
    <n v="0.11899999999999999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6182017777777781E-3"/>
    <n v="7.5626935992772175"/>
    <n v="2.735262E-3"/>
    <n v="1.608714E-3"/>
    <n v="1.661168E-3"/>
    <n v="2.6619999999999999E-3"/>
    <n v="1.825346E-3"/>
    <n v="1.4099379999999999E-3"/>
    <n v="4.1943040000000003E-3"/>
    <n v="3.3703180000000002E-3"/>
    <n v="4.0967659999999999E-3"/>
    <m/>
    <m/>
    <m/>
    <m/>
    <m/>
    <m/>
    <m/>
    <m/>
    <m/>
    <m/>
    <m/>
    <m/>
  </r>
  <r>
    <x v="9"/>
    <s v="KERQUAD"/>
    <s v="ROT"/>
    <n v="-1"/>
    <n v="-1"/>
    <n v="-1"/>
    <n v="-1"/>
    <n v="-1"/>
    <n v="-1"/>
    <n v="-1"/>
    <n v="-1"/>
    <n v="-1"/>
    <n v="784"/>
    <n v="320.94519831920297"/>
    <n v="0"/>
    <n v="1"/>
    <n v="1"/>
    <n v="0.1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854584899999995E-2"/>
    <n v="29.801233165577766"/>
    <n v="9.2854584899999995E-2"/>
    <m/>
    <m/>
    <m/>
    <m/>
    <m/>
    <m/>
    <m/>
    <m/>
    <m/>
    <m/>
    <m/>
    <m/>
    <m/>
    <m/>
    <m/>
    <m/>
    <m/>
    <m/>
    <m/>
    <m/>
  </r>
  <r>
    <x v="9"/>
    <s v="PLOHUDS"/>
    <s v="ROT"/>
    <n v="-1"/>
    <n v="-1"/>
    <n v="-1"/>
    <n v="-1"/>
    <n v="-1"/>
    <n v="-1"/>
    <n v="-1"/>
    <n v="-1"/>
    <n v="-1"/>
    <n v="784"/>
    <n v="320.94519831920297"/>
    <n v="0"/>
    <n v="1"/>
    <n v="1"/>
    <n v="0.264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99744000000001"/>
    <n v="59.053094871025657"/>
    <n v="0.18399744000000001"/>
    <m/>
    <m/>
    <m/>
    <m/>
    <m/>
    <m/>
    <m/>
    <m/>
    <m/>
    <m/>
    <m/>
    <m/>
    <m/>
    <m/>
    <m/>
    <m/>
    <m/>
    <m/>
    <m/>
    <m/>
  </r>
  <r>
    <x v="9"/>
    <s v="PLOTRUN"/>
    <s v="ROT"/>
    <n v="-1"/>
    <n v="-1"/>
    <n v="-1"/>
    <n v="-1"/>
    <n v="-1"/>
    <n v="-1"/>
    <n v="-1"/>
    <n v="-1"/>
    <n v="-1"/>
    <n v="5488"/>
    <n v="2246.6163882344199"/>
    <n v="2"/>
    <n v="5"/>
    <n v="7"/>
    <n v="0.14699999999999999"/>
    <n v="0.21"/>
    <n v="0.13200000000000001"/>
    <n v="0.11"/>
    <n v="0.123"/>
    <n v="9.8000000000000004E-2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804648571428565E-2"/>
    <n v="62.466379149670168"/>
    <n v="3.1765229999999998E-2"/>
    <n v="9.2609999999999998E-2"/>
    <n v="2.2999680000000002E-2"/>
    <n v="1.3310000000000001E-2"/>
    <n v="1.8608670000000001E-2"/>
    <n v="9.4119200000000007E-3"/>
    <n v="5.9270399999999997E-3"/>
    <m/>
    <m/>
    <m/>
    <m/>
    <m/>
    <m/>
    <m/>
    <m/>
    <m/>
    <m/>
    <m/>
    <m/>
    <m/>
    <m/>
  </r>
  <r>
    <x v="9"/>
    <s v="POLREMA"/>
    <s v="ROT"/>
    <n v="-1"/>
    <n v="-1"/>
    <n v="-1"/>
    <n v="-1"/>
    <n v="-1"/>
    <n v="-1"/>
    <n v="-1"/>
    <n v="-1"/>
    <n v="-1"/>
    <n v="784"/>
    <n v="320.94519831920297"/>
    <n v="1"/>
    <n v="0"/>
    <n v="1"/>
    <n v="0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528000000000004E-3"/>
    <n v="2.1351842153779939"/>
    <n v="6.6528000000000004E-3"/>
    <m/>
    <m/>
    <m/>
    <m/>
    <m/>
    <m/>
    <m/>
    <m/>
    <m/>
    <m/>
    <m/>
    <m/>
    <m/>
    <m/>
    <m/>
    <m/>
    <m/>
    <m/>
    <m/>
    <m/>
  </r>
  <r>
    <x v="9"/>
    <s v="POLSP"/>
    <s v="ROT"/>
    <n v="-1"/>
    <n v="-1"/>
    <n v="-1"/>
    <n v="-1"/>
    <n v="-1"/>
    <n v="-1"/>
    <n v="-1"/>
    <n v="-1"/>
    <n v="-1"/>
    <n v="5488"/>
    <n v="2246.6163882344199"/>
    <n v="4"/>
    <n v="3"/>
    <n v="7"/>
    <n v="0.10299999999999999"/>
    <n v="0.112"/>
    <n v="0.104"/>
    <n v="3.7999999999999999E-2"/>
    <n v="0.12"/>
    <n v="9.1999999999999998E-2"/>
    <n v="9.7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225708800000002E-2"/>
    <n v="70.15218912431574"/>
    <n v="3.3655991599999997E-2"/>
    <n v="4.32717824E-2"/>
    <n v="3.4645811200000001E-2"/>
    <n v="1.6900576E-3"/>
    <n v="5.3222400000000003E-2"/>
    <n v="2.3983590400000001E-2"/>
    <n v="2.8110328399999999E-2"/>
    <m/>
    <m/>
    <m/>
    <m/>
    <m/>
    <m/>
    <m/>
    <m/>
    <m/>
    <m/>
    <m/>
    <m/>
    <m/>
    <m/>
  </r>
  <r>
    <x v="9"/>
    <s v="POLVULG"/>
    <s v="ROT"/>
    <n v="-1"/>
    <n v="-1"/>
    <n v="-1"/>
    <n v="-1"/>
    <n v="-1"/>
    <n v="-1"/>
    <n v="-1"/>
    <n v="-1"/>
    <n v="-1"/>
    <n v="784"/>
    <n v="320.94519831920297"/>
    <n v="0"/>
    <n v="1"/>
    <n v="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611580800000003E-2"/>
    <n v="19.773941018615599"/>
    <n v="6.1611580800000003E-2"/>
    <m/>
    <m/>
    <m/>
    <m/>
    <m/>
    <m/>
    <m/>
    <m/>
    <m/>
    <m/>
    <m/>
    <m/>
    <m/>
    <m/>
    <m/>
    <m/>
    <m/>
    <m/>
    <m/>
    <m/>
  </r>
  <r>
    <x v="9"/>
    <s v="SYNSP"/>
    <s v="ROT"/>
    <n v="-1"/>
    <n v="-1"/>
    <n v="-1"/>
    <n v="-1"/>
    <n v="-1"/>
    <n v="-1"/>
    <n v="-1"/>
    <n v="-1"/>
    <n v="-1"/>
    <n v="4704"/>
    <n v="1925.6711899152201"/>
    <n v="3"/>
    <n v="3"/>
    <n v="6"/>
    <n v="0.10299999999999999"/>
    <n v="0.1"/>
    <n v="0.126"/>
    <n v="7.4999999999999997E-2"/>
    <n v="0.14699999999999999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699168333333333E-2"/>
    <n v="30.231436165129342"/>
    <n v="1.0927269999999999E-2"/>
    <n v="0.01"/>
    <n v="2.0003759999999999E-2"/>
    <n v="4.2187500000000003E-3"/>
    <n v="3.1765229999999998E-2"/>
    <n v="1.728E-2"/>
    <m/>
    <m/>
    <m/>
    <m/>
    <m/>
    <m/>
    <m/>
    <m/>
    <m/>
    <m/>
    <m/>
    <m/>
    <m/>
    <m/>
    <m/>
  </r>
  <r>
    <x v="9"/>
    <s v="TRICYLI"/>
    <s v="ROT"/>
    <n v="-1"/>
    <n v="-1"/>
    <n v="-1"/>
    <n v="-1"/>
    <n v="-1"/>
    <n v="-1"/>
    <n v="-1"/>
    <n v="-1"/>
    <n v="-1"/>
    <n v="784"/>
    <n v="320.94519831920297"/>
    <n v="0"/>
    <n v="1"/>
    <n v="1"/>
    <n v="0.36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564102564102593E-2"/>
    <m/>
    <m/>
    <m/>
    <m/>
    <m/>
    <m/>
    <m/>
    <m/>
    <m/>
    <m/>
    <m/>
    <m/>
    <m/>
    <m/>
    <m/>
    <m/>
    <m/>
    <m/>
    <m/>
    <n v="0.16180566251623901"/>
    <n v="51.930750445444353"/>
    <n v="0.16180566251623901"/>
    <m/>
    <m/>
    <m/>
    <m/>
    <m/>
    <m/>
    <m/>
    <m/>
    <m/>
    <m/>
    <m/>
    <m/>
    <m/>
    <m/>
    <m/>
    <m/>
    <m/>
    <m/>
    <m/>
    <m/>
  </r>
  <r>
    <x v="9"/>
    <s v="TRIMULT"/>
    <s v="ROT"/>
    <n v="-1"/>
    <n v="-1"/>
    <n v="-1"/>
    <n v="-1"/>
    <n v="-1"/>
    <n v="-1"/>
    <n v="-1"/>
    <n v="-1"/>
    <n v="-1"/>
    <n v="27440"/>
    <n v="11233.0819411721"/>
    <n v="22"/>
    <n v="13"/>
    <n v="35"/>
    <n v="0.32300000000000001"/>
    <n v="0.20799999999999999"/>
    <n v="0.193"/>
    <n v="0.36199999999999999"/>
    <n v="0.311"/>
    <n v="0.43"/>
    <n v="0.39"/>
    <n v="0.27900000000000003"/>
    <n v="0.32"/>
    <n v="0.26200000000000001"/>
    <n v="0.23499999999999999"/>
    <n v="0.35599999999999998"/>
    <n v="0.39300000000000002"/>
    <n v="0.42599999999999999"/>
    <n v="0.19900000000000001"/>
    <n v="0.34699999999999998"/>
    <n v="0.34399999999999997"/>
    <n v="0.32800000000000001"/>
    <n v="0.24199999999999999"/>
    <n v="0.33600000000000002"/>
    <m/>
    <m/>
    <m/>
    <m/>
    <m/>
    <m/>
    <m/>
    <m/>
    <m/>
    <m/>
    <m/>
    <m/>
    <m/>
    <m/>
    <m/>
    <m/>
    <m/>
    <m/>
    <m/>
    <m/>
    <n v="7.0000000000000007E-2"/>
    <n v="9.0999999999999998E-2"/>
    <n v="0.108"/>
    <n v="7.9000000000000001E-2"/>
    <n v="6.5000000000000002E-2"/>
    <n v="8.5999999999999993E-2"/>
    <n v="8.8999999999999996E-2"/>
    <n v="7.1999999999999995E-2"/>
    <n v="9.6000000000000002E-2"/>
    <n v="0.06"/>
    <n v="0.10199999999999999"/>
    <n v="0.09"/>
    <n v="8.5999999999999993E-2"/>
    <n v="8.8999999999999996E-2"/>
    <n v="9.5000000000000001E-2"/>
    <n v="0.08"/>
    <n v="6.7000000000000004E-2"/>
    <n v="9.2999999999999999E-2"/>
    <n v="6.9000000000000006E-2"/>
    <n v="0.08"/>
    <n v="0.1152108554792"/>
    <n v="1294.1729801103902"/>
    <n v="8.2794202400000003E-2"/>
    <n v="9.0104699775999997E-2"/>
    <n v="0.11776226342399999"/>
    <n v="0.118185467504"/>
    <n v="6.8736660199999994E-2"/>
    <n v="0.16636680736000001"/>
    <n v="0.16160170728000001"/>
    <n v="7.5660728831999993E-2"/>
    <n v="0.15427436544000001"/>
    <n v="4.9340678399999997E-2"/>
    <n v="0.12789970128"/>
    <n v="0.1508468832"/>
    <n v="0.15205152393599999"/>
    <n v="0.17651878795199999"/>
    <n v="9.39510442E-2"/>
    <n v="0.1161744896"/>
    <n v="8.0781027391999993E-2"/>
    <n v="0.14840244806399999"/>
    <n v="6.0271898544000002E-2"/>
    <n v="0.1124917248"/>
    <m/>
  </r>
  <r>
    <x v="10"/>
    <s v="BOSLONG"/>
    <s v="CLA"/>
    <n v="-1"/>
    <n v="96"/>
    <n v="-1"/>
    <n v="-1"/>
    <n v="-1"/>
    <n v="-1"/>
    <n v="-1"/>
    <n v="-1"/>
    <n v="-1"/>
    <n v="24576"/>
    <n v="9213.4368940476397"/>
    <n v="-1"/>
    <n v="-1"/>
    <n v="-1"/>
    <n v="0.31"/>
    <n v="0.42399999999999999"/>
    <n v="0.32700000000000001"/>
    <n v="0.52300000000000002"/>
    <n v="0.42199999999999999"/>
    <n v="0.29399999999999998"/>
    <n v="0.33800000000000002"/>
    <n v="0.21199999999999999"/>
    <n v="0.39300000000000002"/>
    <n v="0.36899999999999999"/>
    <n v="0.27300000000000002"/>
    <n v="0.38400000000000001"/>
    <n v="0.34799999999999998"/>
    <n v="0.373"/>
    <n v="0.24199999999999999"/>
    <n v="0.32500000000000001"/>
    <n v="0.27"/>
    <n v="0.32"/>
    <n v="0.40100000000000002"/>
    <n v="0.518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895780218281151"/>
    <n v="10960.102034659365"/>
    <n v="0.777950063028512"/>
    <n v="1.7180755289774701"/>
    <n v="0.890455968354951"/>
    <n v="2.9215673858965201"/>
    <n v="1.6976460052586499"/>
    <n v="0.68033902120397705"/>
    <n v="0.96820180203853501"/>
    <n v="0.29746533526454799"/>
    <n v="1.41781572032128"/>
    <n v="1.2088804140104701"/>
    <n v="0.56402471134249299"/>
    <n v="1.33710228989757"/>
    <n v="1.0423225225134201"/>
    <n v="1.2423099951345"/>
    <n v="0.41577609007098698"/>
    <n v="0.87674144772358598"/>
    <n v="0.54847515335258601"/>
    <n v="0.84301650990673405"/>
    <n v="1.4919762079807299"/>
    <n v="2.8514182642847801"/>
    <m/>
  </r>
  <r>
    <x v="10"/>
    <s v="CECPENG"/>
    <s v="CLA"/>
    <n v="446"/>
    <n v="-1"/>
    <n v="-1"/>
    <n v="-1"/>
    <n v="-1"/>
    <n v="-1"/>
    <n v="-1"/>
    <n v="-1"/>
    <n v="-1"/>
    <n v="446"/>
    <n v="167.203485300506"/>
    <n v="-1"/>
    <n v="-1"/>
    <n v="-1"/>
    <n v="0.76800000000000002"/>
    <n v="0.95499999999999996"/>
    <n v="0.54100000000000004"/>
    <n v="0.997"/>
    <n v="0.87"/>
    <n v="1.0549999999999999"/>
    <n v="0.86799999999999999"/>
    <n v="1.135"/>
    <n v="0.67300000000000004"/>
    <n v="0.46300000000000002"/>
    <n v="0.66700000000000004"/>
    <n v="1.1759999999999999"/>
    <n v="0.86599999999999999"/>
    <n v="0.95499999999999996"/>
    <n v="0.94799999999999995"/>
    <n v="0.96199999999999997"/>
    <n v="1.0780000000000001"/>
    <n v="0.85899999999999999"/>
    <n v="0.874"/>
    <n v="1.1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207613402751484"/>
    <n v="220.83589934417236"/>
    <n v="0.74184323880889402"/>
    <n v="1.42018772455428"/>
    <n v="0.26113408174626401"/>
    <n v="1.6145343115624999"/>
    <n v="1.0757295035105101"/>
    <n v="1.9108563367784599"/>
    <n v="1.0683768972401999"/>
    <n v="2.3758738336655898"/>
    <n v="0.50051903497825101"/>
    <n v="0.16419769658145"/>
    <n v="0.48733846634602701"/>
    <n v="2.64088521968185"/>
    <n v="1.06105775871708"/>
    <n v="1.42018772455428"/>
    <n v="1.38939122746246"/>
    <n v="1.45143443306665"/>
    <n v="2.0376970396029099"/>
    <n v="1.03570324126304"/>
    <n v="1.0905354215716101"/>
    <n v="2.6677436138106598"/>
    <m/>
  </r>
  <r>
    <x v="10"/>
    <s v="DAPGALEM"/>
    <s v="CLA"/>
    <n v="-1"/>
    <n v="35"/>
    <n v="-1"/>
    <n v="-1"/>
    <n v="-1"/>
    <n v="-1"/>
    <n v="-1"/>
    <n v="-1"/>
    <n v="-1"/>
    <n v="8960"/>
    <n v="3359.0655342882001"/>
    <n v="-1"/>
    <n v="-1"/>
    <n v="-1"/>
    <n v="0.64700000000000002"/>
    <n v="1.2190000000000001"/>
    <n v="1.647"/>
    <n v="0.54700000000000004"/>
    <n v="0.63100000000000001"/>
    <n v="1.2090000000000001"/>
    <n v="1.1830000000000001"/>
    <n v="0.80600000000000005"/>
    <n v="0.66100000000000003"/>
    <n v="0.78400000000000003"/>
    <n v="1.262"/>
    <n v="1.111"/>
    <n v="0.54600000000000004"/>
    <n v="1.3959999999999999"/>
    <n v="0.76400000000000001"/>
    <n v="0.754"/>
    <n v="1.381"/>
    <n v="0.78200000000000003"/>
    <n v="1.351"/>
    <n v="0.985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6.1018741454527339"/>
    <n v="20496.595136554541"/>
    <n v="1.4425876557042101"/>
    <n v="8.7181548470156507"/>
    <n v="20.491977772714101"/>
    <n v="0.89548447579181201"/>
    <n v="1.34356114170409"/>
    <n v="8.5165705605018491"/>
    <n v="8.0066478782897192"/>
    <n v="2.6925611375715"/>
    <n v="1.53301427686458"/>
    <n v="2.48903883393093"/>
    <n v="9.6201672491981505"/>
    <n v="6.6988766641123503"/>
    <n v="0.89084297537114898"/>
    <n v="12.8129355738184"/>
    <n v="2.3129124446019498"/>
    <n v="2.2279666042420398"/>
    <n v="12.425792633307401"/>
    <n v="2.4710482932831099"/>
    <n v="11.6744181785294"/>
    <n v="4.7729237125023101"/>
    <m/>
  </r>
  <r>
    <x v="10"/>
    <s v="DIPBIRG"/>
    <s v="CLA"/>
    <n v="-1"/>
    <n v="0"/>
    <n v="-1"/>
    <n v="-1"/>
    <n v="-1"/>
    <n v="1"/>
    <n v="-1"/>
    <n v="-1"/>
    <n v="-1"/>
    <n v="85.3333333333333"/>
    <n v="31.991100326554299"/>
    <n v="-1"/>
    <n v="-1"/>
    <n v="-1"/>
    <n v="1.391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190222032036104"/>
    <n v="317.32043444400637"/>
    <n v="9.9190222032036104"/>
    <m/>
    <m/>
    <m/>
    <m/>
    <m/>
    <m/>
    <m/>
    <m/>
    <m/>
    <m/>
    <m/>
    <m/>
    <m/>
    <m/>
    <m/>
    <m/>
    <m/>
    <m/>
    <m/>
    <m/>
  </r>
  <r>
    <x v="10"/>
    <s v="EUBCORE"/>
    <s v="CLA"/>
    <n v="-1"/>
    <n v="1"/>
    <n v="-1"/>
    <n v="-1"/>
    <n v="-1"/>
    <n v="1"/>
    <n v="-1"/>
    <n v="-1"/>
    <n v="-1"/>
    <n v="170.666666666667"/>
    <n v="63.982200653108599"/>
    <n v="-1"/>
    <n v="-1"/>
    <n v="-1"/>
    <n v="0.36799999999999999"/>
    <n v="0.42099999999999999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4404783859943"/>
    <n v="92.393358561956504"/>
    <n v="1.20060905965011"/>
    <n v="1.68748661754875"/>
    <m/>
    <m/>
    <m/>
    <m/>
    <m/>
    <m/>
    <m/>
    <m/>
    <m/>
    <m/>
    <m/>
    <m/>
    <m/>
    <m/>
    <m/>
    <m/>
    <m/>
    <m/>
    <m/>
  </r>
  <r>
    <x v="10"/>
    <s v="HOLGIBB"/>
    <s v="CLA"/>
    <n v="-1"/>
    <n v="7"/>
    <n v="-1"/>
    <n v="-1"/>
    <n v="-1"/>
    <n v="21"/>
    <n v="-1"/>
    <n v="-1"/>
    <n v="-1"/>
    <n v="2389.3333333333298"/>
    <n v="895.750809143521"/>
    <n v="-1"/>
    <n v="-1"/>
    <n v="-1"/>
    <n v="0.69499999999999995"/>
    <n v="0.374"/>
    <n v="0.74299999999999999"/>
    <n v="0.437"/>
    <n v="0.85499999999999998"/>
    <n v="0.33500000000000002"/>
    <n v="0.50800000000000001"/>
    <n v="0.371"/>
    <n v="0.58199999999999996"/>
    <n v="0.56599999999999995"/>
    <n v="0.86799999999999999"/>
    <n v="0.99399999999999999"/>
    <n v="0.88500000000000001"/>
    <n v="0.85799999999999998"/>
    <n v="0.94699999999999995"/>
    <n v="0.56299999999999994"/>
    <n v="0.72499999999999998"/>
    <n v="0.754"/>
    <n v="0.61799999999999999"/>
    <n v="0.43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7468215117587027"/>
    <n v="2460.4675917306877"/>
    <n v="2.49014127894374"/>
    <n v="0.34494739694446103"/>
    <n v="3.0813907666945601"/>
    <n v="0.56679791620190501"/>
    <n v="4.8224126178512199"/>
    <n v="0.242764620879451"/>
    <n v="0.91621564457091897"/>
    <n v="0.33619808291652098"/>
    <n v="1.4138286630433901"/>
    <n v="1.2935311050018701"/>
    <n v="5.0602314826562003"/>
    <n v="7.7974936043499001"/>
    <n v="5.3832121376778703"/>
    <n v="4.8765974723763996"/>
    <n v="6.6811141817191801"/>
    <n v="1.2717865876188601"/>
    <n v="2.8495133890924502"/>
    <n v="3.2292900489624099"/>
    <n v="1.7121653214708299"/>
    <n v="0.56679791620190501"/>
    <m/>
  </r>
  <r>
    <x v="10"/>
    <s v="LETKIND"/>
    <s v="CLA"/>
    <n v="-1"/>
    <n v="0"/>
    <n v="-1"/>
    <n v="-1"/>
    <n v="-1"/>
    <n v="0"/>
    <n v="-1"/>
    <n v="1"/>
    <n v="-1"/>
    <n v="36.571428571428598"/>
    <n v="13.7104715685233"/>
    <n v="-1"/>
    <n v="-1"/>
    <n v="-1"/>
    <n v="0.8679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0120182718029098"/>
    <n v="4.1296190879426478"/>
    <n v="0.30120182718029098"/>
    <m/>
    <m/>
    <m/>
    <m/>
    <m/>
    <m/>
    <m/>
    <m/>
    <m/>
    <m/>
    <m/>
    <m/>
    <m/>
    <m/>
    <m/>
    <m/>
    <m/>
    <m/>
    <m/>
    <m/>
  </r>
  <r>
    <x v="10"/>
    <s v="DIYTHOM"/>
    <s v="COP"/>
    <n v="-1"/>
    <n v="15"/>
    <n v="10"/>
    <n v="-1"/>
    <n v="-1"/>
    <n v="-1"/>
    <n v="-1"/>
    <n v="-1"/>
    <n v="-1"/>
    <n v="6400"/>
    <n v="2399.33252449157"/>
    <n v="-1"/>
    <n v="-1"/>
    <n v="-1"/>
    <n v="0.88"/>
    <n v="0.77200000000000002"/>
    <n v="0.83499999999999996"/>
    <n v="1.0129999999999999"/>
    <n v="0.996"/>
    <n v="0.96199999999999997"/>
    <n v="0.92500000000000004"/>
    <n v="0.79300000000000004"/>
    <n v="0.97"/>
    <n v="0.92600000000000005"/>
    <n v="1.093"/>
    <n v="0.95"/>
    <n v="1.024"/>
    <n v="0.88300000000000001"/>
    <n v="1.006"/>
    <n v="0.73899999999999999"/>
    <n v="1.0069999999999999"/>
    <n v="0.877"/>
    <n v="1.1870000000000001"/>
    <n v="0.78700000000000003"/>
    <s v="M"/>
    <s v="F"/>
    <s v="M"/>
    <s v="F"/>
    <s v="F"/>
    <s v="F"/>
    <s v="M"/>
    <s v="M"/>
    <s v="F"/>
    <s v="F"/>
    <s v="F"/>
    <s v="F"/>
    <s v="F"/>
    <s v="M"/>
    <s v="F"/>
    <s v="M"/>
    <s v="F"/>
    <s v="M"/>
    <s v="F"/>
    <s v="M"/>
    <m/>
    <m/>
    <m/>
    <m/>
    <m/>
    <m/>
    <m/>
    <m/>
    <m/>
    <m/>
    <m/>
    <m/>
    <m/>
    <m/>
    <m/>
    <m/>
    <m/>
    <m/>
    <m/>
    <m/>
    <n v="4.3006730929528612"/>
    <n v="10318.744829127556"/>
    <n v="3.1661030665237901"/>
    <n v="1.8826497124193"/>
    <n v="2.5705387058146498"/>
    <n v="5.5360287650909799"/>
    <n v="5.1762877824879796"/>
    <n v="4.5095569506553899"/>
    <n v="3.8593264767572899"/>
    <n v="2.0943217047443201"/>
    <n v="4.6602865901826798"/>
    <n v="3.8759168992870001"/>
    <n v="7.4860182734945502"/>
    <n v="4.2903384443345098"/>
    <n v="5.7785605430333904"/>
    <n v="3.2091708090611002"/>
    <n v="5.3857082492001904"/>
    <n v="1.5828773344521101"/>
    <n v="5.4069933825591798"/>
    <n v="3.1234691843475599"/>
    <n v="10.3871928343221"/>
    <n v="2.03211615028916"/>
    <m/>
  </r>
  <r>
    <x v="10"/>
    <s v="LEOASHL"/>
    <s v="COP"/>
    <n v="-1"/>
    <n v="0"/>
    <n v="0"/>
    <n v="-1"/>
    <n v="-1"/>
    <n v="2"/>
    <n v="0"/>
    <n v="-1"/>
    <n v="-1"/>
    <n v="170.666666666667"/>
    <n v="63.982200653108599"/>
    <n v="-1"/>
    <n v="-1"/>
    <n v="-1"/>
    <n v="0.95"/>
    <n v="0.95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937065927586904"/>
    <n v="274.72079676346175"/>
    <n v="4.2937065927586904"/>
    <n v="4.2937065927586904"/>
    <m/>
    <m/>
    <m/>
    <m/>
    <m/>
    <m/>
    <m/>
    <m/>
    <m/>
    <m/>
    <m/>
    <m/>
    <m/>
    <m/>
    <m/>
    <m/>
    <m/>
    <m/>
    <m/>
  </r>
  <r>
    <x v="10"/>
    <s v="SKIOREG"/>
    <s v="COP"/>
    <n v="-1"/>
    <n v="0"/>
    <n v="0"/>
    <n v="-1"/>
    <n v="-1"/>
    <n v="0"/>
    <n v="1"/>
    <n v="-1"/>
    <n v="-1"/>
    <n v="85.3333333333333"/>
    <n v="31.991100326554299"/>
    <n v="-1"/>
    <n v="-1"/>
    <n v="-1"/>
    <n v="1.00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547134472881096"/>
    <n v="158.50673498152162"/>
    <n v="4.9547134472881096"/>
    <m/>
    <m/>
    <m/>
    <m/>
    <m/>
    <m/>
    <m/>
    <m/>
    <m/>
    <m/>
    <m/>
    <m/>
    <m/>
    <m/>
    <m/>
    <m/>
    <m/>
    <m/>
    <m/>
    <m/>
  </r>
  <r>
    <x v="10"/>
    <s v="CYCCOPE"/>
    <s v="IMM"/>
    <n v="-1"/>
    <n v="81"/>
    <n v="-1"/>
    <n v="-1"/>
    <n v="-1"/>
    <n v="-1"/>
    <n v="-1"/>
    <n v="-1"/>
    <n v="-1"/>
    <n v="20736"/>
    <n v="7773.8373793526998"/>
    <n v="-1"/>
    <n v="-1"/>
    <n v="-1"/>
    <n v="0.83199999999999996"/>
    <n v="0.436"/>
    <n v="0.57399999999999995"/>
    <n v="0.55700000000000005"/>
    <n v="0.45900000000000002"/>
    <n v="0.40100000000000002"/>
    <n v="0.45"/>
    <n v="0.51700000000000002"/>
    <n v="0.78600000000000003"/>
    <n v="0.98699999999999999"/>
    <n v="0.39"/>
    <n v="0.52900000000000003"/>
    <n v="0.44500000000000001"/>
    <n v="0.45"/>
    <n v="0.36299999999999999"/>
    <n v="0.50600000000000001"/>
    <n v="0.69799999999999995"/>
    <n v="0.65700000000000003"/>
    <n v="0.45900000000000002"/>
    <n v="0.796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89324173996391709"/>
    <n v="6943.9160269295426"/>
    <n v="2.5340690539667698"/>
    <n v="0.19484542024759199"/>
    <n v="0.580509127664392"/>
    <n v="0.51519775844398197"/>
    <n v="0.23895999556862099"/>
    <n v="0.13976936730923001"/>
    <n v="0.220893287960822"/>
    <n v="0.38325364682107199"/>
    <n v="2.0218845224020998"/>
    <n v="4.9930732352316003"/>
    <n v="0.125157053385726"/>
    <n v="0.41980524271090103"/>
    <n v="0.21130904319982399"/>
    <n v="0.220893287960822"/>
    <n v="9.4136520412817296E-2"/>
    <n v="0.35188956778591601"/>
    <n v="1.2619288457620901"/>
    <n v="0.99234653389490202"/>
    <n v="0.23895999556862099"/>
    <n v="2.1259532929805398"/>
    <m/>
  </r>
  <r>
    <x v="10"/>
    <s v="DIACOPE"/>
    <s v="IMM"/>
    <n v="-1"/>
    <n v="6"/>
    <n v="-1"/>
    <n v="-1"/>
    <n v="-1"/>
    <n v="3"/>
    <n v="-1"/>
    <n v="-1"/>
    <n v="-1"/>
    <n v="768"/>
    <n v="287.91990293898903"/>
    <n v="-1"/>
    <n v="-1"/>
    <n v="-1"/>
    <n v="0.97499999999999998"/>
    <n v="1.0149999999999999"/>
    <n v="1.0629999999999999"/>
    <n v="0.94699999999999995"/>
    <n v="1.139"/>
    <n v="1.089"/>
    <n v="0.82299999999999995"/>
    <n v="1.0309999999999999"/>
    <n v="0.92400000000000004"/>
    <m/>
    <m/>
    <m/>
    <m/>
    <m/>
    <m/>
    <m/>
    <m/>
    <m/>
    <m/>
    <m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934623755215579"/>
    <n v="1437.7172024896606"/>
    <n v="4.5925107428507701"/>
    <n v="5.0965381053095502"/>
    <n v="5.7444622704238402"/>
    <n v="4.2586767024121999"/>
    <n v="6.86949278278757"/>
    <n v="6.1154783749413397"/>
    <n v="2.96083222877968"/>
    <n v="5.3072331798134504"/>
    <n v="3.9959369923756198"/>
    <m/>
    <m/>
    <m/>
    <m/>
    <m/>
    <m/>
    <m/>
    <m/>
    <m/>
    <m/>
    <m/>
    <m/>
  </r>
  <r>
    <x v="10"/>
    <s v="DREPOLYV"/>
    <s v="MOL"/>
    <n v="-1"/>
    <n v="-1"/>
    <n v="-1"/>
    <n v="-1"/>
    <n v="-1"/>
    <n v="-1"/>
    <n v="-1"/>
    <n v="-1"/>
    <n v="-1"/>
    <n v="41968"/>
    <n v="15733.623029353501"/>
    <n v="22"/>
    <n v="21"/>
    <n v="43"/>
    <n v="9.0999999999999998E-2"/>
    <n v="0.104"/>
    <n v="0.10299999999999999"/>
    <n v="0.1"/>
    <n v="0.10299999999999999"/>
    <n v="0.106"/>
    <n v="9.8000000000000004E-2"/>
    <n v="0.11700000000000001"/>
    <n v="0.10199999999999999"/>
    <n v="8.8999999999999996E-2"/>
    <n v="0.10100000000000001"/>
    <n v="0.19600000000000001"/>
    <n v="0.10100000000000001"/>
    <n v="9.4E-2"/>
    <n v="9.9000000000000005E-2"/>
    <n v="9.5000000000000001E-2"/>
    <n v="9.9000000000000005E-2"/>
    <n v="0.1"/>
    <n v="0.10100000000000001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702392708397813"/>
    <n v="2785.227735915073"/>
    <n v="0.12290059094102512"/>
    <n v="0.15429646124708882"/>
    <n v="0.15161976259966117"/>
    <n v="0.14386506690014328"/>
    <n v="0.15161976259966117"/>
    <n v="0.15979245626552249"/>
    <n v="0.13891688780903549"/>
    <n v="0.19371264020039231"/>
    <n v="0.14898949868956468"/>
    <n v="0.11867347627390945"/>
    <n v="0.14640486397791924"/>
    <n v="0.7719160687419262"/>
    <n v="0.14640486397791924"/>
    <n v="0.12952524767371265"/>
    <n v="0.1413693296235311"/>
    <n v="0.1318118892652273"/>
    <n v="0.1413693296235311"/>
    <n v="0.14386506690014328"/>
    <n v="0.14640486397791924"/>
    <n v="0.15702041439172909"/>
    <m/>
  </r>
  <r>
    <x v="10"/>
    <s v="COPNAUP"/>
    <s v="NAU"/>
    <n v="-1"/>
    <n v="-1"/>
    <n v="-1"/>
    <n v="-1"/>
    <n v="-1"/>
    <n v="-1"/>
    <n v="-1"/>
    <n v="-1"/>
    <n v="-1"/>
    <n v="137616"/>
    <n v="51591.647607879997"/>
    <n v="77"/>
    <n v="64"/>
    <n v="141"/>
    <n v="0.114"/>
    <n v="0.14299999999999999"/>
    <n v="0.109"/>
    <n v="0.11799999999999999"/>
    <n v="0.14499999999999999"/>
    <n v="0.18099999999999999"/>
    <n v="0.124"/>
    <n v="0.21299999999999999"/>
    <n v="0.14499999999999999"/>
    <n v="0.187"/>
    <n v="0.161"/>
    <n v="0.108"/>
    <n v="0.14299999999999999"/>
    <n v="0.13400000000000001"/>
    <n v="0.185"/>
    <n v="0.125"/>
    <n v="0.14699999999999999"/>
    <n v="0.11"/>
    <n v="0.11600000000000001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8278645513328004E-2"/>
    <n v="3522.607818466975"/>
    <n v="3.84369365105749E-2"/>
    <n v="6.6219151722577044E-2"/>
    <n v="3.4514431011782545E-2"/>
    <n v="4.1753601378629192E-2"/>
    <n v="6.8463694073402304E-2"/>
    <n v="0.11657507481419918"/>
    <n v="4.7031536538474132E-2"/>
    <n v="0.17230114814102757"/>
    <n v="6.8463694073402304E-2"/>
    <n v="0.1260657113773983"/>
    <n v="8.8015513207260532E-2"/>
    <n v="3.3759354676859761E-2"/>
    <n v="6.6219151722577044E-2"/>
    <n v="5.6653747058766961E-2"/>
    <n v="0.12285399154068005"/>
    <n v="4.7946968582758688E-2"/>
    <n v="7.0752000921116026E-2"/>
    <n v="3.5279268165910829E-2"/>
    <n v="4.0075255261918477E-2"/>
    <n v="2.4192679487243959E-2"/>
    <m/>
  </r>
  <r>
    <x v="10"/>
    <s v="ASCOVAL"/>
    <s v="ROT"/>
    <n v="-1"/>
    <n v="-1"/>
    <n v="-1"/>
    <n v="-1"/>
    <n v="-1"/>
    <n v="-1"/>
    <n v="-1"/>
    <n v="-1"/>
    <n v="-1"/>
    <n v="17568"/>
    <n v="6586.1677797293696"/>
    <n v="9"/>
    <n v="9"/>
    <n v="18"/>
    <n v="9.6000000000000002E-2"/>
    <n v="0.09"/>
    <n v="0.108"/>
    <n v="0.10199999999999999"/>
    <n v="9.7000000000000003E-2"/>
    <n v="9.9000000000000005E-2"/>
    <n v="9.9000000000000005E-2"/>
    <n v="0.105"/>
    <n v="0.104"/>
    <n v="0.112"/>
    <n v="0.107"/>
    <n v="9.8000000000000004E-2"/>
    <n v="9.5000000000000001E-2"/>
    <n v="0.106"/>
    <n v="9.6000000000000002E-2"/>
    <n v="0.105"/>
    <n v="9.8000000000000004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372172666666667E-2"/>
    <n v="81.485204982448394"/>
    <n v="1.0616832E-2"/>
    <n v="8.7480000000000006E-3"/>
    <n v="1.5116544000000001E-2"/>
    <n v="1.2734496E-2"/>
    <n v="1.0952076E-2"/>
    <n v="1.1643588E-2"/>
    <n v="1.1643588E-2"/>
    <n v="1.3891499999999999E-2"/>
    <n v="1.3498368E-2"/>
    <n v="1.6859136E-2"/>
    <n v="1.4700516E-2"/>
    <n v="1.1294304E-2"/>
    <n v="1.0288500000000001E-2"/>
    <n v="1.4292192E-2"/>
    <n v="1.0616832E-2"/>
    <n v="1.3891499999999999E-2"/>
    <n v="1.1294304E-2"/>
    <n v="1.0616832E-2"/>
    <m/>
    <m/>
    <m/>
  </r>
  <r>
    <x v="10"/>
    <s v="COLSP"/>
    <s v="ROT"/>
    <n v="-1"/>
    <n v="-1"/>
    <n v="-1"/>
    <n v="-1"/>
    <n v="-1"/>
    <n v="-1"/>
    <n v="-1"/>
    <n v="-1"/>
    <n v="-1"/>
    <n v="10736"/>
    <n v="4024.8803098346102"/>
    <n v="6"/>
    <n v="5"/>
    <n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999999999999999E-2"/>
    <n v="4.7E-2"/>
    <n v="5.3999999999999999E-2"/>
    <n v="3.2000000000000001E-2"/>
    <n v="5.3999999999999999E-2"/>
    <n v="3.3000000000000002E-2"/>
    <n v="4.3999999999999997E-2"/>
    <n v="4.2999999999999997E-2"/>
    <n v="3.5999999999999997E-2"/>
    <n v="0.05"/>
    <n v="6.5000000000000002E-2"/>
    <m/>
    <m/>
    <m/>
    <m/>
    <m/>
    <m/>
    <m/>
    <m/>
    <m/>
    <n v="1.8872181818181819E-2"/>
    <n v="75.958273003618743"/>
    <n v="9.8769600000000006E-3"/>
    <n v="1.8688139999999999E-2"/>
    <n v="2.8343520000000001E-2"/>
    <n v="5.8982399999999999E-3"/>
    <n v="2.8343520000000001E-2"/>
    <n v="6.4686600000000002E-3"/>
    <n v="1.533312E-2"/>
    <n v="1.4311259999999999E-2"/>
    <n v="8.3980800000000005E-3"/>
    <n v="2.2499999999999999E-2"/>
    <n v="4.9432499999999997E-2"/>
    <m/>
    <m/>
    <m/>
    <m/>
    <m/>
    <m/>
    <m/>
    <m/>
    <m/>
    <m/>
  </r>
  <r>
    <x v="10"/>
    <s v="COOUNIC"/>
    <s v="ROT"/>
    <n v="-1"/>
    <n v="-1"/>
    <n v="-1"/>
    <n v="-1"/>
    <n v="-1"/>
    <n v="-1"/>
    <n v="-1"/>
    <n v="-1"/>
    <n v="-1"/>
    <n v="49776"/>
    <n v="18660.808709233199"/>
    <n v="24"/>
    <n v="27"/>
    <n v="51"/>
    <n v="7.6999999999999999E-2"/>
    <n v="0.17899999999999999"/>
    <n v="0.16500000000000001"/>
    <n v="0.17699999999999999"/>
    <n v="0.17899999999999999"/>
    <n v="0.17100000000000001"/>
    <n v="0.129"/>
    <n v="0.245"/>
    <n v="0.14199999999999999"/>
    <n v="0.161"/>
    <n v="7.8E-2"/>
    <n v="0.17"/>
    <n v="0.123"/>
    <n v="0.122"/>
    <n v="0.219"/>
    <n v="0.159"/>
    <n v="0.11700000000000001"/>
    <n v="0.126"/>
    <n v="0.124"/>
    <n v="0.14799999999999999"/>
    <m/>
    <m/>
    <m/>
    <m/>
    <m/>
    <m/>
    <m/>
    <m/>
    <m/>
    <m/>
    <m/>
    <m/>
    <m/>
    <m/>
    <m/>
    <m/>
    <m/>
    <m/>
    <m/>
    <m/>
    <n v="6.5000000000000002E-2"/>
    <n v="8.8999999999999996E-2"/>
    <n v="7.2999999999999995E-2"/>
    <n v="7.5999999999999998E-2"/>
    <n v="0.09"/>
    <n v="6.4000000000000001E-2"/>
    <n v="6.7000000000000004E-2"/>
    <n v="8.7999999999999995E-2"/>
    <n v="6.2E-2"/>
    <n v="0.06"/>
    <n v="5.5E-2"/>
    <n v="7.3999999999999996E-2"/>
    <n v="8.6999999999999994E-2"/>
    <n v="7.9000000000000001E-2"/>
    <n v="6.4000000000000001E-2"/>
    <n v="5.6000000000000001E-2"/>
    <n v="0.08"/>
    <n v="5.1999999999999998E-2"/>
    <n v="8.5999999999999993E-2"/>
    <n v="7.9000000000000001E-2"/>
    <n v="2.15567677E-2"/>
    <n v="402.2667184390769"/>
    <n v="8.4584499999999993E-3"/>
    <n v="3.6864333999999999E-2"/>
    <n v="2.2861409999999999E-2"/>
    <n v="2.6581152E-2"/>
    <n v="3.7697399999999999E-2"/>
    <n v="1.8210816000000001E-2"/>
    <n v="1.5056106E-2"/>
    <n v="4.9329280000000003E-2"/>
    <n v="1.4192048000000001E-2"/>
    <n v="1.5069600000000001E-2"/>
    <n v="6.1346999999999999E-3"/>
    <n v="2.420392E-2"/>
    <n v="2.4205661999999999E-2"/>
    <n v="1.9796451999999999E-2"/>
    <n v="2.3322624E-2"/>
    <n v="1.2964224E-2"/>
    <n v="1.9468800000000001E-2"/>
    <n v="8.8583039999999991E-3"/>
    <n v="2.3844704000000001E-2"/>
    <n v="2.4015367999999999E-2"/>
    <m/>
  </r>
  <r>
    <x v="10"/>
    <s v="GASSTYL"/>
    <s v="ROT"/>
    <n v="-1"/>
    <n v="-1"/>
    <n v="-1"/>
    <n v="-1"/>
    <n v="-1"/>
    <n v="-1"/>
    <n v="-1"/>
    <n v="-1"/>
    <n v="-1"/>
    <n v="4880"/>
    <n v="1829.4910499248199"/>
    <n v="1"/>
    <n v="4"/>
    <n v="5"/>
    <n v="0.127"/>
    <n v="0.11799999999999999"/>
    <n v="0.1"/>
    <n v="0.10199999999999999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73884000000008E-2"/>
    <n v="55.385799824462218"/>
    <n v="4.0967660000000003E-2"/>
    <n v="3.2860640000000003E-2"/>
    <n v="0.02"/>
    <n v="2.1224159999999999E-2"/>
    <n v="3.6316960000000002E-2"/>
    <m/>
    <m/>
    <m/>
    <m/>
    <m/>
    <m/>
    <m/>
    <m/>
    <m/>
    <m/>
    <m/>
    <m/>
    <m/>
    <m/>
    <m/>
    <m/>
  </r>
  <r>
    <x v="10"/>
    <s v="KELLONG"/>
    <s v="ROT"/>
    <n v="-1"/>
    <n v="-1"/>
    <n v="-1"/>
    <n v="-1"/>
    <n v="-1"/>
    <n v="-1"/>
    <n v="-1"/>
    <n v="-1"/>
    <n v="-1"/>
    <n v="48800"/>
    <n v="18294.910499248199"/>
    <n v="21"/>
    <n v="29"/>
    <n v="50"/>
    <n v="0.152"/>
    <n v="0.125"/>
    <n v="0.129"/>
    <n v="0.13"/>
    <n v="0.14699999999999999"/>
    <n v="0.152"/>
    <n v="0.127"/>
    <n v="0.11899999999999999"/>
    <n v="0.129"/>
    <n v="0.14000000000000001"/>
    <n v="0.13600000000000001"/>
    <n v="0.13200000000000001"/>
    <n v="0.129"/>
    <n v="0.123"/>
    <n v="0.13700000000000001"/>
    <n v="0.14499999999999999"/>
    <n v="0.127"/>
    <n v="0.129"/>
    <n v="0.1360000000000000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5094716637499987E-3"/>
    <n v="137.38511198494669"/>
    <n v="1.069345536E-2"/>
    <n v="5.9472656249999999E-3"/>
    <n v="6.5366680050000002E-3"/>
    <n v="6.6898649999999997E-3"/>
    <n v="9.6725125350000003E-3"/>
    <n v="1.069345536E-2"/>
    <n v="6.237326235E-3"/>
    <n v="5.1313091550000004E-3"/>
    <n v="6.5366680050000002E-3"/>
    <n v="8.3554800000000002E-3"/>
    <n v="7.65956352E-3"/>
    <n v="7.0034025600000001E-3"/>
    <n v="6.5366680050000002E-3"/>
    <n v="5.6663400150000001E-3"/>
    <n v="7.8297698850000007E-3"/>
    <n v="9.2830631249999993E-3"/>
    <n v="6.237326235E-3"/>
    <n v="6.5366680050000002E-3"/>
    <n v="7.65956352E-3"/>
    <n v="9.2830631249999993E-3"/>
    <m/>
  </r>
  <r>
    <x v="10"/>
    <s v="KERCOCH"/>
    <s v="ROT"/>
    <n v="-1"/>
    <n v="-1"/>
    <n v="-1"/>
    <n v="-1"/>
    <n v="-1"/>
    <n v="-1"/>
    <n v="-1"/>
    <n v="-1"/>
    <n v="-1"/>
    <n v="85888"/>
    <n v="32199.0424786769"/>
    <n v="37"/>
    <n v="51"/>
    <n v="88"/>
    <n v="9.1999999999999998E-2"/>
    <n v="8.5000000000000006E-2"/>
    <n v="8.6999999999999994E-2"/>
    <n v="9.2999999999999999E-2"/>
    <n v="8.8999999999999996E-2"/>
    <n v="0.10199999999999999"/>
    <n v="8.2000000000000003E-2"/>
    <n v="9.4E-2"/>
    <n v="8.8999999999999996E-2"/>
    <n v="8.1000000000000003E-2"/>
    <n v="9.2999999999999999E-2"/>
    <n v="0.1"/>
    <n v="9.2999999999999999E-2"/>
    <n v="8.6999999999999994E-2"/>
    <n v="0.10299999999999999"/>
    <n v="8.1000000000000003E-2"/>
    <n v="0.107"/>
    <n v="8.5000000000000006E-2"/>
    <n v="8.4000000000000005E-2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35255999999999E-3"/>
    <n v="48.734075086964943"/>
    <n v="1.5573760000000001E-3"/>
    <n v="1.22825E-3"/>
    <n v="1.3170059999999999E-3"/>
    <n v="1.608714E-3"/>
    <n v="1.4099379999999999E-3"/>
    <n v="2.1224159999999998E-3"/>
    <n v="1.102736E-3"/>
    <n v="1.661168E-3"/>
    <n v="1.4099379999999999E-3"/>
    <n v="1.062882E-3"/>
    <n v="1.608714E-3"/>
    <n v="2E-3"/>
    <n v="1.608714E-3"/>
    <n v="1.3170059999999999E-3"/>
    <n v="2.1854539999999999E-3"/>
    <n v="1.062882E-3"/>
    <n v="2.4500860000000002E-3"/>
    <n v="1.22825E-3"/>
    <n v="1.185408E-3"/>
    <n v="1.1435740000000001E-3"/>
    <m/>
  </r>
  <r>
    <x v="10"/>
    <s v="KERCOCHH"/>
    <s v="ROT"/>
    <n v="-1"/>
    <n v="-1"/>
    <n v="-1"/>
    <n v="-1"/>
    <n v="-1"/>
    <n v="-1"/>
    <n v="-1"/>
    <n v="-1"/>
    <n v="-1"/>
    <n v="20496"/>
    <n v="7683.8624096842595"/>
    <n v="10"/>
    <n v="11"/>
    <n v="21"/>
    <n v="9.0999999999999998E-2"/>
    <n v="0.109"/>
    <n v="0.10299999999999999"/>
    <n v="0.105"/>
    <n v="9.4E-2"/>
    <n v="0.1"/>
    <n v="9.8000000000000004E-2"/>
    <n v="9.5000000000000001E-2"/>
    <n v="9.9000000000000005E-2"/>
    <n v="0.10299999999999999"/>
    <n v="9.7000000000000003E-2"/>
    <n v="0.107"/>
    <n v="0.107"/>
    <n v="9.5000000000000001E-2"/>
    <n v="9.8000000000000004E-2"/>
    <n v="9.9000000000000005E-2"/>
    <n v="9.1999999999999998E-2"/>
    <n v="0.11"/>
    <n v="9.5000000000000001E-2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060116E-3"/>
    <n v="15.413917126630578"/>
    <n v="1.5071419999999999E-3"/>
    <n v="2.5900580000000001E-3"/>
    <n v="2.1854539999999999E-3"/>
    <n v="2.31525E-3"/>
    <n v="1.661168E-3"/>
    <n v="2E-3"/>
    <n v="1.882384E-3"/>
    <n v="1.7147499999999999E-3"/>
    <n v="1.940598E-3"/>
    <n v="2.1854539999999999E-3"/>
    <n v="1.825346E-3"/>
    <n v="2.4500860000000002E-3"/>
    <n v="2.4500860000000002E-3"/>
    <n v="1.7147499999999999E-3"/>
    <n v="1.882384E-3"/>
    <n v="1.940598E-3"/>
    <n v="1.5573760000000001E-3"/>
    <n v="2.6619999999999999E-3"/>
    <n v="1.7147499999999999E-3"/>
    <n v="1.940598E-3"/>
    <m/>
  </r>
  <r>
    <x v="10"/>
    <s v="KERCRAS"/>
    <s v="ROT"/>
    <n v="-1"/>
    <n v="-1"/>
    <n v="-1"/>
    <n v="-1"/>
    <n v="-1"/>
    <n v="-1"/>
    <n v="-1"/>
    <n v="-1"/>
    <n v="-1"/>
    <n v="7808"/>
    <n v="2927.1856798797198"/>
    <n v="7"/>
    <n v="1"/>
    <n v="8"/>
    <n v="0.114"/>
    <n v="0.128"/>
    <n v="0.128"/>
    <n v="0.129"/>
    <n v="0.11799999999999999"/>
    <n v="0.11700000000000001"/>
    <n v="0.113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694274999999999E-3"/>
    <n v="10.155658495380896"/>
    <n v="2.963088E-3"/>
    <n v="4.1943040000000003E-3"/>
    <n v="4.1943040000000003E-3"/>
    <n v="4.2933779999999996E-3"/>
    <n v="3.286064E-3"/>
    <n v="3.203226E-3"/>
    <n v="2.8857940000000001E-3"/>
    <n v="2.735262E-3"/>
    <m/>
    <m/>
    <m/>
    <m/>
    <m/>
    <m/>
    <m/>
    <m/>
    <m/>
    <m/>
    <m/>
    <m/>
    <m/>
  </r>
  <r>
    <x v="10"/>
    <s v="KERQUAD"/>
    <s v="ROT"/>
    <n v="-1"/>
    <n v="-1"/>
    <n v="-1"/>
    <n v="-1"/>
    <n v="-1"/>
    <n v="-1"/>
    <n v="-1"/>
    <n v="-1"/>
    <n v="-1"/>
    <n v="3904"/>
    <n v="1463.5928399398599"/>
    <n v="2"/>
    <n v="2"/>
    <n v="4"/>
    <n v="0.13800000000000001"/>
    <n v="0.14699999999999999"/>
    <n v="0.13900000000000001"/>
    <n v="0.14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003571250000005E-2"/>
    <n v="98.065947131900259"/>
    <n v="6.07084632E-2"/>
    <n v="7.3377681299999997E-2"/>
    <n v="6.2037798900000003E-2"/>
    <n v="7.1890341600000005E-2"/>
    <m/>
    <m/>
    <m/>
    <m/>
    <m/>
    <m/>
    <m/>
    <m/>
    <m/>
    <m/>
    <m/>
    <m/>
    <m/>
    <m/>
    <m/>
    <m/>
    <m/>
  </r>
  <r>
    <x v="10"/>
    <s v="PLOHUDS"/>
    <s v="ROT"/>
    <n v="-1"/>
    <n v="-1"/>
    <n v="-1"/>
    <n v="-1"/>
    <n v="-1"/>
    <n v="-1"/>
    <n v="-1"/>
    <n v="-1"/>
    <n v="-1"/>
    <n v="1952"/>
    <n v="731.79641996992996"/>
    <n v="1"/>
    <n v="1"/>
    <n v="2"/>
    <n v="0.36599999999999999"/>
    <n v="0.280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489947999999999"/>
    <n v="259.71416891318972"/>
    <n v="0.49027895999999999"/>
    <n v="0.21951999999999999"/>
    <m/>
    <m/>
    <m/>
    <m/>
    <m/>
    <m/>
    <m/>
    <m/>
    <m/>
    <m/>
    <m/>
    <m/>
    <m/>
    <m/>
    <m/>
    <m/>
    <m/>
    <m/>
    <m/>
  </r>
  <r>
    <x v="10"/>
    <s v="POLREMA"/>
    <s v="ROT"/>
    <n v="-1"/>
    <n v="-1"/>
    <n v="-1"/>
    <n v="-1"/>
    <n v="-1"/>
    <n v="-1"/>
    <n v="-1"/>
    <n v="-1"/>
    <n v="-1"/>
    <n v="10736"/>
    <n v="4024.8803098346102"/>
    <n v="6"/>
    <n v="5"/>
    <n v="11"/>
    <n v="8.2000000000000003E-2"/>
    <n v="8.8999999999999996E-2"/>
    <n v="8.7999999999999995E-2"/>
    <n v="0.09"/>
    <n v="8.3000000000000004E-2"/>
    <n v="9.5000000000000001E-2"/>
    <n v="8.4000000000000005E-2"/>
    <n v="8.5999999999999993E-2"/>
    <n v="8.5999999999999993E-2"/>
    <n v="8.5999999999999993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48421200000004E-2"/>
    <n v="84.314888010001937"/>
    <n v="1.6982134400000001E-2"/>
    <n v="2.1713045199999999E-2"/>
    <n v="2.0989337600000001E-2"/>
    <n v="2.24532E-2"/>
    <n v="1.76110396E-2"/>
    <n v="2.6407150000000001E-2"/>
    <n v="1.82552832E-2"/>
    <n v="1.9590524799999998E-2"/>
    <n v="1.9590524799999998E-2"/>
    <n v="1.9590524799999998E-2"/>
    <n v="2.72498688E-2"/>
    <m/>
    <m/>
    <m/>
    <m/>
    <m/>
    <m/>
    <m/>
    <m/>
    <m/>
    <m/>
  </r>
  <r>
    <x v="10"/>
    <s v="POLSP"/>
    <s v="ROT"/>
    <n v="-1"/>
    <n v="-1"/>
    <n v="-1"/>
    <n v="-1"/>
    <n v="-1"/>
    <n v="-1"/>
    <n v="-1"/>
    <n v="-1"/>
    <n v="-1"/>
    <n v="4880"/>
    <n v="1829.4910499248199"/>
    <n v="3"/>
    <n v="2"/>
    <n v="5"/>
    <n v="8.4000000000000005E-2"/>
    <n v="0.11"/>
    <n v="0.10299999999999999"/>
    <n v="0.112"/>
    <n v="0.1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391481439999996E-2"/>
    <n v="77.554835887534111"/>
    <n v="1.82552832E-2"/>
    <n v="4.0994799999999998E-2"/>
    <n v="3.3655991599999997E-2"/>
    <n v="4.32717824E-2"/>
    <n v="7.5779550000000001E-2"/>
    <m/>
    <m/>
    <m/>
    <m/>
    <m/>
    <m/>
    <m/>
    <m/>
    <m/>
    <m/>
    <m/>
    <m/>
    <m/>
    <m/>
    <m/>
    <m/>
  </r>
  <r>
    <x v="10"/>
    <s v="SYNSP"/>
    <s v="ROT"/>
    <n v="-1"/>
    <n v="-1"/>
    <n v="-1"/>
    <n v="-1"/>
    <n v="-1"/>
    <n v="-1"/>
    <n v="-1"/>
    <n v="-1"/>
    <n v="-1"/>
    <n v="11712"/>
    <n v="4390.7785198195797"/>
    <n v="6"/>
    <n v="6"/>
    <n v="12"/>
    <n v="9.9000000000000005E-2"/>
    <n v="0.115"/>
    <n v="0.111"/>
    <n v="0.125"/>
    <n v="0.109"/>
    <n v="8.3000000000000004E-2"/>
    <n v="0.183"/>
    <n v="0.13200000000000001"/>
    <n v="0.105"/>
    <n v="9.5000000000000001E-2"/>
    <n v="0.182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753616666666665E-2"/>
    <n v="91.124534268569619"/>
    <n v="9.7029899999999999E-3"/>
    <n v="1.520875E-2"/>
    <n v="1.3676310000000001E-2"/>
    <n v="1.953125E-2"/>
    <n v="1.295029E-2"/>
    <n v="5.7178699999999999E-3"/>
    <n v="6.1284869999999998E-2"/>
    <n v="2.2999680000000002E-2"/>
    <n v="1.157625E-2"/>
    <n v="8.5737499999999998E-3"/>
    <n v="6.0285680000000001E-2"/>
    <n v="7.5357100000000002E-3"/>
    <m/>
    <m/>
    <m/>
    <m/>
    <m/>
    <m/>
    <m/>
    <m/>
    <m/>
  </r>
  <r>
    <x v="10"/>
    <s v="TRICYLI"/>
    <s v="ROT"/>
    <n v="-1"/>
    <n v="-1"/>
    <n v="-1"/>
    <n v="-1"/>
    <n v="-1"/>
    <n v="-1"/>
    <n v="-1"/>
    <n v="-1"/>
    <n v="-1"/>
    <n v="976"/>
    <n v="365.89820998496498"/>
    <n v="1"/>
    <n v="0"/>
    <n v="1"/>
    <n v="0.26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999999999999999E-2"/>
    <m/>
    <m/>
    <m/>
    <m/>
    <m/>
    <m/>
    <m/>
    <m/>
    <m/>
    <m/>
    <m/>
    <m/>
    <m/>
    <m/>
    <m/>
    <m/>
    <m/>
    <m/>
    <m/>
    <n v="5.0804420471999998E-2"/>
    <n v="18.58924651002831"/>
    <n v="5.0804420471999998E-2"/>
    <m/>
    <m/>
    <m/>
    <m/>
    <m/>
    <m/>
    <m/>
    <m/>
    <m/>
    <m/>
    <m/>
    <m/>
    <m/>
    <m/>
    <m/>
    <m/>
    <m/>
    <m/>
    <m/>
    <m/>
  </r>
  <r>
    <x v="10"/>
    <s v="TRIMULT"/>
    <s v="ROT"/>
    <n v="-1"/>
    <n v="-1"/>
    <n v="-1"/>
    <n v="-1"/>
    <n v="-1"/>
    <n v="-1"/>
    <n v="-1"/>
    <n v="-1"/>
    <n v="-1"/>
    <n v="10736"/>
    <n v="4024.8803098346102"/>
    <n v="5"/>
    <n v="6"/>
    <n v="11"/>
    <n v="0.188"/>
    <n v="0.17499999999999999"/>
    <n v="0.16"/>
    <n v="0.189"/>
    <n v="0.17599999999999999"/>
    <n v="0.16800000000000001"/>
    <n v="0.17899999999999999"/>
    <n v="0.17499999999999999"/>
    <n v="0.16200000000000001"/>
    <n v="0.16"/>
    <n v="0.17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n v="0.09"/>
    <n v="9.2999999999999999E-2"/>
    <n v="0.10299999999999999"/>
    <n v="8.2000000000000003E-2"/>
    <n v="0.09"/>
    <n v="9.2999999999999999E-2"/>
    <n v="8.7999999999999995E-2"/>
    <n v="9.1999999999999998E-2"/>
    <n v="0.09"/>
    <n v="9.9000000000000005E-2"/>
    <n v="8.7999999999999995E-2"/>
    <m/>
    <m/>
    <m/>
    <m/>
    <m/>
    <m/>
    <m/>
    <m/>
    <m/>
    <n v="7.5950989097454555E-2"/>
    <n v="305.69364053080801"/>
    <n v="7.9660713600000002E-2"/>
    <n v="7.9178135400000002E-2"/>
    <n v="8.8796481280000006E-2"/>
    <n v="6.6479972831999995E-2"/>
    <n v="7.4575987199999999E-2"/>
    <n v="7.6011009983999997E-2"/>
    <n v="7.2513638911999995E-2"/>
    <n v="7.7484534399999999E-2"/>
    <n v="6.8643806399999993E-2"/>
    <n v="8.2033585919999999E-2"/>
    <n v="7.0083014144000005E-2"/>
    <m/>
    <m/>
    <m/>
    <m/>
    <m/>
    <m/>
    <m/>
    <m/>
    <m/>
    <m/>
  </r>
  <r>
    <x v="11"/>
    <s v="ALOSP"/>
    <s v="CLA"/>
    <n v="-1"/>
    <n v="3"/>
    <n v="-1"/>
    <n v="-1"/>
    <n v="-1"/>
    <n v="0"/>
    <n v="-1"/>
    <n v="-1"/>
    <n v="-1"/>
    <n v="32"/>
    <n v="18.381983050540299"/>
    <n v="-1"/>
    <n v="-1"/>
    <n v="-1"/>
    <n v="0.443"/>
    <n v="0.35599999999999998"/>
    <n v="0.309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9191324427547564"/>
    <n v="7.2041426135540529"/>
    <n v="0.69874294279671501"/>
    <n v="0.301783240856066"/>
    <n v="0.17521354917364601"/>
    <m/>
    <m/>
    <m/>
    <m/>
    <m/>
    <m/>
    <m/>
    <m/>
    <m/>
    <m/>
    <m/>
    <m/>
    <m/>
    <m/>
    <m/>
    <m/>
    <m/>
    <m/>
  </r>
  <r>
    <x v="11"/>
    <s v="BOSLONG"/>
    <s v="CLA"/>
    <n v="-1"/>
    <n v="189"/>
    <n v="-1"/>
    <n v="-1"/>
    <n v="-1"/>
    <n v="-1"/>
    <n v="-1"/>
    <n v="-1"/>
    <n v="-1"/>
    <n v="6048"/>
    <n v="3474.1947965521099"/>
    <n v="-1"/>
    <n v="-1"/>
    <n v="-1"/>
    <n v="0.27500000000000002"/>
    <n v="0.39700000000000002"/>
    <n v="0.248"/>
    <n v="0.38300000000000001"/>
    <n v="0.49399999999999999"/>
    <n v="0.36299999999999999"/>
    <n v="0.29099999999999998"/>
    <n v="0.41099999999999998"/>
    <n v="0.39500000000000002"/>
    <n v="0.33800000000000002"/>
    <n v="0.28799999999999998"/>
    <n v="0.23"/>
    <n v="0.49199999999999999"/>
    <n v="0.41499999999999998"/>
    <n v="0.26300000000000001"/>
    <n v="0.35799999999999998"/>
    <n v="0.375"/>
    <n v="0.27100000000000002"/>
    <n v="0.32700000000000001"/>
    <n v="0.24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03203073411521"/>
    <n v="3832.7423771866015"/>
    <n v="0.57453746032460995"/>
    <n v="1.45461016125359"/>
    <n v="0.44235341806286499"/>
    <n v="1.3283102779548199"/>
    <n v="2.5289242195816199"/>
    <n v="1.1597660628987201"/>
    <n v="0.66291202501819002"/>
    <n v="1.58791204950848"/>
    <n v="1.4361416809524801"/>
    <n v="0.96820180203853501"/>
    <n v="0.645757752872818"/>
    <n v="0.36557632273868002"/>
    <n v="2.5031008340121002"/>
    <n v="1.62730260477958"/>
    <n v="0.51320949009263905"/>
    <n v="1.1197748068397"/>
    <n v="1.2592319730041099"/>
    <n v="0.55362913987907103"/>
    <n v="0.890455968354951"/>
    <n v="0.44235341806286499"/>
    <m/>
  </r>
  <r>
    <x v="11"/>
    <s v="CECPENG"/>
    <s v="CLA"/>
    <n v="585"/>
    <n v="-1"/>
    <n v="-1"/>
    <n v="-1"/>
    <n v="-1"/>
    <n v="-1"/>
    <n v="-1"/>
    <n v="-1"/>
    <n v="-1"/>
    <n v="585"/>
    <n v="336.045627642689"/>
    <n v="-1"/>
    <n v="-1"/>
    <n v="-1"/>
    <n v="0.71599999999999997"/>
    <n v="0.59599999999999997"/>
    <n v="0.76600000000000001"/>
    <n v="0.73599999999999999"/>
    <n v="0.752"/>
    <n v="0.95099999999999996"/>
    <n v="1.0629999999999999"/>
    <n v="1.2529999999999999"/>
    <n v="0.95599999999999996"/>
    <n v="1.0249999999999999"/>
    <n v="1.258"/>
    <n v="0.71599999999999997"/>
    <n v="0.61599999999999999"/>
    <n v="1.615"/>
    <n v="1.1819999999999999"/>
    <n v="1.69"/>
    <n v="1.4830000000000001"/>
    <n v="1.1279999999999999"/>
    <n v="1.341"/>
    <n v="1.04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3793361274831986"/>
    <n v="799.56550233301652"/>
    <n v="0.60197230854617201"/>
    <n v="0.34847334260601998"/>
    <n v="0.73610105584616004"/>
    <n v="0.653478936964764"/>
    <n v="0.69673057949581496"/>
    <n v="1.4025348057186799"/>
    <n v="1.95436121557256"/>
    <n v="3.1902880617967901"/>
    <n v="1.4246239006638199"/>
    <n v="1.7534477375731901"/>
    <n v="3.22837531316882"/>
    <n v="0.60197230854617201"/>
    <n v="0.38449104509911097"/>
    <n v="6.7965706642384802"/>
    <n v="2.6812406019077102"/>
    <n v="7.7810478656803204"/>
    <n v="5.2715258102201901"/>
    <n v="2.3324740684044798"/>
    <n v="3.9054714303738201"/>
    <n v="1.8415414972409001"/>
    <m/>
  </r>
  <r>
    <x v="11"/>
    <s v="DAPGALEM"/>
    <s v="CLA"/>
    <n v="-1"/>
    <n v="12"/>
    <n v="-1"/>
    <n v="-1"/>
    <n v="-1"/>
    <n v="41"/>
    <n v="-1"/>
    <n v="-1"/>
    <n v="-1"/>
    <n v="565.33333333333303"/>
    <n v="324.748367226212"/>
    <n v="-1"/>
    <n v="-1"/>
    <n v="-1"/>
    <n v="0.76200000000000001"/>
    <n v="0.9"/>
    <n v="0.78400000000000003"/>
    <n v="0.90100000000000002"/>
    <n v="0.53300000000000003"/>
    <n v="0.71"/>
    <n v="0.69599999999999995"/>
    <n v="0.81"/>
    <n v="0.59899999999999998"/>
    <n v="0.82199999999999995"/>
    <n v="0.60799999999999998"/>
    <n v="0.88700000000000001"/>
    <n v="0.52100000000000002"/>
    <n v="0.84499999999999997"/>
    <n v="0.71399999999999997"/>
    <n v="0.69499999999999995"/>
    <n v="0.73499999999999999"/>
    <n v="0.503"/>
    <n v="0.877"/>
    <n v="0.831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2404846085023968"/>
    <n v="727.5937184066122"/>
    <n v="2.2957583527097101"/>
    <n v="3.68317862271895"/>
    <n v="2.48903883393093"/>
    <n v="3.6948129819320301"/>
    <n v="0.83191571475109205"/>
    <n v="1.87822563986407"/>
    <n v="1.77494252663125"/>
    <n v="2.73068439266802"/>
    <n v="1.1589540836255301"/>
    <n v="2.8471478239335002"/>
    <n v="1.2090944276053599"/>
    <n v="3.5340861725248902"/>
    <n v="0.77981788000830898"/>
    <n v="3.0792652994321901"/>
    <n v="1.9084332562119299"/>
    <n v="1.7677095147327999"/>
    <n v="2.0721924999336601"/>
    <n v="0.70571139838156305"/>
    <n v="3.42210160259686"/>
    <n v="2.94662114585529"/>
    <m/>
  </r>
  <r>
    <x v="11"/>
    <s v="DAPRETR"/>
    <s v="CLA"/>
    <n v="-1"/>
    <n v="1"/>
    <n v="-1"/>
    <n v="-1"/>
    <n v="-1"/>
    <n v="6"/>
    <n v="-1"/>
    <n v="-1"/>
    <n v="-1"/>
    <n v="74.6666666666667"/>
    <n v="42.891293784593998"/>
    <n v="-1"/>
    <n v="-1"/>
    <n v="-1"/>
    <n v="0.70599999999999996"/>
    <n v="0.73299999999999998"/>
    <n v="0.53900000000000003"/>
    <n v="0.78300000000000003"/>
    <n v="1.04"/>
    <n v="1.101"/>
    <n v="0.56299999999999994"/>
    <m/>
    <m/>
    <m/>
    <m/>
    <m/>
    <m/>
    <m/>
    <m/>
    <m/>
    <m/>
    <m/>
    <m/>
    <m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8996545085717509"/>
    <n v="124.36993340097351"/>
    <n v="1.84832954432286"/>
    <n v="2.0562188799553902"/>
    <n v="0.85878835651129404"/>
    <n v="2.4800329944562298"/>
    <n v="5.5532693442232102"/>
    <n v="6.5290506899075504"/>
    <n v="0.97189175062572097"/>
    <m/>
    <m/>
    <m/>
    <m/>
    <m/>
    <m/>
    <m/>
    <m/>
    <m/>
    <m/>
    <m/>
    <m/>
    <m/>
    <m/>
  </r>
  <r>
    <x v="11"/>
    <s v="EUBCORE"/>
    <s v="CLA"/>
    <n v="-1"/>
    <n v="5"/>
    <n v="-1"/>
    <n v="-1"/>
    <n v="-1"/>
    <n v="6"/>
    <n v="-1"/>
    <n v="-1"/>
    <n v="-1"/>
    <n v="117.333333333333"/>
    <n v="67.400604518647697"/>
    <n v="-1"/>
    <n v="-1"/>
    <n v="-1"/>
    <n v="0.43"/>
    <n v="0.55900000000000005"/>
    <n v="0.52800000000000002"/>
    <n v="0.23400000000000001"/>
    <n v="0.41899999999999998"/>
    <n v="0.314"/>
    <n v="0.25900000000000001"/>
    <n v="0.45400000000000001"/>
    <n v="0.59199999999999997"/>
    <n v="0.313"/>
    <n v="0.39800000000000002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.8070783281119789"/>
    <n v="121.79817172729457"/>
    <n v="1.7802534150118901"/>
    <n v="3.4574707036921999"/>
    <n v="2.9927501340832601"/>
    <n v="0.38187634232599998"/>
    <n v="1.66727835857633"/>
    <n v="0.80359762501548704"/>
    <n v="0.49369080442565899"/>
    <n v="2.0424806115949701"/>
    <n v="3.9974271050758898"/>
    <n v="0.79713854373790205"/>
    <n v="1.46389796569218"/>
    <m/>
    <m/>
    <m/>
    <m/>
    <m/>
    <m/>
    <m/>
    <m/>
    <m/>
    <m/>
  </r>
  <r>
    <x v="11"/>
    <s v="HOLGIBB"/>
    <s v="CLA"/>
    <n v="-1"/>
    <n v="45"/>
    <n v="-1"/>
    <n v="-1"/>
    <n v="-1"/>
    <n v="-1"/>
    <n v="-1"/>
    <n v="-1"/>
    <n v="-1"/>
    <n v="1440"/>
    <n v="827.18923727431297"/>
    <n v="-1"/>
    <n v="-1"/>
    <n v="-1"/>
    <n v="0.65700000000000003"/>
    <n v="0.69699999999999995"/>
    <n v="0.39100000000000001"/>
    <n v="0.443"/>
    <n v="0.67400000000000004"/>
    <n v="0.63200000000000001"/>
    <n v="0.60599999999999998"/>
    <n v="0.55300000000000005"/>
    <n v="0.51200000000000001"/>
    <n v="0.69199999999999995"/>
    <n v="0.60699999999999998"/>
    <n v="0.57799999999999996"/>
    <n v="0.44400000000000001"/>
    <n v="0.75800000000000001"/>
    <n v="0.48799999999999999"/>
    <n v="0.59099999999999997"/>
    <n v="0.57699999999999996"/>
    <n v="0.56100000000000005"/>
    <n v="0.38600000000000001"/>
    <n v="0.5510000000000000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629306284059809"/>
    <n v="1210.1204706963747"/>
    <n v="2.0812583338958701"/>
    <n v="2.5130725307792301"/>
    <n v="0.39749925321270102"/>
    <n v="0.59199814739164403"/>
    <n v="2.2579666905227098"/>
    <n v="1.8389924265598701"/>
    <n v="1.6083484026593799"/>
    <n v="1.20111787409236"/>
    <n v="0.939428294508036"/>
    <n v="2.4560143631781002"/>
    <n v="1.61683009930723"/>
    <n v="1.3830639630567301"/>
    <n v="0.59627161504180504"/>
    <n v="3.2842577011767902"/>
    <n v="0.80603090359482499"/>
    <n v="1.48476090947619"/>
    <n v="1.3754452408192599"/>
    <n v="1.25743049445428"/>
    <n v="0.38151003239827502"/>
    <n v="1.1873152919943299"/>
    <m/>
  </r>
  <r>
    <x v="11"/>
    <s v="POYPEDI"/>
    <s v="CLA"/>
    <n v="-1"/>
    <n v="4"/>
    <n v="-1"/>
    <n v="-1"/>
    <n v="-1"/>
    <n v="8"/>
    <n v="-1"/>
    <n v="5"/>
    <n v="-1"/>
    <n v="77.714285714285694"/>
    <n v="44.641958837026401"/>
    <n v="-1"/>
    <n v="-1"/>
    <n v="-1"/>
    <n v="0.79400000000000004"/>
    <n v="0.98899999999999999"/>
    <n v="0.71699999999999997"/>
    <n v="0.38600000000000001"/>
    <n v="0.53800000000000003"/>
    <n v="1.1719999999999999"/>
    <n v="0.93"/>
    <n v="0.95"/>
    <n v="0.79600000000000004"/>
    <n v="0.85"/>
    <n v="0.68700000000000006"/>
    <n v="0.51"/>
    <n v="0.82199999999999995"/>
    <n v="0.91100000000000003"/>
    <n v="0.73799999999999999"/>
    <n v="1.014"/>
    <n v="1.1859999999999999"/>
    <m/>
    <m/>
    <m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n v="11.45408099019914"/>
    <n v="511.3326120804366"/>
    <n v="9.8065996419042207"/>
    <n v="15.724483608768301"/>
    <n v="7.8753624376215301"/>
    <n v="2.0800178897920301"/>
    <n v="4.2470390861919496"/>
    <n v="22.651591989764199"/>
    <n v="13.776620798014299"/>
    <n v="14.421489449645399"/>
    <n v="9.8597853613695694"/>
    <n v="11.354161191966201"/>
    <n v="7.1839177254708799"/>
    <n v="3.7859968110375402"/>
    <n v="10.5652255492168"/>
    <n v="13.1785878415961"/>
    <n v="8.3796435105287408"/>
    <n v="16.591512113210499"/>
    <n v="23.2373418272871"/>
    <m/>
    <m/>
    <m/>
    <m/>
  </r>
  <r>
    <x v="11"/>
    <s v="LEOMINU"/>
    <s v="COP"/>
    <n v="-1"/>
    <n v="0"/>
    <n v="1"/>
    <n v="-1"/>
    <n v="-1"/>
    <n v="0"/>
    <n v="0"/>
    <n v="-1"/>
    <n v="-1"/>
    <n v="10.6666666666667"/>
    <n v="6.12732768351343"/>
    <n v="-1"/>
    <n v="-1"/>
    <n v="-1"/>
    <n v="0.84299999999999997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508058599075199"/>
    <n v="19.306019970787684"/>
    <n v="3.1508058599075199"/>
    <m/>
    <m/>
    <m/>
    <m/>
    <m/>
    <m/>
    <m/>
    <m/>
    <m/>
    <m/>
    <m/>
    <m/>
    <m/>
    <m/>
    <m/>
    <m/>
    <m/>
    <m/>
    <m/>
    <m/>
  </r>
  <r>
    <x v="11"/>
    <s v="CYCCOPE"/>
    <s v="IMM"/>
    <n v="-1"/>
    <n v="2"/>
    <n v="-1"/>
    <n v="-1"/>
    <n v="-1"/>
    <n v="4"/>
    <n v="-1"/>
    <n v="-1"/>
    <n v="-1"/>
    <n v="64"/>
    <n v="36.763966101080598"/>
    <n v="-1"/>
    <n v="-1"/>
    <n v="-1"/>
    <n v="0.70299999999999996"/>
    <n v="0.94699999999999995"/>
    <n v="0.58499999999999996"/>
    <n v="0.65700000000000003"/>
    <n v="0.57799999999999996"/>
    <n v="0.41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171127729064687"/>
    <n v="48.422289334433685"/>
    <n v="1.29819962782172"/>
    <n v="4.23680286013394"/>
    <n v="0.62594709511541402"/>
    <n v="0.99234653389490202"/>
    <n v="0.59673616441225297"/>
    <n v="0.15264435606058199"/>
    <m/>
    <m/>
    <m/>
    <m/>
    <m/>
    <m/>
    <m/>
    <m/>
    <m/>
    <m/>
    <m/>
    <m/>
    <m/>
    <m/>
    <m/>
  </r>
  <r>
    <x v="11"/>
    <s v="DIACOPE"/>
    <s v="IMM"/>
    <n v="-1"/>
    <n v="3"/>
    <n v="-1"/>
    <n v="-1"/>
    <n v="-1"/>
    <n v="4"/>
    <n v="-1"/>
    <n v="-1"/>
    <n v="-1"/>
    <n v="74.6666666666667"/>
    <n v="42.891293784593998"/>
    <n v="-1"/>
    <n v="-1"/>
    <n v="-1"/>
    <n v="0.76"/>
    <n v="0.70799999999999996"/>
    <n v="0.753"/>
    <n v="0.52900000000000003"/>
    <n v="0.48"/>
    <n v="0.91500000000000004"/>
    <n v="0.77300000000000002"/>
    <m/>
    <m/>
    <m/>
    <m/>
    <m/>
    <m/>
    <m/>
    <m/>
    <m/>
    <m/>
    <m/>
    <m/>
    <m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22034635314261"/>
    <n v="91.016810964347755"/>
    <n v="2.4089924020252802"/>
    <n v="2.0049999385356601"/>
    <n v="2.3519452870049702"/>
    <n v="0.94249361515832797"/>
    <n v="0.73272841052326898"/>
    <n v="3.8959094997746"/>
    <n v="2.5171732941777201"/>
    <m/>
    <m/>
    <m/>
    <m/>
    <m/>
    <m/>
    <m/>
    <m/>
    <m/>
    <m/>
    <m/>
    <m/>
    <m/>
    <m/>
  </r>
  <r>
    <x v="11"/>
    <s v="EPICOPE"/>
    <s v="IMM"/>
    <n v="-1"/>
    <n v="0"/>
    <n v="-1"/>
    <n v="-1"/>
    <n v="-1"/>
    <n v="1"/>
    <n v="-1"/>
    <n v="-1"/>
    <n v="-1"/>
    <n v="10.6666666666667"/>
    <n v="6.12732768351343"/>
    <n v="-1"/>
    <n v="-1"/>
    <n v="-1"/>
    <n v="0.47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9384374627834899"/>
    <n v="4.251407994603996"/>
    <n v="0.69384374627834899"/>
    <m/>
    <m/>
    <m/>
    <m/>
    <m/>
    <m/>
    <m/>
    <m/>
    <m/>
    <m/>
    <m/>
    <m/>
    <m/>
    <m/>
    <m/>
    <m/>
    <m/>
    <m/>
    <m/>
    <m/>
  </r>
  <r>
    <x v="11"/>
    <s v="HARCOPE"/>
    <s v="IMM"/>
    <n v="-1"/>
    <n v="1"/>
    <n v="-1"/>
    <n v="-1"/>
    <n v="-1"/>
    <n v="5"/>
    <n v="-1"/>
    <n v="-1"/>
    <n v="-1"/>
    <n v="64"/>
    <n v="36.763966101080598"/>
    <n v="-1"/>
    <n v="-1"/>
    <n v="-1"/>
    <n v="0.63400000000000001"/>
    <n v="0.56200000000000006"/>
    <n v="0.55400000000000005"/>
    <n v="0.58699999999999997"/>
    <n v="0.44800000000000001"/>
    <n v="0.48199999999999998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30818720101194"/>
    <n v="38.347826583231722"/>
    <n v="1.5063968682999"/>
    <n v="1.1024154308237499"/>
    <n v="1.0622298876540099"/>
    <n v="1.23395950733425"/>
    <n v="0.61282755207478401"/>
    <n v="0.74066198587402299"/>
    <m/>
    <m/>
    <m/>
    <m/>
    <m/>
    <m/>
    <m/>
    <m/>
    <m/>
    <m/>
    <m/>
    <m/>
    <m/>
    <m/>
    <m/>
  </r>
  <r>
    <x v="11"/>
    <s v="MESCOPE"/>
    <s v="IMM"/>
    <n v="-1"/>
    <n v="1"/>
    <n v="-1"/>
    <n v="-1"/>
    <n v="-1"/>
    <n v="0"/>
    <n v="-1"/>
    <n v="-1"/>
    <n v="-1"/>
    <n v="10.6666666666667"/>
    <n v="6.12732768351343"/>
    <n v="-1"/>
    <n v="-1"/>
    <n v="-1"/>
    <n v="0.79300000000000004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43217047443201"/>
    <n v="12.832595359662912"/>
    <n v="2.0943217047443201"/>
    <m/>
    <m/>
    <m/>
    <m/>
    <m/>
    <m/>
    <m/>
    <m/>
    <m/>
    <m/>
    <m/>
    <m/>
    <m/>
    <m/>
    <m/>
    <m/>
    <m/>
    <m/>
    <m/>
    <m/>
  </r>
  <r>
    <x v="11"/>
    <s v="DREPOLYV"/>
    <s v="MOL"/>
    <n v="-1"/>
    <n v="-1"/>
    <n v="-1"/>
    <n v="-1"/>
    <n v="-1"/>
    <n v="-1"/>
    <n v="-1"/>
    <n v="-1"/>
    <n v="-1"/>
    <n v="38400"/>
    <n v="22058.379660648301"/>
    <n v="26"/>
    <n v="34"/>
    <n v="60"/>
    <n v="0.1"/>
    <n v="0.13600000000000001"/>
    <n v="0.18"/>
    <n v="8.5000000000000006E-2"/>
    <n v="0.107"/>
    <n v="7.8E-2"/>
    <n v="0.09"/>
    <n v="8.3000000000000004E-2"/>
    <n v="9.8000000000000004E-2"/>
    <n v="9.0999999999999998E-2"/>
    <n v="7.8E-2"/>
    <n v="0.10299999999999999"/>
    <n v="9.2999999999999999E-2"/>
    <n v="0.10100000000000001"/>
    <n v="0.152"/>
    <n v="0.129"/>
    <n v="0.104"/>
    <n v="0.113"/>
    <n v="9.5000000000000001E-2"/>
    <n v="0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578625884045021"/>
    <n v="3877.5600366276444"/>
    <n v="0.14386506690014328"/>
    <n v="0.27012257159828157"/>
    <n v="0.58340161452356776"/>
    <n v="0.11065041586454837"/>
    <n v="0.16261343582795867"/>
    <n v="9.7893076299818055E-2"/>
    <n v="0.12076854045275696"/>
    <n v="0.10684464086996007"/>
    <n v="0.13891688780903549"/>
    <n v="0.12290059094102512"/>
    <n v="9.7893076299818055E-2"/>
    <n v="0.15161976259966117"/>
    <n v="0.12727827420164603"/>
    <n v="0.14640486397791924"/>
    <n v="0.35740722746694009"/>
    <n v="0.23897903415151861"/>
    <n v="0.15429646124708882"/>
    <n v="0.18061646856051028"/>
    <n v="0.1318118892652273"/>
    <n v="7.1441277951579105E-2"/>
    <m/>
  </r>
  <r>
    <x v="11"/>
    <s v="COPNAUP"/>
    <s v="NAU"/>
    <n v="-1"/>
    <n v="-1"/>
    <n v="-1"/>
    <n v="-1"/>
    <n v="-1"/>
    <n v="-1"/>
    <n v="-1"/>
    <n v="-1"/>
    <n v="-1"/>
    <n v="2560"/>
    <n v="1470.5586440432201"/>
    <n v="2"/>
    <n v="2"/>
    <n v="4"/>
    <n v="0.17899999999999999"/>
    <n v="0.192"/>
    <n v="0.17199999999999999"/>
    <n v="0.18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688357792514165"/>
    <n v="171.88415586451634"/>
    <n v="0.11350745793518947"/>
    <n v="0.13430744025989136"/>
    <n v="0.10314433869128659"/>
    <n v="0.11657507481419918"/>
    <s v=""/>
    <s v=""/>
    <s v=""/>
    <s v=""/>
    <s v=""/>
    <s v=""/>
    <s v=""/>
    <s v=""/>
    <s v=""/>
    <s v=""/>
    <s v=""/>
    <s v=""/>
    <s v=""/>
    <s v=""/>
    <s v=""/>
    <s v=""/>
    <m/>
  </r>
  <r>
    <x v="11"/>
    <s v="ASCECAU"/>
    <s v="ROT"/>
    <n v="-1"/>
    <n v="-1"/>
    <n v="-1"/>
    <n v="-1"/>
    <n v="-1"/>
    <n v="-1"/>
    <n v="-1"/>
    <n v="-1"/>
    <n v="-1"/>
    <n v="1280"/>
    <n v="735.27932202161105"/>
    <n v="1"/>
    <n v="1"/>
    <n v="2"/>
    <n v="0.14000000000000001"/>
    <n v="0.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713999999999997E-2"/>
    <n v="26.995045028701426"/>
    <n v="3.2927999999999999E-2"/>
    <n v="4.0500000000000001E-2"/>
    <m/>
    <m/>
    <m/>
    <m/>
    <m/>
    <m/>
    <m/>
    <m/>
    <m/>
    <m/>
    <m/>
    <m/>
    <m/>
    <m/>
    <m/>
    <m/>
    <m/>
    <m/>
    <m/>
  </r>
  <r>
    <x v="11"/>
    <s v="ASCOVAL"/>
    <s v="ROT"/>
    <n v="-1"/>
    <n v="-1"/>
    <n v="-1"/>
    <n v="-1"/>
    <n v="-1"/>
    <n v="-1"/>
    <n v="-1"/>
    <n v="-1"/>
    <n v="-1"/>
    <n v="32000"/>
    <n v="18381.983050540301"/>
    <n v="18"/>
    <n v="32"/>
    <n v="50"/>
    <n v="0.11600000000000001"/>
    <n v="0.122"/>
    <n v="9.8000000000000004E-2"/>
    <n v="0.128"/>
    <n v="0.10299999999999999"/>
    <n v="0.11799999999999999"/>
    <n v="0.10100000000000001"/>
    <n v="0.11"/>
    <n v="0.111"/>
    <n v="0.115"/>
    <n v="0.11"/>
    <n v="0.10199999999999999"/>
    <n v="0.10199999999999999"/>
    <n v="9.5000000000000001E-2"/>
    <n v="0.10199999999999999"/>
    <n v="0.11899999999999999"/>
    <n v="9.8000000000000004E-2"/>
    <n v="0.121"/>
    <n v="0.108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219134000000003E-2"/>
    <n v="298.13984628244197"/>
    <n v="1.8730752E-2"/>
    <n v="2.1790176000000001E-2"/>
    <n v="1.1294304E-2"/>
    <n v="2.5165824E-2"/>
    <n v="1.3112723999999999E-2"/>
    <n v="1.9716384E-2"/>
    <n v="1.2363612E-2"/>
    <n v="1.5972E-2"/>
    <n v="1.6411571999999999E-2"/>
    <n v="1.8250499999999999E-2"/>
    <n v="1.5972E-2"/>
    <n v="1.2734496E-2"/>
    <n v="1.2734496E-2"/>
    <n v="1.0288500000000001E-2"/>
    <n v="1.2734496E-2"/>
    <n v="2.0221908E-2"/>
    <n v="1.1294304E-2"/>
    <n v="2.1258731999999999E-2"/>
    <n v="1.5116544000000001E-2"/>
    <n v="1.9219356E-2"/>
    <m/>
  </r>
  <r>
    <x v="11"/>
    <s v="ASPHERR"/>
    <s v="ROT"/>
    <n v="-1"/>
    <n v="-1"/>
    <n v="-1"/>
    <n v="-1"/>
    <n v="-1"/>
    <n v="-1"/>
    <n v="-1"/>
    <n v="-1"/>
    <n v="-1"/>
    <n v="1280"/>
    <n v="735.27932202161105"/>
    <n v="1"/>
    <n v="1"/>
    <n v="2"/>
    <n v="0.83099999999999996"/>
    <n v="0.69399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728804138749997"/>
    <n v="2994.7047493891082"/>
    <n v="5.1474900332700004"/>
    <n v="2.9982707944799998"/>
    <m/>
    <m/>
    <m/>
    <m/>
    <m/>
    <m/>
    <m/>
    <m/>
    <m/>
    <m/>
    <m/>
    <m/>
    <m/>
    <m/>
    <m/>
    <m/>
    <m/>
    <m/>
    <m/>
  </r>
  <r>
    <x v="11"/>
    <s v="ASPPRIO"/>
    <s v="ROT"/>
    <n v="-1"/>
    <n v="-1"/>
    <n v="-1"/>
    <n v="-1"/>
    <n v="-1"/>
    <n v="-1"/>
    <n v="-1"/>
    <n v="-1"/>
    <n v="-1"/>
    <n v="1280"/>
    <n v="735.27932202161105"/>
    <n v="0"/>
    <n v="2"/>
    <n v="2"/>
    <n v="0.68400000000000005"/>
    <n v="0.716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884396967449996"/>
    <n v="2270.8658463272932"/>
    <n v="2.8705211308799998"/>
    <n v="3.3063582626099999"/>
    <m/>
    <m/>
    <m/>
    <m/>
    <m/>
    <m/>
    <m/>
    <m/>
    <m/>
    <m/>
    <m/>
    <m/>
    <m/>
    <m/>
    <m/>
    <m/>
    <m/>
    <m/>
    <m/>
  </r>
  <r>
    <x v="11"/>
    <s v="COLSP"/>
    <s v="ROT"/>
    <n v="-1"/>
    <n v="-1"/>
    <n v="-1"/>
    <n v="-1"/>
    <n v="-1"/>
    <n v="-1"/>
    <n v="-1"/>
    <n v="-1"/>
    <n v="-1"/>
    <n v="7680"/>
    <n v="4411.6759321296704"/>
    <n v="4"/>
    <n v="8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000000000000001E-2"/>
    <n v="7.2999999999999995E-2"/>
    <n v="5.8999999999999997E-2"/>
    <n v="3.9E-2"/>
    <n v="2.3E-2"/>
    <n v="4.1000000000000002E-2"/>
    <n v="4.2999999999999997E-2"/>
    <n v="5.3999999999999999E-2"/>
    <n v="5.2999999999999999E-2"/>
    <n v="4.8000000000000001E-2"/>
    <n v="0.03"/>
    <n v="3.9E-2"/>
    <m/>
    <m/>
    <m/>
    <m/>
    <m/>
    <m/>
    <m/>
    <m/>
    <n v="2.0129264999999997E-2"/>
    <n v="88.803793931960129"/>
    <n v="4.3900199999999997E-3"/>
    <n v="7.0023059999999998E-2"/>
    <n v="3.6968220000000003E-2"/>
    <n v="1.067742E-2"/>
    <n v="2.1900600000000002E-3"/>
    <n v="1.240578E-2"/>
    <n v="1.4311259999999999E-2"/>
    <n v="2.8343520000000001E-2"/>
    <n v="2.679786E-2"/>
    <n v="1.990656E-2"/>
    <n v="4.8599999999999997E-3"/>
    <n v="1.067742E-2"/>
    <m/>
    <m/>
    <m/>
    <m/>
    <m/>
    <m/>
    <m/>
    <m/>
    <m/>
  </r>
  <r>
    <x v="11"/>
    <s v="COOUNIC"/>
    <s v="ROT"/>
    <n v="-1"/>
    <n v="-1"/>
    <n v="-1"/>
    <n v="-1"/>
    <n v="-1"/>
    <n v="-1"/>
    <n v="-1"/>
    <n v="-1"/>
    <n v="-1"/>
    <n v="71040"/>
    <n v="40808.0023721994"/>
    <n v="51"/>
    <n v="60"/>
    <n v="111"/>
    <n v="0.16"/>
    <n v="0.151"/>
    <n v="9.0999999999999998E-2"/>
    <n v="0.10299999999999999"/>
    <n v="0.105"/>
    <n v="0.13400000000000001"/>
    <n v="0.1"/>
    <n v="0.11700000000000001"/>
    <n v="0.16500000000000001"/>
    <n v="0.22600000000000001"/>
    <n v="0.106"/>
    <n v="0.122"/>
    <n v="0.111"/>
    <n v="0.106"/>
    <n v="0.11600000000000001"/>
    <n v="9.2999999999999999E-2"/>
    <n v="0.14499999999999999"/>
    <n v="0.104"/>
    <n v="0.14899999999999999"/>
    <n v="0.182"/>
    <m/>
    <m/>
    <m/>
    <m/>
    <m/>
    <m/>
    <m/>
    <m/>
    <m/>
    <m/>
    <m/>
    <m/>
    <m/>
    <m/>
    <m/>
    <m/>
    <m/>
    <m/>
    <m/>
    <m/>
    <n v="6.9000000000000006E-2"/>
    <n v="6.5000000000000002E-2"/>
    <n v="4.8000000000000001E-2"/>
    <n v="0.06"/>
    <n v="6.2E-2"/>
    <n v="6.9000000000000006E-2"/>
    <n v="7.2999999999999995E-2"/>
    <n v="3.7999999999999999E-2"/>
    <n v="7.6999999999999999E-2"/>
    <n v="7.6999999999999999E-2"/>
    <n v="6.7000000000000004E-2"/>
    <n v="5.8999999999999997E-2"/>
    <n v="9.6000000000000002E-2"/>
    <n v="5.0999999999999997E-2"/>
    <n v="5.8999999999999997E-2"/>
    <n v="5.6000000000000001E-2"/>
    <n v="7.3999999999999996E-2"/>
    <n v="8.3000000000000004E-2"/>
    <n v="9.6000000000000002E-2"/>
    <n v="5.0999999999999997E-2"/>
    <n v="1.5981633200000001E-2"/>
    <n v="652.17852553722071"/>
    <n v="1.9805759999999999E-2"/>
    <n v="1.6587350000000001E-2"/>
    <n v="5.4512639999999999E-3"/>
    <n v="9.6407999999999997E-3"/>
    <n v="1.0494119999999999E-2"/>
    <n v="1.6587324000000001E-2"/>
    <n v="1.38554E-2"/>
    <n v="4.3926479999999999E-3"/>
    <n v="2.5435409999999999E-2"/>
    <n v="3.4838804000000001E-2"/>
    <n v="1.2371684000000001E-2"/>
    <n v="1.1041732E-2"/>
    <n v="2.6597375999999999E-2"/>
    <n v="7.1683559999999999E-3"/>
    <n v="1.0498696E-2"/>
    <n v="7.5828479999999997E-3"/>
    <n v="2.064452E-2"/>
    <n v="1.8627856000000002E-2"/>
    <n v="3.5702784000000001E-2"/>
    <n v="1.2307932000000001E-2"/>
    <m/>
  </r>
  <r>
    <x v="11"/>
    <s v="GASSTYL"/>
    <s v="ROT"/>
    <n v="-1"/>
    <n v="-1"/>
    <n v="-1"/>
    <n v="-1"/>
    <n v="-1"/>
    <n v="-1"/>
    <n v="-1"/>
    <n v="-1"/>
    <n v="-1"/>
    <n v="28160"/>
    <n v="16176.1450844754"/>
    <n v="20"/>
    <n v="24"/>
    <n v="44"/>
    <n v="0.1"/>
    <n v="0.127"/>
    <n v="0.122"/>
    <n v="0.111"/>
    <n v="9.8000000000000004E-2"/>
    <n v="0.107"/>
    <n v="8.5000000000000006E-2"/>
    <n v="0.159"/>
    <n v="0.08"/>
    <n v="8.5000000000000006E-2"/>
    <n v="9.8000000000000004E-2"/>
    <n v="0.108"/>
    <n v="6.8000000000000005E-2"/>
    <n v="8.2000000000000003E-2"/>
    <n v="8.8999999999999996E-2"/>
    <n v="0.10100000000000001"/>
    <n v="9.0999999999999998E-2"/>
    <n v="0.115"/>
    <n v="0.11700000000000001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407846E-2"/>
    <n v="378.64871301105717"/>
    <n v="0.02"/>
    <n v="4.0967660000000003E-2"/>
    <n v="3.6316960000000002E-2"/>
    <n v="2.7352620000000001E-2"/>
    <n v="1.8823840000000001E-2"/>
    <n v="2.4500859999999999E-2"/>
    <n v="1.22825E-2"/>
    <n v="8.0393580000000006E-2"/>
    <n v="1.0240000000000001E-2"/>
    <n v="1.22825E-2"/>
    <n v="1.8823840000000001E-2"/>
    <n v="2.519424E-2"/>
    <n v="6.2886399999999999E-3"/>
    <n v="1.102736E-2"/>
    <n v="1.409938E-2"/>
    <n v="2.0606019999999999E-2"/>
    <n v="1.507142E-2"/>
    <n v="3.04175E-2"/>
    <n v="3.203226E-2"/>
    <n v="1.143574E-2"/>
    <m/>
  </r>
  <r>
    <x v="11"/>
    <s v="KELLONG"/>
    <s v="ROT"/>
    <n v="-1"/>
    <n v="-1"/>
    <n v="-1"/>
    <n v="-1"/>
    <n v="-1"/>
    <n v="-1"/>
    <n v="-1"/>
    <n v="-1"/>
    <n v="-1"/>
    <n v="28160"/>
    <n v="16176.1450844754"/>
    <n v="20"/>
    <n v="24"/>
    <n v="44"/>
    <n v="0.17399999999999999"/>
    <n v="0.157"/>
    <n v="0.16800000000000001"/>
    <n v="0.17"/>
    <n v="0.187"/>
    <n v="0.151"/>
    <n v="0.17199999999999999"/>
    <n v="0.16"/>
    <n v="0.13100000000000001"/>
    <n v="0.16700000000000001"/>
    <n v="0.16700000000000001"/>
    <n v="0.14499999999999999"/>
    <n v="0.14399999999999999"/>
    <n v="0.153"/>
    <n v="0.19500000000000001"/>
    <n v="0.182"/>
    <n v="8.7999999999999995E-2"/>
    <n v="0.183"/>
    <n v="0.14099999999999999"/>
    <n v="0.11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770750705999997E-2"/>
    <n v="206.5815162579226"/>
    <n v="1.6041133079999999E-2"/>
    <n v="1.1783824185E-2"/>
    <n v="1.443826944E-2"/>
    <n v="1.4960085E-2"/>
    <n v="1.9911873135000001E-2"/>
    <n v="1.0483785795000001E-2"/>
    <n v="1.549432416E-2"/>
    <n v="1.247232E-2"/>
    <n v="6.8454370950000003E-3"/>
    <n v="1.4181974835E-2"/>
    <n v="1.4181974835E-2"/>
    <n v="9.2830631249999993E-3"/>
    <n v="9.0923212799999993E-3"/>
    <n v="1.0905901964999999E-2"/>
    <n v="2.2578294374999999E-2"/>
    <n v="1.8356989559999998E-2"/>
    <n v="2.0750822400000001E-3"/>
    <n v="1.8661242915000001E-2"/>
    <n v="8.5358079449999995E-3"/>
    <n v="5.1313091550000004E-3"/>
    <m/>
  </r>
  <r>
    <x v="11"/>
    <s v="KERCOCH"/>
    <s v="ROT"/>
    <n v="-1"/>
    <n v="-1"/>
    <n v="-1"/>
    <n v="-1"/>
    <n v="-1"/>
    <n v="-1"/>
    <n v="-1"/>
    <n v="-1"/>
    <n v="-1"/>
    <n v="14080"/>
    <n v="8088.07254223772"/>
    <n v="8"/>
    <n v="14"/>
    <n v="22"/>
    <n v="0.1"/>
    <n v="7.4999999999999997E-2"/>
    <n v="9.0999999999999998E-2"/>
    <n v="0.124"/>
    <n v="0.10299999999999999"/>
    <n v="8.8999999999999996E-2"/>
    <n v="8.1000000000000003E-2"/>
    <n v="0.14000000000000001"/>
    <n v="9.9000000000000005E-2"/>
    <n v="9.6000000000000002E-2"/>
    <n v="9.4E-2"/>
    <n v="7.9000000000000001E-2"/>
    <n v="0.08"/>
    <n v="9.1999999999999998E-2"/>
    <n v="0.08"/>
    <n v="8.4000000000000005E-2"/>
    <n v="9.7000000000000003E-2"/>
    <n v="0.106"/>
    <n v="8.8999999999999996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395290000000001E-3"/>
    <n v="14.878243995550012"/>
    <n v="2E-3"/>
    <n v="8.4374999999999999E-4"/>
    <n v="1.5071419999999999E-3"/>
    <n v="3.813248E-3"/>
    <n v="2.1854539999999999E-3"/>
    <n v="1.4099379999999999E-3"/>
    <n v="1.062882E-3"/>
    <n v="5.4879999999999998E-3"/>
    <n v="1.940598E-3"/>
    <n v="1.769472E-3"/>
    <n v="1.661168E-3"/>
    <n v="9.8607800000000004E-4"/>
    <n v="1.024E-3"/>
    <n v="1.5573760000000001E-3"/>
    <n v="1.024E-3"/>
    <n v="1.185408E-3"/>
    <n v="1.825346E-3"/>
    <n v="2.3820320000000001E-3"/>
    <n v="1.4099379999999999E-3"/>
    <n v="1.7147499999999999E-3"/>
    <m/>
  </r>
  <r>
    <x v="11"/>
    <s v="KERCOCHH"/>
    <s v="ROT"/>
    <n v="-1"/>
    <n v="-1"/>
    <n v="-1"/>
    <n v="-1"/>
    <n v="-1"/>
    <n v="-1"/>
    <n v="-1"/>
    <n v="-1"/>
    <n v="-1"/>
    <n v="1920"/>
    <n v="1102.9189830324201"/>
    <n v="2"/>
    <n v="1"/>
    <n v="3"/>
    <n v="8.3000000000000004E-2"/>
    <n v="0.108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545833333333336E-3"/>
    <n v="2.81749845207157"/>
    <n v="1.1435740000000001E-3"/>
    <n v="2.5194240000000001E-3"/>
    <n v="4.0007519999999998E-3"/>
    <m/>
    <m/>
    <m/>
    <m/>
    <m/>
    <m/>
    <m/>
    <m/>
    <m/>
    <m/>
    <m/>
    <m/>
    <m/>
    <m/>
    <m/>
    <m/>
    <m/>
    <m/>
  </r>
  <r>
    <x v="11"/>
    <s v="KERCRAS"/>
    <s v="ROT"/>
    <n v="-1"/>
    <n v="-1"/>
    <n v="-1"/>
    <n v="-1"/>
    <n v="-1"/>
    <n v="-1"/>
    <n v="-1"/>
    <n v="-1"/>
    <n v="-1"/>
    <n v="11520"/>
    <n v="6617.5138981945001"/>
    <n v="11"/>
    <n v="7"/>
    <n v="18"/>
    <n v="0.123"/>
    <n v="0.158"/>
    <n v="0.13300000000000001"/>
    <n v="0.12"/>
    <n v="0.13200000000000001"/>
    <n v="0.14099999999999999"/>
    <n v="0.13800000000000001"/>
    <n v="0.13600000000000001"/>
    <n v="0.13900000000000001"/>
    <n v="8.8999999999999996E-2"/>
    <n v="0.128"/>
    <n v="0.14299999999999999"/>
    <n v="0.125"/>
    <n v="0.13"/>
    <n v="0.121"/>
    <n v="0.13"/>
    <n v="0.13500000000000001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800769999999984E-3"/>
    <n v="30.308723202300961"/>
    <n v="3.721734E-3"/>
    <n v="7.8886240000000003E-3"/>
    <n v="4.7052739999999997E-3"/>
    <n v="3.4559999999999999E-3"/>
    <n v="4.5999359999999998E-3"/>
    <n v="5.6064419999999997E-3"/>
    <n v="5.2561439999999999E-3"/>
    <n v="5.0309120000000002E-3"/>
    <n v="5.3712380000000004E-3"/>
    <n v="1.4099379999999999E-3"/>
    <n v="4.1943040000000003E-3"/>
    <n v="5.8484139999999997E-3"/>
    <n v="3.90625E-3"/>
    <n v="4.3940000000000003E-3"/>
    <n v="3.5431220000000001E-3"/>
    <n v="4.3940000000000003E-3"/>
    <n v="4.9207499999999998E-3"/>
    <n v="4.1943040000000003E-3"/>
    <m/>
    <m/>
    <m/>
  </r>
  <r>
    <x v="11"/>
    <s v="KEREARL"/>
    <s v="ROT"/>
    <n v="-1"/>
    <n v="-1"/>
    <n v="-1"/>
    <n v="-1"/>
    <n v="-1"/>
    <n v="-1"/>
    <n v="-1"/>
    <n v="-1"/>
    <n v="-1"/>
    <n v="3200"/>
    <n v="1838.19830505403"/>
    <n v="3"/>
    <n v="2"/>
    <n v="5"/>
    <n v="0.106"/>
    <n v="0.10199999999999999"/>
    <n v="7.8E-2"/>
    <n v="8.8999999999999996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265923999999998E-3"/>
    <n v="3.1738192231991693"/>
    <n v="2.3820320000000001E-3"/>
    <n v="2.1224159999999998E-3"/>
    <n v="9.4910399999999998E-4"/>
    <n v="1.4099379999999999E-3"/>
    <n v="1.769472E-3"/>
    <m/>
    <m/>
    <m/>
    <m/>
    <m/>
    <m/>
    <m/>
    <m/>
    <m/>
    <m/>
    <m/>
    <m/>
    <m/>
    <m/>
    <m/>
    <m/>
  </r>
  <r>
    <x v="11"/>
    <s v="PLOHUDS"/>
    <s v="ROT"/>
    <n v="-1"/>
    <n v="-1"/>
    <n v="-1"/>
    <n v="-1"/>
    <n v="-1"/>
    <n v="-1"/>
    <n v="-1"/>
    <n v="-1"/>
    <n v="-1"/>
    <n v="4480"/>
    <n v="2573.4776270756402"/>
    <n v="6"/>
    <n v="1"/>
    <n v="7"/>
    <n v="0.255"/>
    <n v="0.35499999999999998"/>
    <n v="0.30499999999999999"/>
    <n v="0.20899999999999999"/>
    <n v="0.26400000000000001"/>
    <n v="0.19600000000000001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475111428571431"/>
    <n v="475.45285919158044"/>
    <n v="0.16581375000000001"/>
    <n v="0.44738875"/>
    <n v="0.28372625000000001"/>
    <n v="9.1293289999999999E-2"/>
    <n v="0.18399744000000001"/>
    <n v="7.5295360000000006E-2"/>
    <n v="4.5742959999999999E-2"/>
    <m/>
    <m/>
    <m/>
    <m/>
    <m/>
    <m/>
    <m/>
    <m/>
    <m/>
    <m/>
    <m/>
    <m/>
    <m/>
    <m/>
  </r>
  <r>
    <x v="11"/>
    <s v="POLREMA"/>
    <s v="ROT"/>
    <n v="-1"/>
    <n v="-1"/>
    <n v="-1"/>
    <n v="-1"/>
    <n v="-1"/>
    <n v="-1"/>
    <n v="-1"/>
    <n v="-1"/>
    <n v="-1"/>
    <n v="3200"/>
    <n v="1838.19830505403"/>
    <n v="4"/>
    <n v="1"/>
    <n v="5"/>
    <n v="0.158"/>
    <n v="0.104"/>
    <n v="9.6000000000000002E-2"/>
    <n v="5.8999999999999997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43187256E-2"/>
    <n v="77.998196220060606"/>
    <n v="0.12148480959999999"/>
    <n v="3.4645811200000001E-2"/>
    <n v="2.72498688E-2"/>
    <n v="6.3256731999999996E-3"/>
    <n v="2.24532E-2"/>
    <m/>
    <m/>
    <m/>
    <m/>
    <m/>
    <m/>
    <m/>
    <m/>
    <m/>
    <m/>
    <m/>
    <m/>
    <m/>
    <m/>
    <m/>
    <m/>
  </r>
  <r>
    <x v="11"/>
    <s v="POLSP"/>
    <s v="ROT"/>
    <n v="-1"/>
    <n v="-1"/>
    <n v="-1"/>
    <n v="-1"/>
    <n v="-1"/>
    <n v="-1"/>
    <n v="-1"/>
    <n v="-1"/>
    <n v="-1"/>
    <n v="10880"/>
    <n v="6249.8742371836897"/>
    <n v="9"/>
    <n v="8"/>
    <n v="17"/>
    <n v="0.14299999999999999"/>
    <n v="8.3000000000000004E-2"/>
    <n v="0.11700000000000001"/>
    <n v="8.6999999999999994E-2"/>
    <n v="7.6999999999999999E-2"/>
    <n v="0.126"/>
    <n v="0.126"/>
    <n v="0.14299999999999999"/>
    <n v="0.106"/>
    <n v="0.127"/>
    <n v="9.5000000000000001E-2"/>
    <n v="0.14599999999999999"/>
    <n v="0.10199999999999999"/>
    <n v="8.5999999999999993E-2"/>
    <n v="5.2999999999999999E-2"/>
    <n v="0.14699999999999999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420283317647069E-2"/>
    <n v="296.37080702691389"/>
    <n v="9.0065575600000003E-2"/>
    <n v="1.76110396E-2"/>
    <n v="4.9329680399999999E-2"/>
    <n v="2.0281892400000001E-2"/>
    <n v="1.40612164E-2"/>
    <n v="6.1611580800000003E-2"/>
    <n v="6.1611580800000003E-2"/>
    <n v="9.0065575600000003E-2"/>
    <n v="3.6683292800000003E-2"/>
    <n v="6.3090196400000007E-2"/>
    <n v="2.6407150000000001E-2"/>
    <n v="9.5853788800000006E-2"/>
    <n v="3.26852064E-2"/>
    <n v="1.9590524799999998E-2"/>
    <n v="4.5854116000000004E-3"/>
    <n v="9.7836908400000006E-2"/>
    <n v="2.47741956E-2"/>
    <m/>
    <m/>
    <m/>
    <m/>
  </r>
  <r>
    <x v="11"/>
    <s v="SYNSP"/>
    <s v="ROT"/>
    <n v="-1"/>
    <n v="-1"/>
    <n v="-1"/>
    <n v="-1"/>
    <n v="-1"/>
    <n v="-1"/>
    <n v="-1"/>
    <n v="-1"/>
    <n v="-1"/>
    <n v="74880"/>
    <n v="43013.840338264301"/>
    <n v="62"/>
    <n v="55"/>
    <n v="117"/>
    <n v="0.12"/>
    <n v="0.108"/>
    <n v="0.126"/>
    <n v="9.7000000000000003E-2"/>
    <n v="0.122"/>
    <n v="0.17499999999999999"/>
    <n v="0.129"/>
    <n v="0.13"/>
    <n v="0.105"/>
    <n v="0.112"/>
    <n v="8.6999999999999994E-2"/>
    <n v="0.127"/>
    <n v="0.128"/>
    <n v="0.13400000000000001"/>
    <n v="7.8E-2"/>
    <n v="0.11799999999999999"/>
    <n v="0.104"/>
    <n v="0.125"/>
    <n v="0.112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367030499999998E-2"/>
    <n v="747.0226770767664"/>
    <n v="1.728E-2"/>
    <n v="1.259712E-2"/>
    <n v="2.0003759999999999E-2"/>
    <n v="9.1267299999999996E-3"/>
    <n v="1.8158480000000001E-2"/>
    <n v="5.3593750000000002E-2"/>
    <n v="2.1466889999999999E-2"/>
    <n v="2.197E-2"/>
    <n v="1.157625E-2"/>
    <n v="1.4049280000000001E-2"/>
    <n v="6.5850300000000004E-3"/>
    <n v="2.0483830000000001E-2"/>
    <n v="2.097152E-2"/>
    <n v="2.4061039999999999E-2"/>
    <n v="4.7455199999999996E-3"/>
    <n v="1.6430320000000002E-2"/>
    <n v="1.1248640000000001E-2"/>
    <n v="1.953125E-2"/>
    <n v="1.4049280000000001E-2"/>
    <n v="9.4119200000000007E-3"/>
    <m/>
  </r>
  <r>
    <x v="11"/>
    <s v="TRICYLI"/>
    <s v="ROT"/>
    <n v="-1"/>
    <n v="-1"/>
    <n v="-1"/>
    <n v="-1"/>
    <n v="-1"/>
    <n v="-1"/>
    <n v="-1"/>
    <n v="-1"/>
    <n v="-1"/>
    <n v="3840"/>
    <n v="2205.8379660648302"/>
    <n v="1"/>
    <n v="5"/>
    <n v="6"/>
    <n v="0.34200000000000003"/>
    <n v="0.1"/>
    <n v="0.14299999999999999"/>
    <n v="0.151"/>
    <n v="8.5000000000000006E-2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692307692307694E-2"/>
    <n v="3.9E-2"/>
    <n v="5.8999999999999997E-2"/>
    <n v="5.8999999999999997E-2"/>
    <n v="2.7E-2"/>
    <n v="3.4000000000000002E-2"/>
    <m/>
    <m/>
    <m/>
    <m/>
    <m/>
    <m/>
    <m/>
    <m/>
    <m/>
    <m/>
    <m/>
    <m/>
    <m/>
    <m/>
    <n v="3.4716708519077003E-2"/>
    <n v="76.579433708186372"/>
    <n v="0.13757845513846201"/>
    <n v="7.9566551999999992E-3"/>
    <n v="2.6040024296000001E-2"/>
    <n v="2.7496808872000001E-2"/>
    <n v="3.2415130799999998E-3"/>
    <n v="5.9867945279999998E-3"/>
    <m/>
    <m/>
    <m/>
    <m/>
    <m/>
    <m/>
    <m/>
    <m/>
    <m/>
    <m/>
    <m/>
    <m/>
    <m/>
    <m/>
    <m/>
  </r>
  <r>
    <x v="11"/>
    <s v="TRIMULT"/>
    <s v="ROT"/>
    <n v="-1"/>
    <n v="-1"/>
    <n v="-1"/>
    <n v="-1"/>
    <n v="-1"/>
    <n v="-1"/>
    <n v="-1"/>
    <n v="-1"/>
    <n v="-1"/>
    <n v="1920"/>
    <n v="1102.9189830324201"/>
    <n v="2"/>
    <n v="1"/>
    <n v="3"/>
    <n v="0.16200000000000001"/>
    <n v="0.192"/>
    <n v="0.19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"/>
    <n v="0.107"/>
    <n v="0.156"/>
    <m/>
    <m/>
    <m/>
    <m/>
    <m/>
    <m/>
    <m/>
    <m/>
    <m/>
    <m/>
    <m/>
    <m/>
    <m/>
    <m/>
    <m/>
    <m/>
    <m/>
    <n v="0.15695818028799999"/>
    <n v="173.11215658186021"/>
    <n v="0.1025419824"/>
    <n v="0.114992656896"/>
    <n v="0.25333990156800001"/>
    <m/>
    <m/>
    <m/>
    <m/>
    <m/>
    <m/>
    <m/>
    <m/>
    <m/>
    <m/>
    <m/>
    <m/>
    <m/>
    <m/>
    <m/>
    <m/>
    <m/>
    <m/>
  </r>
  <r>
    <x v="12"/>
    <s v="BOSLONG"/>
    <s v="CLA"/>
    <n v="-1"/>
    <n v="79"/>
    <n v="-1"/>
    <n v="-1"/>
    <n v="-1"/>
    <n v="-1"/>
    <n v="-1"/>
    <n v="-1"/>
    <n v="-1"/>
    <n v="20224"/>
    <n v="14405.592477047399"/>
    <n v="-1"/>
    <n v="-1"/>
    <n v="-1"/>
    <n v="0.33"/>
    <n v="0.252"/>
    <n v="0.38"/>
    <n v="0.3"/>
    <n v="0.39400000000000002"/>
    <n v="0.26600000000000001"/>
    <n v="0.38900000000000001"/>
    <n v="0.377"/>
    <n v="0.44400000000000001"/>
    <n v="0.25600000000000001"/>
    <n v="0.26300000000000001"/>
    <n v="0.373"/>
    <n v="0.34499999999999997"/>
    <n v="0.24299999999999999"/>
    <n v="0.29399999999999998"/>
    <n v="0.438"/>
    <n v="0.4"/>
    <n v="0.35099999999999998"/>
    <n v="0.34399999999999997"/>
    <n v="0.51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289691514204148"/>
    <n v="16263.469514520513"/>
    <n v="0.91126964277005995"/>
    <n v="0.46062764934648998"/>
    <n v="1.3021443604449601"/>
    <n v="0.716017124831829"/>
    <n v="1.42696090958891"/>
    <n v="0.52814986801842601"/>
    <n v="1.3815898254923"/>
    <n v="1.2762925992837899"/>
    <n v="1.93056998267832"/>
    <n v="0.47935112080195802"/>
    <n v="0.51320949009263905"/>
    <n v="1.2423099951345"/>
    <n v="1.0197388032564401"/>
    <n v="0.42013659088921601"/>
    <n v="0.68033902120397705"/>
    <n v="1.8652460737612799"/>
    <n v="1.4825809414743101"/>
    <n v="1.0652060871946101"/>
    <n v="1.01227729204482"/>
    <n v="2.8653656500994602"/>
    <m/>
  </r>
  <r>
    <x v="12"/>
    <s v="BYTLONG"/>
    <s v="CLA"/>
    <n v="928"/>
    <n v="-1"/>
    <n v="-1"/>
    <n v="-1"/>
    <n v="-1"/>
    <n v="-1"/>
    <n v="-1"/>
    <n v="-1"/>
    <n v="-1"/>
    <n v="928"/>
    <n v="661.01611049742803"/>
    <n v="-1"/>
    <n v="-1"/>
    <n v="-1"/>
    <n v="0.996"/>
    <n v="1.077"/>
    <n v="1.1910000000000001"/>
    <n v="1.2989999999999999"/>
    <n v="1.349"/>
    <n v="1.4330000000000001"/>
    <n v="1.1020000000000001"/>
    <n v="1.181"/>
    <n v="1.24"/>
    <n v="1.339"/>
    <n v="1.125"/>
    <n v="1.627"/>
    <n v="1.1579999999999999"/>
    <n v="1.0549999999999999"/>
    <n v="1.2509999999999999"/>
    <n v="1.351"/>
    <n v="1.24"/>
    <n v="1.1240000000000001"/>
    <n v="0.56399999999999995"/>
    <n v="1.108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5.204132255699157"/>
    <n v="16660.337472125026"/>
    <n v="16.8041055625892"/>
    <n v="19.7871936320552"/>
    <n v="24.417936797342399"/>
    <n v="29.274973426658502"/>
    <n v="31.679502927444201"/>
    <n v="35.942470231484997"/>
    <n v="20.759310097072699"/>
    <n v="23.9914043180191"/>
    <n v="26.564687159026899"/>
    <n v="31.190676169168999"/>
    <n v="21.6751521992466"/>
    <n v="46.865512369254198"/>
    <n v="23.0252456845955"/>
    <n v="18.951824429923001"/>
    <n v="27.059586825652499"/>
    <n v="31.777744086376501"/>
    <n v="26.564687159026899"/>
    <n v="21.6349040900635"/>
    <n v="5.1194901425430004"/>
    <n v="20.996237806439101"/>
    <m/>
  </r>
  <r>
    <x v="12"/>
    <s v="DAPRETR"/>
    <s v="CLA"/>
    <n v="-1"/>
    <n v="33"/>
    <n v="-1"/>
    <n v="-1"/>
    <n v="-1"/>
    <n v="-1"/>
    <n v="-1"/>
    <n v="-1"/>
    <n v="-1"/>
    <n v="8448"/>
    <n v="6017.5259714248696"/>
    <n v="-1"/>
    <n v="-1"/>
    <n v="-1"/>
    <n v="0.70899999999999996"/>
    <n v="0.61899999999999999"/>
    <n v="0.47"/>
    <n v="0.78"/>
    <n v="0.45200000000000001"/>
    <n v="0.91800000000000004"/>
    <n v="0.72599999999999998"/>
    <n v="0.622"/>
    <n v="0.51800000000000002"/>
    <n v="0.51500000000000001"/>
    <n v="0.56699999999999995"/>
    <n v="1.1739999999999999"/>
    <n v="0.59599999999999997"/>
    <n v="0.61099999999999999"/>
    <n v="0.70599999999999996"/>
    <n v="0.96299999999999997"/>
    <n v="0.871"/>
    <n v="0.502"/>
    <n v="0.48899999999999999"/>
    <n v="0.8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48448421982386"/>
    <n v="12326.591580403297"/>
    <n v="1.8707224684938999"/>
    <n v="1.2722589002190801"/>
    <n v="0.58201204281102603"/>
    <n v="2.4531422151192999"/>
    <n v="0.52091541503700001"/>
    <n v="3.89625407140226"/>
    <n v="2.0009399592780901"/>
    <n v="1.2898486308599399"/>
    <n v="0.76713283543983601"/>
    <n v="0.75458224977384802"/>
    <n v="0.991630649935898"/>
    <n v="7.8348637739200804"/>
    <n v="1.1425453105863099"/>
    <n v="1.22611467832177"/>
    <n v="1.84832954432286"/>
    <n v="4.4634709228923404"/>
    <n v="3.3560283024314699"/>
    <n v="0.70173414859767402"/>
    <n v="0.65134519607563202"/>
    <n v="3.3450971241294001"/>
    <m/>
  </r>
  <r>
    <x v="12"/>
    <s v="EUBCORE"/>
    <s v="CLA"/>
    <n v="-1"/>
    <n v="8"/>
    <n v="-1"/>
    <n v="-1"/>
    <n v="-1"/>
    <n v="12"/>
    <n v="-1"/>
    <n v="-1"/>
    <n v="-1"/>
    <n v="1706.6666666666699"/>
    <n v="1215.6618124090601"/>
    <n v="-1"/>
    <n v="-1"/>
    <n v="-1"/>
    <n v="0.26100000000000001"/>
    <n v="0.505"/>
    <n v="0.46300000000000002"/>
    <n v="0.29699999999999999"/>
    <n v="0.38900000000000001"/>
    <n v="0.38800000000000001"/>
    <n v="0.33900000000000002"/>
    <n v="0.56200000000000006"/>
    <n v="0.25700000000000001"/>
    <n v="0.29299999999999998"/>
    <n v="0.49099999999999999"/>
    <n v="0.39500000000000002"/>
    <n v="0.30399999999999999"/>
    <n v="0.317"/>
    <n v="0.29799999999999999"/>
    <n v="0.28899999999999998"/>
    <n v="0.44700000000000001"/>
    <n v="0.30399999999999999"/>
    <n v="0.39700000000000002"/>
    <n v="0.491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960960955799095"/>
    <n v="1697.1807098498853"/>
    <n v="0.50339293784214301"/>
    <n v="2.6738301838295002"/>
    <n v="2.1464784971809499"/>
    <n v="0.69804022799210996"/>
    <n v="1.3815898254923"/>
    <n v="1.3726218271622199"/>
    <n v="0.97546540427839601"/>
    <n v="3.5046085271018801"/>
    <n v="0.48410262431156198"/>
    <n v="0.67449962789376405"/>
    <n v="2.4902492042461999"/>
    <n v="1.4361416809524801"/>
    <n v="0.74041771577438797"/>
    <n v="0.82316437806424703"/>
    <n v="0.704001821854362"/>
    <n v="0.65144563297581304"/>
    <n v="1.9637430836057901"/>
    <n v="0.74041771577438797"/>
    <n v="1.45461016125359"/>
    <n v="2.5031008340121002"/>
    <m/>
  </r>
  <r>
    <x v="12"/>
    <s v="HOLGIBB"/>
    <s v="CLA"/>
    <n v="-1"/>
    <n v="68"/>
    <n v="-1"/>
    <n v="-1"/>
    <n v="-1"/>
    <n v="-1"/>
    <n v="-1"/>
    <n v="-1"/>
    <n v="-1"/>
    <n v="17408"/>
    <n v="12399.7504865725"/>
    <n v="-1"/>
    <n v="-1"/>
    <n v="-1"/>
    <n v="0.51"/>
    <n v="0.498"/>
    <n v="0.53500000000000003"/>
    <n v="0.78700000000000003"/>
    <n v="0.63800000000000001"/>
    <n v="0.65600000000000003"/>
    <n v="0.77800000000000002"/>
    <n v="0.38500000000000001"/>
    <n v="0.68600000000000005"/>
    <n v="0.74"/>
    <n v="0.70899999999999996"/>
    <n v="0.71299999999999997"/>
    <n v="0.35099999999999998"/>
    <n v="0.66800000000000004"/>
    <n v="0.44400000000000001"/>
    <n v="0.58199999999999996"/>
    <n v="0.61899999999999999"/>
    <n v="0.59199999999999997"/>
    <n v="0.64100000000000001"/>
    <n v="0.447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7751707590370018"/>
    <n v="22011.674483118339"/>
    <n v="0.92777213093307997"/>
    <n v="0.85991210861310496"/>
    <n v="1.0807892730931199"/>
    <n v="3.7021316393417298"/>
    <n v="1.8952671103233301"/>
    <n v="2.0711698172922199"/>
    <n v="3.5687602699988998"/>
    <n v="0.37836607350699297"/>
    <n v="2.38872629397203"/>
    <n v="3.0418769845616001"/>
    <n v="2.6537129954369099"/>
    <n v="2.70176804766233"/>
    <n v="0.28172290793110799"/>
    <n v="2.19446862651712"/>
    <n v="0.59627161504180504"/>
    <n v="1.4138286630433901"/>
    <n v="1.7210188668781801"/>
    <n v="1.49278995978344"/>
    <n v="1.92384276825684"/>
    <n v="0.60921902855280696"/>
    <m/>
  </r>
  <r>
    <x v="12"/>
    <s v="LETKIND"/>
    <s v="CLA"/>
    <n v="-1"/>
    <n v="0"/>
    <n v="-1"/>
    <n v="-1"/>
    <n v="-1"/>
    <n v="1"/>
    <n v="-1"/>
    <n v="3"/>
    <n v="-1"/>
    <n v="146.28571428571399"/>
    <n v="104.199583920777"/>
    <n v="-1"/>
    <n v="-1"/>
    <n v="-1"/>
    <n v="1.76"/>
    <n v="3.75"/>
    <n v="3.569"/>
    <n v="2.754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710130553370544"/>
    <n v="955.61574449813486"/>
    <n v="1.9885144852771399"/>
    <n v="14.9855753149264"/>
    <n v="13.131345217996801"/>
    <n v="6.5786172031478802"/>
    <m/>
    <m/>
    <m/>
    <m/>
    <m/>
    <m/>
    <m/>
    <m/>
    <m/>
    <m/>
    <m/>
    <m/>
    <m/>
    <m/>
    <m/>
    <m/>
    <m/>
  </r>
  <r>
    <x v="12"/>
    <s v="POYPEDI"/>
    <s v="CLA"/>
    <n v="-1"/>
    <n v="32"/>
    <n v="-1"/>
    <n v="-1"/>
    <n v="-1"/>
    <n v="-1"/>
    <n v="-1"/>
    <n v="-1"/>
    <n v="-1"/>
    <n v="8192"/>
    <n v="5835.1766995635098"/>
    <n v="-1"/>
    <n v="-1"/>
    <n v="-1"/>
    <n v="0.41199999999999998"/>
    <n v="0.46100000000000002"/>
    <n v="0.26600000000000001"/>
    <n v="0.48699999999999999"/>
    <n v="0.57899999999999996"/>
    <n v="0.6"/>
    <n v="0.52100000000000002"/>
    <n v="0.59899999999999998"/>
    <n v="0.371"/>
    <n v="0.49"/>
    <n v="0.52900000000000003"/>
    <n v="0.78900000000000003"/>
    <n v="0.68500000000000005"/>
    <n v="0.60499999999999998"/>
    <n v="0.67200000000000004"/>
    <n v="0.52400000000000002"/>
    <n v="0.70499999999999996"/>
    <n v="0.60199999999999998"/>
    <n v="0.35799999999999998"/>
    <n v="0.886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9633790616902917"/>
    <n v="28962.193851876586"/>
    <n v="2.39294865242712"/>
    <n v="3.0469221276814902"/>
    <n v="0.93411400616143703"/>
    <n v="3.4284011477372598"/>
    <n v="4.9735132263446102"/>
    <n v="5.3694469205371798"/>
    <n v="3.9637428378579398"/>
    <n v="5.3502248396980097"/>
    <n v="1.91010952776576"/>
    <n v="3.4739689885899399"/>
    <n v="4.0957558485939298"/>
    <n v="9.6743082727864191"/>
    <n v="7.13902814150706"/>
    <n v="5.4661106736757796"/>
    <n v="6.8509106312912298"/>
    <n v="4.0129766451859501"/>
    <n v="7.5947060046609103"/>
    <n v="5.4080017244043903"/>
    <n v="1.76910199600143"/>
    <n v="12.413289020898"/>
    <m/>
  </r>
  <r>
    <x v="12"/>
    <s v="DIYTHOM"/>
    <s v="COP"/>
    <n v="-1"/>
    <n v="1"/>
    <n v="0"/>
    <n v="-1"/>
    <n v="-1"/>
    <n v="1"/>
    <n v="1"/>
    <n v="-1"/>
    <n v="-1"/>
    <n v="256"/>
    <n v="182.34927186135999"/>
    <n v="-1"/>
    <n v="-1"/>
    <n v="-1"/>
    <n v="0.95899999999999996"/>
    <n v="0.93500000000000005"/>
    <n v="0.97499999999999998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126713569042701"/>
    <n v="804.64740889497307"/>
    <n v="4.4539845931640203"/>
    <n v="4.0276426873798901"/>
    <n v="4.7563867901689001"/>
    <m/>
    <m/>
    <m/>
    <m/>
    <m/>
    <m/>
    <m/>
    <m/>
    <m/>
    <m/>
    <m/>
    <m/>
    <m/>
    <m/>
    <m/>
    <m/>
    <m/>
    <m/>
  </r>
  <r>
    <x v="12"/>
    <s v="SKIOREG"/>
    <s v="COP"/>
    <n v="-1"/>
    <n v="1"/>
    <n v="0"/>
    <n v="-1"/>
    <n v="-1"/>
    <n v="0"/>
    <n v="0"/>
    <n v="-1"/>
    <n v="-1"/>
    <n v="85.3333333333333"/>
    <n v="60.783090620453201"/>
    <n v="-1"/>
    <n v="-1"/>
    <n v="-1"/>
    <n v="1.117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5310941522602404"/>
    <n v="396.98008770754615"/>
    <n v="6.5310941522602404"/>
    <m/>
    <m/>
    <m/>
    <m/>
    <m/>
    <m/>
    <m/>
    <m/>
    <m/>
    <m/>
    <m/>
    <m/>
    <m/>
    <m/>
    <m/>
    <m/>
    <m/>
    <m/>
    <m/>
    <m/>
  </r>
  <r>
    <x v="12"/>
    <s v="CYCCOPE"/>
    <s v="IMM"/>
    <n v="-1"/>
    <n v="19"/>
    <n v="-1"/>
    <n v="-1"/>
    <n v="-1"/>
    <n v="32"/>
    <n v="-1"/>
    <n v="-1"/>
    <n v="-1"/>
    <n v="4352"/>
    <n v="3099.9376216431101"/>
    <n v="-1"/>
    <n v="-1"/>
    <n v="-1"/>
    <n v="0.44600000000000001"/>
    <n v="0.36199999999999999"/>
    <n v="0.55200000000000005"/>
    <n v="0.42"/>
    <n v="0.38900000000000001"/>
    <n v="0.315"/>
    <n v="0.38200000000000001"/>
    <n v="0.374"/>
    <n v="0.41799999999999998"/>
    <n v="0.42499999999999999"/>
    <n v="0.38700000000000001"/>
    <n v="0.39100000000000001"/>
    <n v="0.36099999999999999"/>
    <n v="0.40100000000000002"/>
    <n v="0.38100000000000001"/>
    <n v="0.56000000000000005"/>
    <n v="0.42699999999999999"/>
    <n v="0.41"/>
    <n v="0.37"/>
    <n v="0.391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16955121861871303"/>
    <n v="525.59820139158433"/>
    <n v="0.213200504996995"/>
    <n v="9.3111187390138905E-2"/>
    <n v="0.49708078847157"/>
    <n v="0.16796876259736301"/>
    <n v="0.123887861734121"/>
    <n v="5.3607029001190201E-2"/>
    <n v="0.115271087575072"/>
    <n v="0.10598126541873"/>
    <n v="0.164815737679887"/>
    <n v="0.17604872829895499"/>
    <n v="0.121378389582547"/>
    <n v="0.126435947311136"/>
    <n v="9.2094232210272894E-2"/>
    <n v="0.13976936730923001"/>
    <n v="0.114077762229817"/>
    <n v="0.52630234754966199"/>
    <n v="0.17936078822020901"/>
    <n v="0.15264435606058199"/>
    <n v="0.101552281425646"/>
    <n v="0.126435947311136"/>
    <m/>
  </r>
  <r>
    <x v="12"/>
    <s v="DIACOPE"/>
    <s v="IMM"/>
    <n v="-1"/>
    <n v="2"/>
    <n v="-1"/>
    <n v="-1"/>
    <n v="-1"/>
    <n v="4"/>
    <n v="-1"/>
    <n v="-1"/>
    <n v="-1"/>
    <n v="512"/>
    <n v="364.69854372271902"/>
    <n v="-1"/>
    <n v="-1"/>
    <n v="-1"/>
    <n v="0.505"/>
    <n v="0.65500000000000003"/>
    <n v="0.505"/>
    <n v="0.40899999999999997"/>
    <n v="0.63100000000000001"/>
    <n v="0.59499999999999997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34180984162738"/>
    <n v="398.7679881724797"/>
    <n v="0.83570479796318897"/>
    <n v="1.63905374036364"/>
    <n v="0.83570479796318897"/>
    <n v="0.48405152640721499"/>
    <n v="1.4880045756176099"/>
    <n v="1.2779891521828"/>
    <m/>
    <m/>
    <m/>
    <m/>
    <m/>
    <m/>
    <m/>
    <m/>
    <m/>
    <m/>
    <m/>
    <m/>
    <m/>
    <m/>
    <m/>
  </r>
  <r>
    <x v="12"/>
    <s v="DREPOLYV"/>
    <s v="MOL"/>
    <n v="-1"/>
    <n v="-1"/>
    <n v="-1"/>
    <n v="-1"/>
    <n v="-1"/>
    <n v="-1"/>
    <n v="-1"/>
    <n v="-1"/>
    <n v="-1"/>
    <n v="569184"/>
    <n v="405430.81232475"/>
    <n v="152"/>
    <n v="142"/>
    <n v="294"/>
    <n v="9.2999999999999999E-2"/>
    <n v="9.1999999999999998E-2"/>
    <n v="0.11799999999999999"/>
    <n v="0.11700000000000001"/>
    <n v="0.10100000000000001"/>
    <n v="0.107"/>
    <n v="0.1"/>
    <n v="0.105"/>
    <n v="0.111"/>
    <n v="9.6000000000000002E-2"/>
    <n v="0.107"/>
    <n v="0.12"/>
    <n v="0.108"/>
    <n v="0.113"/>
    <n v="0.104"/>
    <n v="0.10100000000000001"/>
    <n v="0.113"/>
    <n v="9.7000000000000003E-2"/>
    <n v="0.10199999999999999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301401581609587"/>
    <n v="66090.904852639389"/>
    <n v="0.12727827420164603"/>
    <n v="0.12507028069583967"/>
    <n v="0.19713244744137251"/>
    <n v="0.19371264020039231"/>
    <n v="0.14640486397791924"/>
    <n v="0.16261343582795867"/>
    <n v="0.14386506690014328"/>
    <n v="0.15702041439172909"/>
    <n v="0.17440424030734322"/>
    <n v="0.13413889927804937"/>
    <n v="0.16261343582795867"/>
    <n v="0.20415424781419131"/>
    <n v="0.16548421702607694"/>
    <n v="0.18061646856051028"/>
    <n v="0.15429646124708882"/>
    <n v="0.14640486397791924"/>
    <n v="0.18061646856051028"/>
    <n v="0.13650699037718286"/>
    <n v="0.14898949868956468"/>
    <n v="0.21895710101852087"/>
    <m/>
  </r>
  <r>
    <x v="12"/>
    <s v="COPNAUP"/>
    <s v="NAU"/>
    <n v="-1"/>
    <n v="-1"/>
    <n v="-1"/>
    <n v="-1"/>
    <n v="-1"/>
    <n v="-1"/>
    <n v="-1"/>
    <n v="-1"/>
    <n v="-1"/>
    <n v="98736"/>
    <n v="70329.834791028101"/>
    <n v="25"/>
    <n v="26"/>
    <n v="51"/>
    <n v="0.106"/>
    <n v="0.13500000000000001"/>
    <n v="0.13700000000000001"/>
    <n v="0.17100000000000001"/>
    <n v="0.124"/>
    <n v="0.219"/>
    <n v="0.128"/>
    <n v="0.10299999999999999"/>
    <n v="0.108"/>
    <n v="0.13600000000000001"/>
    <n v="0.307"/>
    <n v="0.246"/>
    <n v="0.22700000000000001"/>
    <n v="0.15"/>
    <n v="0.187"/>
    <n v="0.23699999999999999"/>
    <n v="0.20799999999999999"/>
    <n v="0.107"/>
    <n v="0.11799999999999999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114435371295359"/>
    <n v="7816.7640345876162"/>
    <n v="3.2278340588934862E-2"/>
    <n v="5.7673746944497048E-2"/>
    <n v="5.9745676682321308E-2"/>
    <n v="0.10171096812044977"/>
    <n v="4.7031536538474132E-2"/>
    <n v="0.1841802248270773"/>
    <n v="5.0755259236681539E-2"/>
    <n v="3.012912106148239E-2"/>
    <n v="3.3759354676859761E-2"/>
    <n v="5.8704379673962324E-2"/>
    <n v="0.41429455387624414"/>
    <n v="0.24345650337498176"/>
    <n v="0.20074243157728705"/>
    <n v="7.4267045120984129E-2"/>
    <n v="0.1260657113773983"/>
    <n v="0.22262460073121362"/>
    <n v="0.16275304664658838"/>
    <n v="3.3014003242246778E-2"/>
    <n v="4.1753601378629192E-2"/>
    <n v="4.7946968582758688E-2"/>
    <m/>
  </r>
  <r>
    <x v="12"/>
    <s v="ASCOVAL"/>
    <s v="ROT"/>
    <n v="-1"/>
    <n v="-1"/>
    <n v="-1"/>
    <n v="-1"/>
    <n v="-1"/>
    <n v="-1"/>
    <n v="-1"/>
    <n v="-1"/>
    <n v="-1"/>
    <n v="27104"/>
    <n v="19306.229158321399"/>
    <n v="5"/>
    <n v="9"/>
    <n v="14"/>
    <n v="0.09"/>
    <n v="0.123"/>
    <n v="0.121"/>
    <n v="0.105"/>
    <n v="0.112"/>
    <n v="8.6999999999999994E-2"/>
    <n v="9.8000000000000004E-2"/>
    <n v="0.114"/>
    <n v="9.7000000000000003E-2"/>
    <n v="0.1"/>
    <n v="9.6000000000000002E-2"/>
    <n v="0.1"/>
    <n v="9.5000000000000001E-2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422860571428575E-2"/>
    <n v="259.14482215219698"/>
    <n v="8.7480000000000006E-3"/>
    <n v="2.2330404000000002E-2"/>
    <n v="2.1258731999999999E-2"/>
    <n v="1.3891499999999999E-2"/>
    <n v="1.6859136E-2"/>
    <n v="7.9020359999999994E-3"/>
    <n v="1.1294304E-2"/>
    <n v="1.7778527999999998E-2"/>
    <n v="1.0952076E-2"/>
    <n v="1.2E-2"/>
    <n v="1.0616832E-2"/>
    <n v="1.2E-2"/>
    <n v="1.0288500000000001E-2"/>
    <n v="1.2E-2"/>
    <m/>
    <m/>
    <m/>
    <m/>
    <m/>
    <m/>
    <m/>
  </r>
  <r>
    <x v="12"/>
    <s v="ASPPRIO"/>
    <s v="ROT"/>
    <n v="-1"/>
    <n v="-1"/>
    <n v="-1"/>
    <n v="-1"/>
    <n v="-1"/>
    <n v="-1"/>
    <n v="-1"/>
    <n v="-1"/>
    <n v="-1"/>
    <n v="5808"/>
    <n v="4137.0491053545902"/>
    <n v="0"/>
    <n v="3"/>
    <n v="3"/>
    <n v="0.63500000000000001"/>
    <n v="0.57099999999999995"/>
    <n v="0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740001951399999"/>
    <n v="6925.421009667346"/>
    <n v="2.29674943875"/>
    <n v="1.66993961667"/>
    <n v="1.05531153"/>
    <m/>
    <m/>
    <m/>
    <m/>
    <m/>
    <m/>
    <m/>
    <m/>
    <m/>
    <m/>
    <m/>
    <m/>
    <m/>
    <m/>
    <m/>
    <m/>
    <m/>
    <m/>
  </r>
  <r>
    <x v="12"/>
    <s v="COLSP"/>
    <s v="ROT"/>
    <n v="-1"/>
    <n v="-1"/>
    <n v="-1"/>
    <n v="-1"/>
    <n v="-1"/>
    <n v="-1"/>
    <n v="-1"/>
    <n v="-1"/>
    <n v="-1"/>
    <n v="9680"/>
    <n v="6895.0818422576604"/>
    <n v="2"/>
    <n v="3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00000000000001E-2"/>
    <n v="4.2999999999999997E-2"/>
    <n v="0.04"/>
    <n v="3.9E-2"/>
    <n v="0.04"/>
    <m/>
    <m/>
    <m/>
    <m/>
    <m/>
    <m/>
    <m/>
    <m/>
    <m/>
    <m/>
    <m/>
    <m/>
    <m/>
    <m/>
    <m/>
    <n v="1.0785384E-2"/>
    <n v="74.366105380176293"/>
    <n v="5.8982399999999999E-3"/>
    <n v="1.4311259999999999E-2"/>
    <n v="1.1520000000000001E-2"/>
    <n v="1.067742E-2"/>
    <n v="1.1520000000000001E-2"/>
    <m/>
    <m/>
    <m/>
    <m/>
    <m/>
    <m/>
    <m/>
    <m/>
    <m/>
    <m/>
    <m/>
    <m/>
    <m/>
    <m/>
    <m/>
    <m/>
  </r>
  <r>
    <x v="12"/>
    <s v="COOUNIC"/>
    <s v="ROT"/>
    <n v="-1"/>
    <n v="-1"/>
    <n v="-1"/>
    <n v="-1"/>
    <n v="-1"/>
    <n v="-1"/>
    <n v="-1"/>
    <n v="-1"/>
    <n v="-1"/>
    <n v="243936"/>
    <n v="173756.062424893"/>
    <n v="60"/>
    <n v="66"/>
    <n v="126"/>
    <n v="0.13200000000000001"/>
    <n v="0.13700000000000001"/>
    <n v="0.13500000000000001"/>
    <n v="0.113"/>
    <n v="0.12"/>
    <n v="8.6999999999999994E-2"/>
    <n v="0.14699999999999999"/>
    <n v="9.4E-2"/>
    <n v="9.4E-2"/>
    <n v="0.126"/>
    <n v="0.109"/>
    <n v="0.17599999999999999"/>
    <n v="0.123"/>
    <n v="0.16400000000000001"/>
    <n v="0.111"/>
    <n v="0.104"/>
    <n v="0.106"/>
    <n v="0.13700000000000001"/>
    <n v="0.124"/>
    <n v="0.122"/>
    <m/>
    <m/>
    <m/>
    <m/>
    <m/>
    <m/>
    <m/>
    <m/>
    <m/>
    <m/>
    <m/>
    <m/>
    <m/>
    <m/>
    <m/>
    <m/>
    <m/>
    <m/>
    <m/>
    <m/>
    <n v="6.6000000000000003E-2"/>
    <n v="7.8E-2"/>
    <n v="7.8E-2"/>
    <n v="5.0999999999999997E-2"/>
    <n v="6.5000000000000002E-2"/>
    <n v="5.7000000000000002E-2"/>
    <n v="7.8E-2"/>
    <n v="7.8E-2"/>
    <n v="5.2999999999999999E-2"/>
    <n v="5.8999999999999997E-2"/>
    <n v="5.5E-2"/>
    <n v="0.04"/>
    <n v="6.7000000000000004E-2"/>
    <n v="7.1999999999999995E-2"/>
    <n v="5.6000000000000001E-2"/>
    <n v="5.3999999999999999E-2"/>
    <n v="0.06"/>
    <n v="7.2999999999999995E-2"/>
    <n v="8.5000000000000006E-2"/>
    <n v="7.9000000000000001E-2"/>
    <n v="1.4191183499999999E-2"/>
    <n v="2465.8041661091115"/>
    <n v="1.4949792E-2"/>
    <n v="2.1671208000000001E-2"/>
    <n v="2.135484E-2"/>
    <n v="7.6417380000000003E-3"/>
    <n v="1.3181999999999999E-2"/>
    <n v="7.3492380000000001E-3"/>
    <n v="2.3253047999999998E-2"/>
    <n v="1.4869296000000001E-2"/>
    <n v="6.8651959999999996E-3"/>
    <n v="1.1403755999999999E-2"/>
    <n v="8.5728499999999999E-3"/>
    <n v="7.3216000000000002E-3"/>
    <n v="1.4355822000000001E-2"/>
    <n v="2.2104576000000001E-2"/>
    <n v="9.0504959999999999E-3"/>
    <n v="7.8848640000000001E-3"/>
    <n v="9.9215999999999992E-3"/>
    <n v="1.8981898000000001E-2"/>
    <n v="2.3293399999999999E-2"/>
    <n v="1.9796451999999999E-2"/>
    <m/>
  </r>
  <r>
    <x v="12"/>
    <s v="GASSTYL"/>
    <s v="ROT"/>
    <n v="-1"/>
    <n v="-1"/>
    <n v="-1"/>
    <n v="-1"/>
    <n v="-1"/>
    <n v="-1"/>
    <n v="-1"/>
    <n v="-1"/>
    <n v="-1"/>
    <n v="11616"/>
    <n v="8274.0982107091895"/>
    <n v="2"/>
    <n v="4"/>
    <n v="6"/>
    <n v="0.11"/>
    <n v="0.113"/>
    <n v="8.3000000000000004E-2"/>
    <n v="9.6000000000000002E-2"/>
    <n v="0.1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810520000000001E-2"/>
    <n v="188.73648271734618"/>
    <n v="2.6620000000000001E-2"/>
    <n v="2.8857939999999999E-2"/>
    <n v="1.143574E-2"/>
    <n v="1.7694720000000001E-2"/>
    <n v="3.456E-2"/>
    <n v="1.7694720000000001E-2"/>
    <m/>
    <m/>
    <m/>
    <m/>
    <m/>
    <m/>
    <m/>
    <m/>
    <m/>
    <m/>
    <m/>
    <m/>
    <m/>
    <m/>
    <m/>
  </r>
  <r>
    <x v="12"/>
    <s v="KELLONG"/>
    <s v="ROT"/>
    <n v="-1"/>
    <n v="-1"/>
    <n v="-1"/>
    <n v="-1"/>
    <n v="-1"/>
    <n v="-1"/>
    <n v="-1"/>
    <n v="-1"/>
    <n v="-1"/>
    <n v="183920"/>
    <n v="131006.555002896"/>
    <n v="49"/>
    <n v="46"/>
    <n v="95"/>
    <n v="0.157"/>
    <n v="0.13300000000000001"/>
    <n v="0.15"/>
    <n v="0.158"/>
    <n v="0.152"/>
    <n v="0.16200000000000001"/>
    <n v="0.17199999999999999"/>
    <n v="0.15"/>
    <n v="0.13200000000000001"/>
    <n v="0.14899999999999999"/>
    <n v="0.17699999999999999"/>
    <n v="0.14799999999999999"/>
    <n v="0.123"/>
    <n v="0.161"/>
    <n v="0.153"/>
    <n v="0.13900000000000001"/>
    <n v="0.19"/>
    <n v="0.16700000000000001"/>
    <n v="0.17799999999999999"/>
    <n v="0.17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024781429499998E-2"/>
    <n v="1575.3251897415939"/>
    <n v="1.1783824185E-2"/>
    <n v="7.1637796649999998E-3"/>
    <n v="1.0276875E-2"/>
    <n v="1.2010430040000001E-2"/>
    <n v="1.069345536E-2"/>
    <n v="1.2945902759999999E-2"/>
    <n v="1.549432416E-2"/>
    <n v="1.0276875E-2"/>
    <n v="7.0034025600000001E-3"/>
    <n v="1.0072704704999999E-2"/>
    <n v="1.6885234485000001E-2"/>
    <n v="9.8712566399999993E-3"/>
    <n v="5.6663400150000001E-3"/>
    <n v="1.2707640645000001E-2"/>
    <n v="1.0905901964999999E-2"/>
    <n v="8.1777098549999996E-3"/>
    <n v="2.0885654999999999E-2"/>
    <n v="1.4181974835E-2"/>
    <n v="1.7173044839999999E-2"/>
    <n v="1.6319296875E-2"/>
    <m/>
  </r>
  <r>
    <x v="12"/>
    <s v="KERCOCH"/>
    <s v="ROT"/>
    <n v="-1"/>
    <n v="-1"/>
    <n v="-1"/>
    <n v="-1"/>
    <n v="-1"/>
    <n v="-1"/>
    <n v="-1"/>
    <n v="-1"/>
    <n v="-1"/>
    <n v="199408"/>
    <n v="142038.68595050799"/>
    <n v="58"/>
    <n v="45"/>
    <n v="103"/>
    <n v="8.5000000000000006E-2"/>
    <n v="0.1"/>
    <n v="9.9000000000000005E-2"/>
    <n v="8.8999999999999996E-2"/>
    <n v="8.7999999999999995E-2"/>
    <n v="8.7999999999999995E-2"/>
    <n v="9.4E-2"/>
    <n v="9.5000000000000001E-2"/>
    <n v="8.6999999999999994E-2"/>
    <n v="0.14799999999999999"/>
    <n v="9.0999999999999998E-2"/>
    <n v="8.5000000000000006E-2"/>
    <n v="0.11600000000000001"/>
    <n v="9.1999999999999998E-2"/>
    <n v="7.3999999999999996E-2"/>
    <n v="8.1000000000000003E-2"/>
    <n v="0.11"/>
    <n v="0.09"/>
    <n v="9.8000000000000004E-2"/>
    <n v="8.799999999999999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567199999999996E-3"/>
    <n v="263.72606897802717"/>
    <n v="1.22825E-3"/>
    <n v="2E-3"/>
    <n v="1.940598E-3"/>
    <n v="1.4099379999999999E-3"/>
    <n v="1.362944E-3"/>
    <n v="1.362944E-3"/>
    <n v="1.661168E-3"/>
    <n v="1.7147499999999999E-3"/>
    <n v="1.3170059999999999E-3"/>
    <n v="6.4835839999999997E-3"/>
    <n v="1.5071419999999999E-3"/>
    <n v="1.22825E-3"/>
    <n v="3.121792E-3"/>
    <n v="1.5573760000000001E-3"/>
    <n v="8.1044799999999996E-4"/>
    <n v="1.062882E-3"/>
    <n v="2.6619999999999999E-3"/>
    <n v="1.4580000000000001E-3"/>
    <n v="1.882384E-3"/>
    <n v="1.362944E-3"/>
    <m/>
  </r>
  <r>
    <x v="12"/>
    <s v="KERCOCHH"/>
    <s v="ROT"/>
    <n v="-1"/>
    <n v="-1"/>
    <n v="-1"/>
    <n v="-1"/>
    <n v="-1"/>
    <n v="-1"/>
    <n v="-1"/>
    <n v="-1"/>
    <n v="-1"/>
    <n v="1936"/>
    <n v="1379.0163684515301"/>
    <n v="1"/>
    <n v="0"/>
    <n v="1"/>
    <n v="0.1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224159999999998E-3"/>
    <n v="2.9268464046634222"/>
    <n v="2.1224159999999998E-3"/>
    <m/>
    <m/>
    <m/>
    <m/>
    <m/>
    <m/>
    <m/>
    <m/>
    <m/>
    <m/>
    <m/>
    <m/>
    <m/>
    <m/>
    <m/>
    <m/>
    <m/>
    <m/>
    <m/>
    <m/>
  </r>
  <r>
    <x v="12"/>
    <s v="KERCRAS"/>
    <s v="ROT"/>
    <n v="-1"/>
    <n v="-1"/>
    <n v="-1"/>
    <n v="-1"/>
    <n v="-1"/>
    <n v="-1"/>
    <n v="-1"/>
    <n v="-1"/>
    <n v="-1"/>
    <n v="25168"/>
    <n v="17927.2127898699"/>
    <n v="7"/>
    <n v="6"/>
    <n v="13"/>
    <n v="0.128"/>
    <n v="0.16"/>
    <n v="0.129"/>
    <n v="0.11899999999999999"/>
    <n v="0.125"/>
    <n v="0.11899999999999999"/>
    <n v="0.13300000000000001"/>
    <n v="0.125"/>
    <n v="0.121"/>
    <n v="0.11600000000000001"/>
    <n v="0.14099999999999999"/>
    <n v="0.12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36264615384619E-3"/>
    <n v="76.255666704621362"/>
    <n v="4.1943040000000003E-3"/>
    <n v="8.1919999999999996E-3"/>
    <n v="4.2933779999999996E-3"/>
    <n v="3.3703180000000002E-3"/>
    <n v="3.90625E-3"/>
    <n v="3.3703180000000002E-3"/>
    <n v="4.7052739999999997E-3"/>
    <n v="3.90625E-3"/>
    <n v="3.5431220000000001E-3"/>
    <n v="3.121792E-3"/>
    <n v="5.6064419999999997E-3"/>
    <n v="3.4559999999999999E-3"/>
    <n v="3.6316959999999998E-3"/>
    <m/>
    <m/>
    <m/>
    <m/>
    <m/>
    <m/>
    <m/>
    <m/>
  </r>
  <r>
    <x v="12"/>
    <s v="KERQUAD"/>
    <s v="ROT"/>
    <n v="-1"/>
    <n v="-1"/>
    <n v="-1"/>
    <n v="-1"/>
    <n v="-1"/>
    <n v="-1"/>
    <n v="-1"/>
    <n v="-1"/>
    <n v="-1"/>
    <n v="19360"/>
    <n v="13790.163684515301"/>
    <n v="4"/>
    <n v="6"/>
    <n v="10"/>
    <n v="0.14599999999999999"/>
    <n v="0.14899999999999999"/>
    <n v="0.16300000000000001"/>
    <n v="0.14799999999999999"/>
    <n v="0.188"/>
    <n v="0.16700000000000001"/>
    <n v="0.17499999999999999"/>
    <n v="0.156"/>
    <n v="0.14499999999999999"/>
    <n v="0.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4896537119999999E-2"/>
    <n v="1308.6387799784823"/>
    <n v="7.1890341600000005E-2"/>
    <n v="7.6413621900000006E-2"/>
    <n v="0.1000402557"/>
    <n v="7.4885395199999996E-2"/>
    <n v="0.15349192319999999"/>
    <n v="0.1075873953"/>
    <n v="0.1238015625"/>
    <n v="8.7697209600000006E-2"/>
    <n v="7.0423237499999999E-2"/>
    <n v="8.2734428700000001E-2"/>
    <m/>
    <m/>
    <m/>
    <m/>
    <m/>
    <m/>
    <m/>
    <m/>
    <m/>
    <m/>
    <m/>
  </r>
  <r>
    <x v="12"/>
    <s v="PLOHUDS"/>
    <s v="ROT"/>
    <n v="-1"/>
    <n v="-1"/>
    <n v="-1"/>
    <n v="-1"/>
    <n v="-1"/>
    <n v="-1"/>
    <n v="-1"/>
    <n v="-1"/>
    <n v="-1"/>
    <n v="5808"/>
    <n v="4137.0491053545902"/>
    <n v="1"/>
    <n v="2"/>
    <n v="3"/>
    <n v="0.39200000000000002"/>
    <n v="0.30499999999999999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394970999999997"/>
    <n v="1464.3073310960165"/>
    <n v="0.60236288000000004"/>
    <n v="0.28372625000000001"/>
    <n v="0.17576"/>
    <m/>
    <m/>
    <m/>
    <m/>
    <m/>
    <m/>
    <m/>
    <m/>
    <m/>
    <m/>
    <m/>
    <m/>
    <m/>
    <m/>
    <m/>
    <m/>
    <m/>
    <m/>
  </r>
  <r>
    <x v="12"/>
    <s v="POLSP"/>
    <s v="ROT"/>
    <n v="-1"/>
    <n v="-1"/>
    <n v="-1"/>
    <n v="-1"/>
    <n v="-1"/>
    <n v="-1"/>
    <n v="-1"/>
    <n v="-1"/>
    <n v="-1"/>
    <n v="3872"/>
    <n v="2758.0327369030601"/>
    <n v="2"/>
    <n v="0"/>
    <n v="2"/>
    <n v="0.09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684124999999998E-2"/>
    <n v="57.047493884194999"/>
    <n v="2.24532E-2"/>
    <n v="1.8915049999999999E-2"/>
    <m/>
    <m/>
    <m/>
    <m/>
    <m/>
    <m/>
    <m/>
    <m/>
    <m/>
    <m/>
    <m/>
    <m/>
    <m/>
    <m/>
    <m/>
    <m/>
    <m/>
    <m/>
    <m/>
  </r>
  <r>
    <x v="12"/>
    <s v="SYNSP"/>
    <s v="ROT"/>
    <n v="-1"/>
    <n v="-1"/>
    <n v="-1"/>
    <n v="-1"/>
    <n v="-1"/>
    <n v="-1"/>
    <n v="-1"/>
    <n v="-1"/>
    <n v="-1"/>
    <n v="7744"/>
    <n v="5516.0654738061303"/>
    <n v="2"/>
    <n v="2"/>
    <n v="4"/>
    <n v="0.189"/>
    <n v="0.19"/>
    <n v="0.14699999999999999"/>
    <n v="0.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038400000000003E-2"/>
    <n v="314.62754892114361"/>
    <n v="6.751269E-2"/>
    <n v="6.8589999999999998E-2"/>
    <n v="3.1765229999999998E-2"/>
    <n v="6.0285680000000001E-2"/>
    <m/>
    <m/>
    <m/>
    <m/>
    <m/>
    <m/>
    <m/>
    <m/>
    <m/>
    <m/>
    <m/>
    <m/>
    <m/>
    <m/>
    <m/>
    <m/>
    <m/>
  </r>
  <r>
    <x v="12"/>
    <s v="TRICYLI"/>
    <s v="ROT"/>
    <n v="-1"/>
    <n v="-1"/>
    <n v="-1"/>
    <n v="-1"/>
    <n v="-1"/>
    <n v="-1"/>
    <n v="-1"/>
    <n v="-1"/>
    <n v="-1"/>
    <n v="60016"/>
    <n v="42749.507421997499"/>
    <n v="17"/>
    <n v="14"/>
    <n v="31"/>
    <n v="0.316"/>
    <n v="0.38"/>
    <n v="0.33300000000000002"/>
    <n v="0.41699999999999998"/>
    <n v="0.32900000000000001"/>
    <n v="0.30299999999999999"/>
    <n v="0.35299999999999998"/>
    <n v="0.24299999999999999"/>
    <n v="0.40200000000000002"/>
    <n v="0.33100000000000002"/>
    <n v="0.38100000000000001"/>
    <n v="0.28599999999999998"/>
    <n v="0.38900000000000001"/>
    <n v="0.374"/>
    <n v="0.32800000000000001"/>
    <n v="0.32300000000000001"/>
    <n v="0.252"/>
    <n v="0.39600000000000002"/>
    <n v="0.41199999999999998"/>
    <n v="0.25700000000000001"/>
    <m/>
    <m/>
    <m/>
    <m/>
    <m/>
    <m/>
    <m/>
    <m/>
    <m/>
    <m/>
    <m/>
    <m/>
    <m/>
    <m/>
    <m/>
    <m/>
    <m/>
    <m/>
    <m/>
    <m/>
    <n v="0.10100000000000001"/>
    <n v="7.6999999999999999E-2"/>
    <n v="8.5999999999999993E-2"/>
    <n v="0.08"/>
    <n v="7.0999999999999994E-2"/>
    <n v="7.0999999999999994E-2"/>
    <n v="6.8000000000000005E-2"/>
    <n v="7.2999999999999995E-2"/>
    <n v="0.09"/>
    <n v="8.1000000000000003E-2"/>
    <n v="8.5000000000000006E-2"/>
    <n v="0.11600000000000001"/>
    <n v="8.7999999999999995E-2"/>
    <n v="8.6999999999999994E-2"/>
    <n v="7.5999999999999998E-2"/>
    <n v="7.0000000000000007E-2"/>
    <n v="6.9000000000000006E-2"/>
    <n v="8.4000000000000005E-2"/>
    <n v="8.2000000000000003E-2"/>
    <n v="7.9000000000000001E-2"/>
    <n v="0.121465822244"/>
    <n v="5192.6040695389074"/>
    <n v="0.16862856899199999"/>
    <n v="0.11785998223999999"/>
    <n v="0.12883755081600001"/>
    <n v="0.13961026560000001"/>
    <n v="8.6758876568000007E-2"/>
    <n v="7.9902551976000005E-2"/>
    <n v="8.5387412864000006E-2"/>
    <n v="6.7741267463999999E-2"/>
    <n v="0.17033833440000001"/>
    <n v="0.113605499592"/>
    <n v="0.14400055019999999"/>
    <n v="0.20131833779200001"/>
    <n v="0.15758550579200001"/>
    <n v="0.14808512347200001"/>
    <n v="9.9106548736E-2"/>
    <n v="8.2794202400000003E-2"/>
    <n v="6.2762472863999996E-2"/>
    <n v="0.146168934912"/>
    <n v="0.14491930585599999"/>
    <n v="8.3905152344000006E-2"/>
    <m/>
  </r>
  <r>
    <x v="13"/>
    <s v="BOSLONG"/>
    <s v="CLA"/>
    <n v="-1"/>
    <n v="51"/>
    <n v="-1"/>
    <n v="-1"/>
    <n v="-1"/>
    <n v="-1"/>
    <n v="-1"/>
    <n v="-1"/>
    <n v="-1"/>
    <n v="13056"/>
    <n v="4558.7317965339898"/>
    <n v="-1"/>
    <n v="-1"/>
    <n v="-1"/>
    <n v="0.47199999999999998"/>
    <n v="0.41299999999999998"/>
    <n v="0.28699999999999998"/>
    <n v="0.49299999999999999"/>
    <n v="0.432"/>
    <n v="0.47399999999999998"/>
    <n v="0.245"/>
    <n v="0.32800000000000001"/>
    <n v="0.34599999999999997"/>
    <n v="0.29399999999999998"/>
    <n v="0.27500000000000002"/>
    <n v="0.36399999999999999"/>
    <n v="0.30299999999999999"/>
    <n v="0.41"/>
    <n v="0.42599999999999999"/>
    <n v="0.49099999999999999"/>
    <n v="0.38800000000000001"/>
    <n v="0.45600000000000002"/>
    <n v="0.41499999999999998"/>
    <n v="0.427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619302731189332"/>
    <n v="6664.5480203829011"/>
    <n v="2.2536158656852101"/>
    <n v="1.60753436427573"/>
    <n v="0.64010000952546497"/>
    <n v="2.5159924914243601"/>
    <n v="1.8012770443528101"/>
    <n v="2.2778537640162702"/>
    <n v="0.428940277450781"/>
    <n v="0.89736155515516403"/>
    <n v="1.0272334781416199"/>
    <n v="0.68033902120397705"/>
    <n v="0.57453746032460995"/>
    <n v="1.16786632408174"/>
    <n v="0.734271184165047"/>
    <n v="1.5781554971349001"/>
    <n v="1.7386530256291399"/>
    <n v="2.4902492042461999"/>
    <n v="1.3726218271622199"/>
    <n v="2.0653215988863498"/>
    <n v="1.62730260477958"/>
    <n v="1.7593788647374899"/>
    <m/>
  </r>
  <r>
    <x v="13"/>
    <s v="BYTLONG"/>
    <s v="CLA"/>
    <n v="7"/>
    <n v="-1"/>
    <n v="-1"/>
    <n v="-1"/>
    <n v="-1"/>
    <n v="-1"/>
    <n v="-1"/>
    <n v="-1"/>
    <n v="-1"/>
    <n v="7"/>
    <n v="2.4441729914015"/>
    <n v="-1"/>
    <n v="-1"/>
    <n v="-1"/>
    <n v="1.859"/>
    <n v="2.528"/>
    <n v="2.6120000000000001"/>
    <n v="1.923"/>
    <n v="2.492"/>
    <n v="1.6559999999999999"/>
    <n v="1.6459999999999999"/>
    <m/>
    <m/>
    <m/>
    <m/>
    <m/>
    <m/>
    <m/>
    <m/>
    <m/>
    <m/>
    <m/>
    <m/>
    <m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.291666415064356"/>
    <n v="203.57924146052369"/>
    <n v="61.922332693167803"/>
    <n v="117.72195323463301"/>
    <n v="126.045491047995"/>
    <n v="66.461492195375698"/>
    <n v="114.245415943173"/>
    <n v="48.628343814269201"/>
    <n v="48.016635976836803"/>
    <m/>
    <m/>
    <m/>
    <m/>
    <m/>
    <m/>
    <m/>
    <m/>
    <m/>
    <m/>
    <m/>
    <m/>
    <m/>
    <m/>
  </r>
  <r>
    <x v="13"/>
    <s v="CECPENG"/>
    <s v="CLA"/>
    <n v="3422"/>
    <n v="-1"/>
    <n v="-1"/>
    <n v="-1"/>
    <n v="-1"/>
    <n v="-1"/>
    <n v="-1"/>
    <n v="-1"/>
    <n v="-1"/>
    <n v="3422"/>
    <n v="1194.85142522513"/>
    <n v="-1"/>
    <n v="-1"/>
    <n v="-1"/>
    <n v="0.88"/>
    <n v="0.64400000000000002"/>
    <n v="0.68400000000000005"/>
    <n v="1.52"/>
    <n v="0.76300000000000001"/>
    <n v="0.95499999999999996"/>
    <n v="0.63100000000000001"/>
    <n v="1.2889999999999999"/>
    <n v="0.88400000000000001"/>
    <n v="1.133"/>
    <n v="0.79200000000000004"/>
    <n v="0.68899999999999995"/>
    <n v="0.749"/>
    <n v="0.76900000000000002"/>
    <n v="0.78900000000000003"/>
    <n v="1.2150000000000001"/>
    <n v="1.0740000000000001"/>
    <n v="1.145"/>
    <n v="1.157"/>
    <n v="1.173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6684511691869015"/>
    <n v="1993.5512574215038"/>
    <n v="1.1129971959192699"/>
    <n v="0.43895054431331698"/>
    <n v="0.52529454435217504"/>
    <n v="5.6732196601630296"/>
    <n v="0.72754327429461396"/>
    <n v="1.42018772455428"/>
    <n v="0.41306956539432599"/>
    <n v="3.4712780400138299"/>
    <n v="1.12814119181714"/>
    <n v="2.3634196311292901"/>
    <n v="0.81308649615430095"/>
    <n v="0.53682037172033803"/>
    <n v="0.68848030940738303"/>
    <n v="0.74472545727896899"/>
    <n v="0.80394284933522897"/>
    <n v="2.9105362682925402"/>
    <n v="2.0152478460147201"/>
    <n v="2.4387992762300201"/>
    <n v="2.5157594739275102"/>
    <n v="2.6275236634257499"/>
    <m/>
  </r>
  <r>
    <x v="13"/>
    <s v="DAPGALEM"/>
    <s v="CLA"/>
    <n v="-1"/>
    <n v="8"/>
    <n v="-1"/>
    <n v="-1"/>
    <n v="-1"/>
    <n v="8"/>
    <n v="-1"/>
    <n v="-1"/>
    <n v="-1"/>
    <n v="1365.3333333333301"/>
    <n v="476.73012251335803"/>
    <n v="-1"/>
    <n v="-1"/>
    <n v="-1"/>
    <n v="0.82499999999999996"/>
    <n v="1.008"/>
    <n v="0.72799999999999998"/>
    <n v="1.006"/>
    <n v="0.54600000000000004"/>
    <n v="0.746"/>
    <n v="0.74199999999999999"/>
    <n v="0.59399999999999997"/>
    <n v="1.095"/>
    <n v="0.56399999999999995"/>
    <n v="0.80600000000000005"/>
    <n v="0.72099999999999997"/>
    <n v="0.59099999999999997"/>
    <n v="1.0309999999999999"/>
    <n v="0.88200000000000001"/>
    <n v="0.83099999999999996"/>
    <m/>
    <m/>
    <m/>
    <m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n v="2.8967811139447543"/>
    <n v="1380.9828153452645"/>
    <n v="2.87675759508971"/>
    <n v="5.0816174257155904"/>
    <n v="2.0166344026673602"/>
    <n v="5.0530351551290904"/>
    <n v="0.89084297537114898"/>
    <n v="2.1614854902101599"/>
    <n v="2.1287327684586601"/>
    <n v="1.13169020822413"/>
    <n v="6.4285074708230798"/>
    <n v="0.97680238156912702"/>
    <n v="2.6925611375715"/>
    <n v="1.96205061326185"/>
    <n v="1.11553320026563"/>
    <n v="5.4178710457444597"/>
    <n v="3.4778018668285502"/>
    <n v="2.9365740861860199"/>
    <m/>
    <m/>
    <m/>
    <m/>
    <m/>
  </r>
  <r>
    <x v="13"/>
    <s v="DIPBIRG"/>
    <s v="CLA"/>
    <n v="-1"/>
    <n v="1"/>
    <n v="-1"/>
    <n v="-1"/>
    <n v="-1"/>
    <n v="0"/>
    <n v="-1"/>
    <n v="-1"/>
    <n v="-1"/>
    <n v="85.3333333333333"/>
    <n v="29.795632657084901"/>
    <n v="-1"/>
    <n v="-1"/>
    <n v="-1"/>
    <n v="0.636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916885740825508"/>
    <n v="27.319190722155991"/>
    <n v="0.916885740825508"/>
    <m/>
    <m/>
    <m/>
    <m/>
    <m/>
    <m/>
    <m/>
    <m/>
    <m/>
    <m/>
    <m/>
    <m/>
    <m/>
    <m/>
    <m/>
    <m/>
    <m/>
    <m/>
    <m/>
    <m/>
  </r>
  <r>
    <x v="13"/>
    <s v="EUBCORE"/>
    <s v="CLA"/>
    <n v="-1"/>
    <n v="4"/>
    <n v="-1"/>
    <n v="-1"/>
    <n v="-1"/>
    <n v="7"/>
    <n v="-1"/>
    <n v="-1"/>
    <n v="-1"/>
    <n v="938.66666666666697"/>
    <n v="327.75195922793398"/>
    <n v="-1"/>
    <n v="-1"/>
    <n v="-1"/>
    <n v="0.318"/>
    <n v="0.373"/>
    <n v="0.36399999999999999"/>
    <n v="0.51900000000000002"/>
    <n v="0.3"/>
    <n v="0.34"/>
    <n v="0.41399999999999998"/>
    <n v="0.45400000000000001"/>
    <n v="0.56599999999999995"/>
    <n v="0.41299999999999998"/>
    <n v="0.46400000000000002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.7088885108851117"/>
    <n v="560.09155754470191"/>
    <n v="0.82974997592986099"/>
    <n v="1.2423099951345"/>
    <n v="1.16786632408174"/>
    <n v="2.8653656500994602"/>
    <n v="0.716017124831829"/>
    <n v="0.98276186324897996"/>
    <n v="1.6174002204090201"/>
    <n v="2.0424806115949701"/>
    <n v="3.5680604685197599"/>
    <n v="1.60753436427573"/>
    <n v="2.1582270216103798"/>
    <m/>
    <m/>
    <m/>
    <m/>
    <m/>
    <m/>
    <m/>
    <m/>
    <m/>
    <m/>
  </r>
  <r>
    <x v="13"/>
    <s v="HOLGIBB"/>
    <s v="CLA"/>
    <n v="-1"/>
    <n v="128"/>
    <n v="-1"/>
    <n v="-1"/>
    <n v="-1"/>
    <n v="-1"/>
    <n v="-1"/>
    <n v="-1"/>
    <n v="-1"/>
    <n v="32768"/>
    <n v="11441.522940320599"/>
    <n v="-1"/>
    <n v="-1"/>
    <n v="-1"/>
    <n v="0.79900000000000004"/>
    <n v="0.42599999999999999"/>
    <n v="0.45200000000000001"/>
    <n v="0.65500000000000003"/>
    <n v="0.374"/>
    <n v="0.59699999999999998"/>
    <n v="0.56799999999999995"/>
    <n v="0.45800000000000002"/>
    <n v="0.35"/>
    <n v="0.88400000000000001"/>
    <n v="0.54900000000000004"/>
    <n v="0.49199999999999999"/>
    <n v="0.308"/>
    <n v="0.54100000000000004"/>
    <n v="0.84"/>
    <n v="0.33100000000000002"/>
    <n v="0.50900000000000001"/>
    <n v="0.48"/>
    <n v="0.23799999999999999"/>
    <n v="0.452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542602010948113"/>
    <n v="15494.799157989471"/>
    <n v="3.8852295839500099"/>
    <n v="0.52252741618424003"/>
    <n v="0.63122482126804902"/>
    <n v="2.0611149241829998"/>
    <n v="0.34494739694446103"/>
    <n v="1.5333827641084901"/>
    <n v="1.30816839325267"/>
    <n v="0.65834468815804104"/>
    <n v="0.27917049875803601"/>
    <n v="5.3638322405283203"/>
    <n v="1.1736219941927399"/>
    <n v="0.82729640823805894"/>
    <n v="0.18568176113647999"/>
    <n v="1.1199322132229299"/>
    <n v="4.5576753187183101"/>
    <n v="0.23363815128638599"/>
    <n v="0.92198145717019997"/>
    <n v="0.76463118806907704"/>
    <n v="8.1577981258674506E-2"/>
    <n v="0.63122482126804902"/>
    <m/>
  </r>
  <r>
    <x v="13"/>
    <s v="LETKIND"/>
    <s v="CLA"/>
    <n v="-1"/>
    <n v="1"/>
    <n v="-1"/>
    <n v="-1"/>
    <n v="-1"/>
    <n v="1"/>
    <n v="-1"/>
    <n v="2"/>
    <n v="-1"/>
    <n v="146.28571428571399"/>
    <n v="51.078227412145502"/>
    <n v="-1"/>
    <n v="-1"/>
    <n v="-1"/>
    <n v="1.76"/>
    <n v="1.583"/>
    <n v="2.266"/>
    <n v="2.044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899904687504947"/>
    <n v="132.29212215812709"/>
    <n v="1.9885144852771399"/>
    <n v="1.4983869382827499"/>
    <n v="3.9043962199134401"/>
    <n v="2.96866423152865"/>
    <m/>
    <m/>
    <m/>
    <m/>
    <m/>
    <m/>
    <m/>
    <m/>
    <m/>
    <m/>
    <m/>
    <m/>
    <m/>
    <m/>
    <m/>
    <m/>
    <m/>
  </r>
  <r>
    <x v="13"/>
    <s v="DIYTHOM"/>
    <s v="COP"/>
    <n v="-1"/>
    <n v="0"/>
    <n v="0"/>
    <n v="-1"/>
    <n v="-1"/>
    <n v="0"/>
    <n v="1"/>
    <n v="-1"/>
    <n v="-1"/>
    <n v="85.3333333333333"/>
    <n v="29.795632657084901"/>
    <n v="-1"/>
    <n v="-1"/>
    <n v="-1"/>
    <n v="1.0129999999999999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360287650909799"/>
    <n v="164.94947946370621"/>
    <n v="5.5360287650909799"/>
    <m/>
    <m/>
    <m/>
    <m/>
    <m/>
    <m/>
    <m/>
    <m/>
    <m/>
    <m/>
    <m/>
    <m/>
    <m/>
    <m/>
    <m/>
    <m/>
    <m/>
    <m/>
    <m/>
    <m/>
  </r>
  <r>
    <x v="13"/>
    <s v="LEOMINU"/>
    <s v="COP"/>
    <n v="-1"/>
    <n v="0"/>
    <n v="0"/>
    <n v="-1"/>
    <n v="-1"/>
    <n v="0"/>
    <n v="2"/>
    <n v="-1"/>
    <n v="-1"/>
    <n v="170.666666666667"/>
    <n v="59.591265314169803"/>
    <n v="-1"/>
    <n v="-1"/>
    <n v="-1"/>
    <n v="0.92300000000000004"/>
    <n v="0.99099999999999999"/>
    <m/>
    <m/>
    <m/>
    <m/>
    <m/>
    <m/>
    <m/>
    <m/>
    <m/>
    <m/>
    <m/>
    <m/>
    <m/>
    <m/>
    <m/>
    <m/>
    <m/>
    <m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875024244472751"/>
    <n v="261.45682104180082"/>
    <n v="3.9847458948394499"/>
    <n v="4.7902589540551004"/>
    <m/>
    <m/>
    <m/>
    <m/>
    <m/>
    <m/>
    <m/>
    <m/>
    <m/>
    <m/>
    <m/>
    <m/>
    <m/>
    <m/>
    <m/>
    <m/>
    <m/>
    <m/>
    <m/>
  </r>
  <r>
    <x v="13"/>
    <s v="SKIOREG"/>
    <s v="COP"/>
    <n v="-1"/>
    <n v="0"/>
    <n v="1"/>
    <n v="-1"/>
    <n v="-1"/>
    <n v="0"/>
    <n v="0"/>
    <n v="-1"/>
    <n v="-1"/>
    <n v="85.3333333333333"/>
    <n v="29.795632657084901"/>
    <n v="-1"/>
    <n v="-1"/>
    <n v="-1"/>
    <n v="0.98399999999999999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0311427412366"/>
    <n v="140.13226525608107"/>
    <n v="4.70311427412366"/>
    <m/>
    <m/>
    <m/>
    <m/>
    <m/>
    <m/>
    <m/>
    <m/>
    <m/>
    <m/>
    <m/>
    <m/>
    <m/>
    <m/>
    <m/>
    <m/>
    <m/>
    <m/>
    <m/>
    <m/>
  </r>
  <r>
    <x v="13"/>
    <s v="CYCCOPE"/>
    <s v="IMM"/>
    <n v="-1"/>
    <n v="2"/>
    <n v="-1"/>
    <n v="-1"/>
    <n v="-1"/>
    <n v="3"/>
    <n v="-1"/>
    <n v="-1"/>
    <n v="-1"/>
    <n v="426.66666666666703"/>
    <n v="148.97816328542399"/>
    <n v="-1"/>
    <n v="-1"/>
    <n v="-1"/>
    <n v="0.76900000000000002"/>
    <n v="0.56499999999999995"/>
    <n v="0.66500000000000004"/>
    <n v="0.46800000000000003"/>
    <n v="0.38500000000000001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76343762520354153"/>
    <n v="113.73553518580952"/>
    <n v="1.85377238770398"/>
    <n v="0.54520669196328497"/>
    <n v="1.0411918783659599"/>
    <n v="0.25811002724854298"/>
    <n v="0.11890714073594"/>
    <m/>
    <m/>
    <m/>
    <m/>
    <m/>
    <m/>
    <m/>
    <m/>
    <m/>
    <m/>
    <m/>
    <m/>
    <m/>
    <m/>
    <m/>
    <m/>
  </r>
  <r>
    <x v="13"/>
    <s v="DIACOPE"/>
    <s v="IMM"/>
    <n v="-1"/>
    <n v="1"/>
    <n v="-1"/>
    <n v="-1"/>
    <n v="-1"/>
    <n v="3"/>
    <n v="-1"/>
    <n v="-1"/>
    <n v="-1"/>
    <n v="341.33333333333297"/>
    <n v="119.18253062834"/>
    <n v="-1"/>
    <n v="-1"/>
    <n v="-1"/>
    <n v="0.625"/>
    <n v="0.64900000000000002"/>
    <n v="0.41499999999999998"/>
    <m/>
    <m/>
    <m/>
    <m/>
    <m/>
    <m/>
    <m/>
    <m/>
    <m/>
    <m/>
    <m/>
    <m/>
    <m/>
    <m/>
    <m/>
    <m/>
    <m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849143073354114"/>
    <n v="141.22108572596093"/>
    <n v="1.45163513480174"/>
    <n v="1.6004495582718401"/>
    <n v="0.50265822893265399"/>
    <m/>
    <m/>
    <m/>
    <m/>
    <m/>
    <m/>
    <m/>
    <m/>
    <m/>
    <m/>
    <m/>
    <m/>
    <m/>
    <m/>
    <m/>
    <m/>
    <m/>
    <m/>
  </r>
  <r>
    <x v="13"/>
    <s v="DREPOLYV"/>
    <s v="MOL"/>
    <n v="-1"/>
    <n v="-1"/>
    <n v="-1"/>
    <n v="-1"/>
    <n v="-1"/>
    <n v="-1"/>
    <n v="-1"/>
    <n v="-1"/>
    <n v="-1"/>
    <n v="58056"/>
    <n v="20271.2724555436"/>
    <n v="31"/>
    <n v="28"/>
    <n v="59"/>
    <n v="9.2999999999999999E-2"/>
    <n v="0.184"/>
    <n v="9.8000000000000004E-2"/>
    <n v="0.20599999999999999"/>
    <n v="9.1999999999999998E-2"/>
    <n v="8.5999999999999993E-2"/>
    <n v="0.186"/>
    <n v="0.10199999999999999"/>
    <n v="9.1999999999999998E-2"/>
    <n v="0.153"/>
    <n v="9.4E-2"/>
    <n v="0.111"/>
    <n v="8.8999999999999996E-2"/>
    <n v="8.2000000000000003E-2"/>
    <n v="0.189"/>
    <n v="0.16600000000000001"/>
    <n v="0.18099999999999999"/>
    <n v="8.5000000000000006E-2"/>
    <n v="9.0999999999999998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9805446051388707"/>
    <n v="6041.9431756670665"/>
    <n v="0.12727827420164603"/>
    <n v="0.62570300453344518"/>
    <n v="0.13891688780903549"/>
    <n v="0.91954209643110441"/>
    <n v="0.12507028069583967"/>
    <n v="0.11260384075721208"/>
    <n v="0.64799036334997595"/>
    <n v="0.14898949868956468"/>
    <n v="0.12507028069583967"/>
    <n v="0.36371690257748368"/>
    <n v="0.12952524767371265"/>
    <n v="0.17440424030734322"/>
    <n v="0.11867347627390945"/>
    <n v="0.10499112521969811"/>
    <n v="0.68291870413674205"/>
    <n v="0.45663109130522966"/>
    <n v="0.59370099954915723"/>
    <n v="0.11065041586454837"/>
    <n v="0.12290059094102512"/>
    <n v="0.1318118892652273"/>
    <m/>
  </r>
  <r>
    <x v="13"/>
    <s v="COPNAUP"/>
    <s v="NAU"/>
    <n v="-1"/>
    <n v="-1"/>
    <n v="-1"/>
    <n v="-1"/>
    <n v="-1"/>
    <n v="-1"/>
    <n v="-1"/>
    <n v="-1"/>
    <n v="-1"/>
    <n v="3936"/>
    <n v="1374.32355630804"/>
    <n v="3"/>
    <n v="1"/>
    <n v="4"/>
    <n v="0.21299999999999999"/>
    <n v="0.13800000000000001"/>
    <n v="0.13300000000000001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863086580423472E-2"/>
    <n v="128.99825095525705"/>
    <n v="0.17230114814102757"/>
    <n v="6.0797669266349663E-2"/>
    <n v="5.564434844158727E-2"/>
    <n v="8.6709180472729408E-2"/>
    <s v=""/>
    <s v=""/>
    <s v=""/>
    <s v=""/>
    <s v=""/>
    <s v=""/>
    <s v=""/>
    <s v=""/>
    <s v=""/>
    <s v=""/>
    <s v=""/>
    <s v=""/>
    <s v=""/>
    <s v=""/>
    <s v=""/>
    <s v=""/>
    <m/>
  </r>
  <r>
    <x v="13"/>
    <s v="ASCECAU"/>
    <s v="ROT"/>
    <n v="-1"/>
    <n v="-1"/>
    <n v="-1"/>
    <n v="-1"/>
    <n v="-1"/>
    <n v="-1"/>
    <n v="-1"/>
    <n v="-1"/>
    <n v="-1"/>
    <n v="1968"/>
    <n v="687.16177815402"/>
    <n v="0"/>
    <n v="2"/>
    <n v="2"/>
    <n v="0.152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498966000000001E-2"/>
    <n v="25.080694377343118"/>
    <n v="4.2141695999999999E-2"/>
    <n v="3.0856235999999999E-2"/>
    <m/>
    <m/>
    <m/>
    <m/>
    <m/>
    <m/>
    <m/>
    <m/>
    <m/>
    <m/>
    <m/>
    <m/>
    <m/>
    <m/>
    <m/>
    <m/>
    <m/>
    <m/>
    <m/>
  </r>
  <r>
    <x v="13"/>
    <s v="ASCOVAL"/>
    <s v="ROT"/>
    <n v="-1"/>
    <n v="-1"/>
    <n v="-1"/>
    <n v="-1"/>
    <n v="-1"/>
    <n v="-1"/>
    <n v="-1"/>
    <n v="-1"/>
    <n v="-1"/>
    <n v="29520"/>
    <n v="10307.426672310299"/>
    <n v="17"/>
    <n v="13"/>
    <n v="30"/>
    <n v="8.4000000000000005E-2"/>
    <n v="8.5999999999999993E-2"/>
    <n v="8.8999999999999996E-2"/>
    <n v="0.11"/>
    <n v="9.9000000000000005E-2"/>
    <n v="9.8000000000000004E-2"/>
    <n v="9.1999999999999998E-2"/>
    <n v="8.7999999999999995E-2"/>
    <n v="9.7000000000000003E-2"/>
    <n v="0.10100000000000001"/>
    <n v="0.1"/>
    <n v="0.10299999999999999"/>
    <n v="9.7000000000000003E-2"/>
    <n v="0.10100000000000001"/>
    <n v="8.7999999999999995E-2"/>
    <n v="0.10199999999999999"/>
    <n v="0.10100000000000001"/>
    <n v="9.7000000000000003E-2"/>
    <n v="8.8999999999999996E-2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38432600000001E-2"/>
    <n v="112.7470919345085"/>
    <n v="7.1124480000000004E-3"/>
    <n v="7.6326720000000001E-3"/>
    <n v="8.4596280000000003E-3"/>
    <n v="1.5972E-2"/>
    <n v="1.1643588E-2"/>
    <n v="1.1294304E-2"/>
    <n v="9.3442560000000004E-3"/>
    <n v="8.1776639999999994E-3"/>
    <n v="1.0952076E-2"/>
    <n v="1.2363612E-2"/>
    <n v="1.2E-2"/>
    <n v="1.3112723999999999E-2"/>
    <n v="1.0952076E-2"/>
    <n v="1.2363612E-2"/>
    <n v="8.1776639999999994E-3"/>
    <n v="1.2734496E-2"/>
    <n v="1.2363612E-2"/>
    <n v="1.0952076E-2"/>
    <n v="8.4596280000000003E-3"/>
    <n v="1.4700516E-2"/>
    <m/>
  </r>
  <r>
    <x v="13"/>
    <s v="ASPHERR"/>
    <s v="ROT"/>
    <n v="-1"/>
    <n v="-1"/>
    <n v="-1"/>
    <n v="-1"/>
    <n v="-1"/>
    <n v="-1"/>
    <n v="-1"/>
    <n v="-1"/>
    <n v="-1"/>
    <n v="1968"/>
    <n v="687.16177815402"/>
    <n v="0"/>
    <n v="2"/>
    <n v="2"/>
    <n v="9.5000000000000001E-2"/>
    <n v="0.89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1921975375"/>
    <n v="2212.1247702553965"/>
    <n v="7.69065375E-3"/>
    <n v="6.4307488537499999"/>
    <m/>
    <m/>
    <m/>
    <m/>
    <m/>
    <m/>
    <m/>
    <m/>
    <m/>
    <m/>
    <m/>
    <m/>
    <m/>
    <m/>
    <m/>
    <m/>
    <m/>
    <m/>
    <m/>
  </r>
  <r>
    <x v="13"/>
    <s v="ASPPRIO"/>
    <s v="ROT"/>
    <n v="-1"/>
    <n v="-1"/>
    <n v="-1"/>
    <n v="-1"/>
    <n v="-1"/>
    <n v="-1"/>
    <n v="-1"/>
    <n v="-1"/>
    <n v="-1"/>
    <n v="3936"/>
    <n v="1374.32355630804"/>
    <n v="2"/>
    <n v="2"/>
    <n v="4"/>
    <n v="0.64"/>
    <n v="0.49099999999999999"/>
    <n v="0.81699999999999995"/>
    <n v="0.51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825310265575004"/>
    <n v="3274.3685134327493"/>
    <n v="2.3514316800000001"/>
    <n v="1.06178581587"/>
    <n v="4.89168646161"/>
    <n v="1.2252201487500001"/>
    <m/>
    <m/>
    <m/>
    <m/>
    <m/>
    <m/>
    <m/>
    <m/>
    <m/>
    <m/>
    <m/>
    <m/>
    <m/>
    <m/>
    <m/>
    <m/>
    <m/>
  </r>
  <r>
    <x v="13"/>
    <s v="COLSP"/>
    <s v="ROT"/>
    <n v="-1"/>
    <n v="-1"/>
    <n v="-1"/>
    <n v="-1"/>
    <n v="-1"/>
    <n v="-1"/>
    <n v="-1"/>
    <n v="-1"/>
    <n v="-1"/>
    <n v="3936"/>
    <n v="1374.32355630804"/>
    <n v="1"/>
    <n v="3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999999999999997E-2"/>
    <n v="4.2999999999999997E-2"/>
    <n v="5.2999999999999999E-2"/>
    <n v="3.2000000000000001E-2"/>
    <m/>
    <m/>
    <m/>
    <m/>
    <m/>
    <m/>
    <m/>
    <m/>
    <m/>
    <m/>
    <m/>
    <m/>
    <m/>
    <m/>
    <m/>
    <m/>
    <n v="2.0993894999999999E-2"/>
    <n v="28.852404437157578"/>
    <n v="3.6968220000000003E-2"/>
    <n v="1.4311259999999999E-2"/>
    <n v="2.679786E-2"/>
    <n v="5.8982399999999999E-3"/>
    <m/>
    <m/>
    <m/>
    <m/>
    <m/>
    <m/>
    <m/>
    <m/>
    <m/>
    <m/>
    <m/>
    <m/>
    <m/>
    <m/>
    <m/>
    <m/>
    <m/>
  </r>
  <r>
    <x v="13"/>
    <s v="COOUNIC"/>
    <s v="ROT"/>
    <n v="-1"/>
    <n v="-1"/>
    <n v="-1"/>
    <n v="-1"/>
    <n v="-1"/>
    <n v="-1"/>
    <n v="-1"/>
    <n v="-1"/>
    <n v="-1"/>
    <n v="272568"/>
    <n v="95171.906274331806"/>
    <n v="148"/>
    <n v="129"/>
    <n v="277"/>
    <n v="7.4999999999999997E-2"/>
    <n v="0.124"/>
    <n v="0.17699999999999999"/>
    <n v="0.11"/>
    <n v="0.13200000000000001"/>
    <n v="0.122"/>
    <n v="0.123"/>
    <n v="0.127"/>
    <n v="0.108"/>
    <n v="0.11"/>
    <n v="0.108"/>
    <n v="0.122"/>
    <n v="0.109"/>
    <n v="9.7000000000000003E-2"/>
    <n v="0.19400000000000001"/>
    <n v="0.127"/>
    <n v="0.17199999999999999"/>
    <n v="8.6999999999999994E-2"/>
    <n v="0.115"/>
    <n v="8.3000000000000004E-2"/>
    <m/>
    <m/>
    <m/>
    <m/>
    <m/>
    <m/>
    <m/>
    <m/>
    <m/>
    <m/>
    <m/>
    <m/>
    <m/>
    <m/>
    <m/>
    <m/>
    <m/>
    <m/>
    <m/>
    <m/>
    <n v="6.9000000000000006E-2"/>
    <n v="5.8000000000000003E-2"/>
    <n v="5.5E-2"/>
    <n v="7.1999999999999995E-2"/>
    <n v="7.0999999999999994E-2"/>
    <n v="6.8000000000000005E-2"/>
    <n v="6.9000000000000006E-2"/>
    <n v="5.2999999999999999E-2"/>
    <n v="5.2999999999999999E-2"/>
    <n v="5.2999999999999999E-2"/>
    <n v="6.7000000000000004E-2"/>
    <n v="6.7000000000000004E-2"/>
    <n v="6.7000000000000004E-2"/>
    <n v="5.6000000000000001E-2"/>
    <n v="6.2E-2"/>
    <n v="6.2E-2"/>
    <n v="5.0999999999999997E-2"/>
    <n v="4.8000000000000001E-2"/>
    <n v="6.7000000000000004E-2"/>
    <n v="6.6000000000000003E-2"/>
    <n v="1.2024498199999999E-2"/>
    <n v="1144.3944156862715"/>
    <n v="9.2839499999999991E-3"/>
    <n v="1.0845535999999999E-2"/>
    <n v="1.3921050000000001E-2"/>
    <n v="1.4826239999999999E-2"/>
    <n v="1.7300711999999999E-2"/>
    <n v="1.4667328E-2"/>
    <n v="1.5225677999999999E-2"/>
    <n v="9.2753179999999994E-3"/>
    <n v="7.8876720000000001E-3"/>
    <n v="8.0337399999999993E-3"/>
    <n v="1.2605112E-2"/>
    <n v="1.4239108E-2"/>
    <n v="1.2721826E-2"/>
    <n v="7.9089920000000001E-3"/>
    <n v="1.9389136000000001E-2"/>
    <n v="1.2692887999999999E-2"/>
    <n v="1.1631671999999999E-2"/>
    <n v="5.2116480000000001E-3"/>
    <n v="1.3422109999999999E-2"/>
    <n v="9.4002479999999999E-3"/>
    <m/>
  </r>
  <r>
    <x v="13"/>
    <s v="GASSTYL"/>
    <s v="ROT"/>
    <n v="-1"/>
    <n v="-1"/>
    <n v="-1"/>
    <n v="-1"/>
    <n v="-1"/>
    <n v="-1"/>
    <n v="-1"/>
    <n v="-1"/>
    <n v="-1"/>
    <n v="15744"/>
    <n v="5497.29422523216"/>
    <n v="3"/>
    <n v="13"/>
    <n v="16"/>
    <n v="0.121"/>
    <n v="9.2999999999999999E-2"/>
    <n v="0.104"/>
    <n v="8.5999999999999993E-2"/>
    <n v="7.9000000000000001E-2"/>
    <n v="0.106"/>
    <n v="0.109"/>
    <n v="9.6000000000000002E-2"/>
    <n v="9.4E-2"/>
    <n v="0.1"/>
    <n v="0.1"/>
    <n v="8.4000000000000005E-2"/>
    <n v="0.122"/>
    <n v="0.125"/>
    <n v="0.107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393892499999996E-2"/>
    <n v="128.60311014595192"/>
    <n v="3.5431219999999999E-2"/>
    <n v="1.608714E-2"/>
    <n v="2.2497280000000001E-2"/>
    <n v="1.2721120000000001E-2"/>
    <n v="9.8607799999999995E-3"/>
    <n v="2.3820319999999999E-2"/>
    <n v="2.5900579999999999E-2"/>
    <n v="1.7694720000000001E-2"/>
    <n v="1.661168E-2"/>
    <n v="0.02"/>
    <n v="0.02"/>
    <n v="1.1854079999999999E-2"/>
    <n v="3.6316960000000002E-2"/>
    <n v="3.90625E-2"/>
    <n v="2.4500859999999999E-2"/>
    <n v="4.1943040000000001E-2"/>
    <m/>
    <m/>
    <m/>
    <m/>
    <m/>
  </r>
  <r>
    <x v="13"/>
    <s v="KELLONG"/>
    <s v="ROT"/>
    <n v="-1"/>
    <n v="-1"/>
    <n v="-1"/>
    <n v="-1"/>
    <n v="-1"/>
    <n v="-1"/>
    <n v="-1"/>
    <n v="-1"/>
    <n v="-1"/>
    <n v="33456"/>
    <n v="11681.750228618301"/>
    <n v="22"/>
    <n v="12"/>
    <n v="34"/>
    <n v="0.13300000000000001"/>
    <n v="0.161"/>
    <n v="0.13100000000000001"/>
    <n v="0.153"/>
    <n v="0.13"/>
    <n v="0.152"/>
    <n v="0.14599999999999999"/>
    <n v="0.14899999999999999"/>
    <n v="0.129"/>
    <n v="0.125"/>
    <n v="0.14599999999999999"/>
    <n v="0.13400000000000001"/>
    <n v="0.13500000000000001"/>
    <n v="0.121"/>
    <n v="0.13600000000000001"/>
    <n v="0.123"/>
    <n v="0.125"/>
    <n v="0.125"/>
    <n v="0.13"/>
    <n v="0.14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587282917499997E-3"/>
    <n v="91.803701018799671"/>
    <n v="7.1637796649999998E-3"/>
    <n v="1.2707640645000001E-2"/>
    <n v="6.8454370950000003E-3"/>
    <n v="1.0905901964999999E-2"/>
    <n v="6.6898649999999997E-3"/>
    <n v="1.069345536E-2"/>
    <n v="9.47645412E-3"/>
    <n v="1.0072704704999999E-2"/>
    <n v="6.5366680050000002E-3"/>
    <n v="5.9472656249999999E-3"/>
    <n v="9.47645412E-3"/>
    <n v="7.3265866800000003E-3"/>
    <n v="7.4918418750000004E-3"/>
    <n v="5.3944032450000002E-3"/>
    <n v="7.65956352E-3"/>
    <n v="5.6663400150000001E-3"/>
    <n v="5.9472656249999999E-3"/>
    <n v="5.9472656249999999E-3"/>
    <n v="6.6898649999999997E-3"/>
    <n v="8.5358079449999995E-3"/>
    <m/>
  </r>
  <r>
    <x v="13"/>
    <s v="KERCOCH"/>
    <s v="ROT"/>
    <n v="-1"/>
    <n v="-1"/>
    <n v="-1"/>
    <n v="-1"/>
    <n v="-1"/>
    <n v="-1"/>
    <n v="-1"/>
    <n v="-1"/>
    <n v="-1"/>
    <n v="8856"/>
    <n v="3092.2280016930899"/>
    <n v="5"/>
    <n v="4"/>
    <n v="9"/>
    <n v="8.5000000000000006E-2"/>
    <n v="9.7000000000000003E-2"/>
    <n v="7.6999999999999999E-2"/>
    <n v="8.5000000000000006E-2"/>
    <n v="0.1"/>
    <n v="9.1999999999999998E-2"/>
    <n v="8.5000000000000006E-2"/>
    <n v="7.4999999999999997E-2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93584444444445E-3"/>
    <n v="4.2034462462490723"/>
    <n v="1.22825E-3"/>
    <n v="1.825346E-3"/>
    <n v="9.1306600000000003E-4"/>
    <n v="1.22825E-3"/>
    <n v="2E-3"/>
    <n v="1.5573760000000001E-3"/>
    <n v="1.22825E-3"/>
    <n v="8.4374999999999999E-4"/>
    <n v="1.4099379999999999E-3"/>
    <m/>
    <m/>
    <m/>
    <m/>
    <m/>
    <m/>
    <m/>
    <m/>
    <m/>
    <m/>
    <m/>
    <m/>
  </r>
  <r>
    <x v="13"/>
    <s v="KERCOCHH"/>
    <s v="ROT"/>
    <n v="-1"/>
    <n v="-1"/>
    <n v="-1"/>
    <n v="-1"/>
    <n v="-1"/>
    <n v="-1"/>
    <n v="-1"/>
    <n v="-1"/>
    <n v="-1"/>
    <n v="984"/>
    <n v="343.58088907701"/>
    <n v="1"/>
    <n v="0"/>
    <n v="1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40598E-3"/>
    <n v="0.66675238618106747"/>
    <n v="1.940598E-3"/>
    <m/>
    <m/>
    <m/>
    <m/>
    <m/>
    <m/>
    <m/>
    <m/>
    <m/>
    <m/>
    <m/>
    <m/>
    <m/>
    <m/>
    <m/>
    <m/>
    <m/>
    <m/>
    <m/>
    <m/>
  </r>
  <r>
    <x v="13"/>
    <s v="KERCRAS"/>
    <s v="ROT"/>
    <n v="-1"/>
    <n v="-1"/>
    <n v="-1"/>
    <n v="-1"/>
    <n v="-1"/>
    <n v="-1"/>
    <n v="-1"/>
    <n v="-1"/>
    <n v="-1"/>
    <n v="38376"/>
    <n v="13399.654674003399"/>
    <n v="20"/>
    <n v="19"/>
    <n v="39"/>
    <n v="0.10299999999999999"/>
    <n v="0.115"/>
    <n v="0.122"/>
    <n v="0.126"/>
    <n v="0.11899999999999999"/>
    <n v="0.111"/>
    <n v="0.11700000000000001"/>
    <n v="0.115"/>
    <n v="0.124"/>
    <n v="0.13100000000000001"/>
    <n v="0.122"/>
    <n v="0.13"/>
    <n v="0.11600000000000001"/>
    <n v="0.14000000000000001"/>
    <n v="0.113"/>
    <n v="0.11799999999999999"/>
    <n v="0.113"/>
    <n v="0.125"/>
    <n v="0.12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384665999999994E-3"/>
    <n v="47.414230515494907"/>
    <n v="2.1854539999999999E-3"/>
    <n v="3.0417500000000002E-3"/>
    <n v="3.6316959999999998E-3"/>
    <n v="4.0007519999999998E-3"/>
    <n v="3.3703180000000002E-3"/>
    <n v="2.735262E-3"/>
    <n v="3.203226E-3"/>
    <n v="3.0417500000000002E-3"/>
    <n v="3.813248E-3"/>
    <n v="4.4961819999999996E-3"/>
    <n v="3.6316959999999998E-3"/>
    <n v="4.3940000000000003E-3"/>
    <n v="3.121792E-3"/>
    <n v="5.4879999999999998E-3"/>
    <n v="2.8857940000000001E-3"/>
    <n v="3.286064E-3"/>
    <n v="2.8857940000000001E-3"/>
    <n v="3.90625E-3"/>
    <n v="3.4559999999999999E-3"/>
    <n v="4.1943040000000003E-3"/>
    <m/>
  </r>
  <r>
    <x v="13"/>
    <s v="KEREARL"/>
    <s v="ROT"/>
    <n v="-1"/>
    <n v="-1"/>
    <n v="-1"/>
    <n v="-1"/>
    <n v="-1"/>
    <n v="-1"/>
    <n v="-1"/>
    <n v="-1"/>
    <n v="-1"/>
    <n v="1968"/>
    <n v="687.16177815402"/>
    <n v="0"/>
    <n v="2"/>
    <n v="2"/>
    <n v="0.108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170870000000001E-3"/>
    <n v="1.4547812674267597"/>
    <n v="2.5194240000000001E-3"/>
    <n v="1.7147499999999999E-3"/>
    <m/>
    <m/>
    <m/>
    <m/>
    <m/>
    <m/>
    <m/>
    <m/>
    <m/>
    <m/>
    <m/>
    <m/>
    <m/>
    <m/>
    <m/>
    <m/>
    <m/>
    <m/>
    <m/>
  </r>
  <r>
    <x v="13"/>
    <s v="PLOHUDS"/>
    <s v="ROT"/>
    <n v="-1"/>
    <n v="-1"/>
    <n v="-1"/>
    <n v="-1"/>
    <n v="-1"/>
    <n v="-1"/>
    <n v="-1"/>
    <n v="-1"/>
    <n v="-1"/>
    <n v="4920"/>
    <n v="1717.9044453850499"/>
    <n v="3"/>
    <n v="2"/>
    <n v="5"/>
    <n v="0.26200000000000001"/>
    <n v="0.32400000000000001"/>
    <n v="0.29799999999999999"/>
    <n v="0.35499999999999998"/>
    <n v="0.36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526056399999999"/>
    <n v="593.12465771174948"/>
    <n v="0.17984728"/>
    <n v="0.34012224000000002"/>
    <n v="0.26463592000000002"/>
    <n v="0.44738875"/>
    <n v="0.49430863000000003"/>
    <m/>
    <m/>
    <m/>
    <m/>
    <m/>
    <m/>
    <m/>
    <m/>
    <m/>
    <m/>
    <m/>
    <m/>
    <m/>
    <m/>
    <m/>
    <m/>
  </r>
  <r>
    <x v="13"/>
    <s v="PLOLENT"/>
    <s v="ROT"/>
    <n v="-1"/>
    <n v="-1"/>
    <n v="-1"/>
    <n v="-1"/>
    <n v="-1"/>
    <n v="-1"/>
    <n v="-1"/>
    <n v="-1"/>
    <n v="-1"/>
    <n v="984"/>
    <n v="343.58088907701"/>
    <n v="1"/>
    <n v="0"/>
    <n v="1"/>
    <n v="0.17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517759999999998E-2"/>
    <n v="18.731260451287053"/>
    <n v="5.4517759999999998E-2"/>
    <m/>
    <m/>
    <m/>
    <m/>
    <m/>
    <m/>
    <m/>
    <m/>
    <m/>
    <m/>
    <m/>
    <m/>
    <m/>
    <m/>
    <m/>
    <m/>
    <m/>
    <m/>
    <m/>
    <m/>
  </r>
  <r>
    <x v="13"/>
    <s v="PLOTRUN"/>
    <s v="ROT"/>
    <n v="-1"/>
    <n v="-1"/>
    <n v="-1"/>
    <n v="-1"/>
    <n v="-1"/>
    <n v="-1"/>
    <n v="-1"/>
    <n v="-1"/>
    <n v="-1"/>
    <n v="1968"/>
    <n v="687.16177815402"/>
    <n v="1"/>
    <n v="1"/>
    <n v="2"/>
    <n v="0.1390000000000000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891729999999999E-2"/>
    <n v="12.981674779205644"/>
    <n v="2.6856189999999999E-2"/>
    <n v="1.0927269999999999E-2"/>
    <m/>
    <m/>
    <m/>
    <m/>
    <m/>
    <m/>
    <m/>
    <m/>
    <m/>
    <m/>
    <m/>
    <m/>
    <m/>
    <m/>
    <m/>
    <m/>
    <m/>
    <m/>
    <m/>
  </r>
  <r>
    <x v="13"/>
    <s v="SYNSP"/>
    <s v="ROT"/>
    <n v="-1"/>
    <n v="-1"/>
    <n v="-1"/>
    <n v="-1"/>
    <n v="-1"/>
    <n v="-1"/>
    <n v="-1"/>
    <n v="-1"/>
    <n v="-1"/>
    <n v="10824"/>
    <n v="3779.3897798471098"/>
    <n v="7"/>
    <n v="4"/>
    <n v="11"/>
    <n v="0.14499999999999999"/>
    <n v="0.13700000000000001"/>
    <n v="0.155"/>
    <n v="0.14299999999999999"/>
    <n v="0.20599999999999999"/>
    <n v="0.14000000000000001"/>
    <n v="0.121"/>
    <n v="7.5999999999999998E-2"/>
    <n v="0.121"/>
    <n v="0.16600000000000001"/>
    <n v="0.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12899545454546E-2"/>
    <n v="132.7661663972047"/>
    <n v="3.0486249999999999E-2"/>
    <n v="2.5713529999999998E-2"/>
    <n v="3.7238750000000001E-2"/>
    <n v="2.9242069999999998E-2"/>
    <n v="8.7418159999999995E-2"/>
    <n v="2.7439999999999999E-2"/>
    <n v="1.771561E-2"/>
    <n v="4.3897600000000004E-3"/>
    <n v="1.771561E-2"/>
    <n v="4.5742959999999999E-2"/>
    <n v="6.3316250000000004E-2"/>
    <m/>
    <m/>
    <m/>
    <m/>
    <m/>
    <m/>
    <m/>
    <m/>
    <m/>
    <m/>
  </r>
  <r>
    <x v="13"/>
    <s v="TRIMULT"/>
    <s v="ROT"/>
    <n v="-1"/>
    <n v="-1"/>
    <n v="-1"/>
    <n v="-1"/>
    <n v="-1"/>
    <n v="-1"/>
    <n v="-1"/>
    <n v="-1"/>
    <n v="-1"/>
    <n v="36408"/>
    <n v="12712.4928958494"/>
    <n v="23"/>
    <n v="14"/>
    <n v="37"/>
    <n v="0.371"/>
    <n v="0.317"/>
    <n v="0.35699999999999998"/>
    <n v="0.248"/>
    <n v="0.32600000000000001"/>
    <n v="0.33200000000000002"/>
    <n v="0.36799999999999999"/>
    <n v="0.26900000000000002"/>
    <n v="0.29299999999999998"/>
    <n v="0.245"/>
    <n v="0.35"/>
    <n v="0.33600000000000002"/>
    <n v="0.29199999999999998"/>
    <n v="0.34300000000000003"/>
    <n v="0.307"/>
    <n v="0.24199999999999999"/>
    <n v="0.26200000000000001"/>
    <n v="0.191"/>
    <n v="0.189"/>
    <n v="0.36899999999999999"/>
    <m/>
    <m/>
    <m/>
    <m/>
    <m/>
    <m/>
    <m/>
    <m/>
    <m/>
    <m/>
    <m/>
    <m/>
    <m/>
    <m/>
    <m/>
    <m/>
    <m/>
    <m/>
    <m/>
    <m/>
    <n v="7.6999999999999999E-2"/>
    <n v="8.7999999999999995E-2"/>
    <n v="8.8999999999999996E-2"/>
    <n v="8.2000000000000003E-2"/>
    <n v="8.1000000000000003E-2"/>
    <n v="8.2000000000000003E-2"/>
    <n v="8.3000000000000004E-2"/>
    <n v="7.9000000000000001E-2"/>
    <n v="7.5999999999999998E-2"/>
    <n v="0.104"/>
    <n v="8.5000000000000006E-2"/>
    <n v="9.0999999999999998E-2"/>
    <n v="7.4999999999999997E-2"/>
    <n v="7.5999999999999998E-2"/>
    <n v="7.8E-2"/>
    <n v="7.6999999999999999E-2"/>
    <n v="6.7000000000000004E-2"/>
    <n v="7.8E-2"/>
    <n v="7.3999999999999996E-2"/>
    <n v="9.2999999999999999E-2"/>
    <n v="0.1069242266456"/>
    <n v="1359.2734716263813"/>
    <n v="0.115068561608"/>
    <n v="0.128418008576"/>
    <n v="0.14792771666400001"/>
    <n v="8.7232980224000001E-2"/>
    <n v="0.111889404432"/>
    <n v="0.116779634816"/>
    <n v="0.132618871424"/>
    <n v="8.7822902647999995E-2"/>
    <n v="8.8531154816000004E-2"/>
    <n v="0.13862261504000001"/>
    <n v="0.13228397"/>
    <n v="0.14555374579200001"/>
    <n v="8.5922460000000006E-2"/>
    <n v="0.103638860416"/>
    <n v="9.7707725856000002E-2"/>
    <n v="7.5058199216000002E-2"/>
    <n v="6.1525084815999997E-2"/>
    <n v="6.0788845728000002E-2"/>
    <n v="5.4141036768E-2"/>
    <n v="0.166952754072"/>
    <m/>
  </r>
  <r>
    <x v="14"/>
    <s v="BOSLONG"/>
    <s v="CLA"/>
    <n v="-1"/>
    <n v="7"/>
    <n v="-1"/>
    <n v="-1"/>
    <n v="-1"/>
    <n v="6"/>
    <n v="-1"/>
    <n v="-1"/>
    <n v="-1"/>
    <n v="277.33333333333297"/>
    <n v="95.895652677899406"/>
    <n v="-1"/>
    <n v="-1"/>
    <n v="-1"/>
    <n v="0.26"/>
    <n v="0.437"/>
    <n v="0.61399999999999999"/>
    <n v="0.34899999999999998"/>
    <n v="0.22500000000000001"/>
    <n v="0.35199999999999998"/>
    <n v="0.314"/>
    <n v="0.29399999999999998"/>
    <n v="0.22700000000000001"/>
    <n v="0.33800000000000002"/>
    <n v="0.32900000000000001"/>
    <n v="0.246"/>
    <n v="0.36399999999999999"/>
    <m/>
    <m/>
    <m/>
    <m/>
    <m/>
    <m/>
    <m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n v="1.11669076441879"/>
    <n v="107.08578969332227"/>
    <n v="0.49852759783592898"/>
    <n v="1.8544907457334101"/>
    <n v="4.3840208799095501"/>
    <n v="1.04991699361795"/>
    <n v="0.34580272058712702"/>
    <n v="1.0729008108743201"/>
    <n v="0.80359762501548704"/>
    <n v="0.68033902120397705"/>
    <n v="0.35363240419414799"/>
    <n v="0.96820180203853501"/>
    <n v="0.90429942924878204"/>
    <n v="0.43338358310331399"/>
    <n v="1.16786632408174"/>
    <m/>
    <m/>
    <m/>
    <m/>
    <m/>
    <m/>
    <m/>
    <m/>
  </r>
  <r>
    <x v="14"/>
    <s v="BYTLONG"/>
    <s v="CLA"/>
    <n v="79"/>
    <n v="-1"/>
    <n v="-1"/>
    <n v="-1"/>
    <n v="-1"/>
    <n v="-1"/>
    <n v="-1"/>
    <n v="-1"/>
    <n v="-1"/>
    <n v="79"/>
    <n v="27.316429909449699"/>
    <n v="-1"/>
    <n v="-1"/>
    <n v="-1"/>
    <n v="2.4319999999999999"/>
    <n v="2.6040000000000001"/>
    <n v="1.984"/>
    <n v="2.3650000000000002"/>
    <n v="2.8"/>
    <n v="1.6819999999999999"/>
    <n v="2.855"/>
    <n v="2.4820000000000002"/>
    <n v="2.6139999999999999"/>
    <n v="2.7090000000000001"/>
    <n v="2.8580000000000001"/>
    <n v="2.8130000000000002"/>
    <n v="2.9780000000000002"/>
    <n v="2.1480000000000001"/>
    <n v="2.0510000000000002"/>
    <n v="2.9590000000000001"/>
    <n v="3.5880000000000001"/>
    <n v="2.629"/>
    <n v="3.1819999999999999"/>
    <n v="2.373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29.25253023323532"/>
    <n v="3530.7176827352009"/>
    <n v="108.571852082486"/>
    <n v="125.239992163184"/>
    <n v="70.943967017369005"/>
    <n v="102.414270767867"/>
    <n v="145.75171354589401"/>
    <n v="50.237695116085099"/>
    <n v="151.79943638800799"/>
    <n v="113.28935339802"/>
    <n v="126.24728661577601"/>
    <n v="136.02671317944501"/>
    <n v="152.133001203997"/>
    <n v="147.16960492194599"/>
    <n v="165.78910728224599"/>
    <n v="83.753896851380603"/>
    <n v="76.043415312800605"/>
    <n v="163.58608580234599"/>
    <n v="244.73437369111099"/>
    <n v="127.766120707372"/>
    <n v="190.41306782249401"/>
    <n v="103.139650794879"/>
    <m/>
  </r>
  <r>
    <x v="14"/>
    <s v="CECPENG"/>
    <s v="CLA"/>
    <n v="3"/>
    <n v="-1"/>
    <n v="-1"/>
    <n v="-1"/>
    <n v="-1"/>
    <n v="-1"/>
    <n v="-1"/>
    <n v="-1"/>
    <n v="-1"/>
    <n v="3"/>
    <n v="1.0373327813715101"/>
    <n v="-1"/>
    <n v="-1"/>
    <n v="-1"/>
    <n v="1.353"/>
    <n v="2.2109999999999999"/>
    <n v="1.53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0420586860628358"/>
    <n v="9.379623886137983"/>
    <n v="4.0105426669632598"/>
    <n v="17.3304627840885"/>
    <n v="5.7851706071367497"/>
    <m/>
    <m/>
    <m/>
    <m/>
    <m/>
    <m/>
    <m/>
    <m/>
    <m/>
    <m/>
    <m/>
    <m/>
    <m/>
    <m/>
    <m/>
    <m/>
    <m/>
    <m/>
  </r>
  <r>
    <x v="14"/>
    <s v="CERSP"/>
    <s v="CLA"/>
    <n v="-1"/>
    <n v="2"/>
    <n v="-1"/>
    <n v="-1"/>
    <n v="-1"/>
    <n v="2"/>
    <n v="-1"/>
    <n v="-1"/>
    <n v="-1"/>
    <n v="85.3333333333333"/>
    <n v="29.506354670122899"/>
    <n v="-1"/>
    <n v="-1"/>
    <n v="-1"/>
    <n v="0.32500000000000001"/>
    <n v="0.443"/>
    <n v="0.55000000000000004"/>
    <n v="0.4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674488373040163"/>
    <n v="46.249701320764068"/>
    <n v="0.49145750426016499"/>
    <n v="1.3038424645972"/>
    <n v="2.5774832739114002"/>
    <n v="1.8970121064473"/>
    <m/>
    <m/>
    <m/>
    <m/>
    <m/>
    <m/>
    <m/>
    <m/>
    <m/>
    <m/>
    <m/>
    <m/>
    <m/>
    <m/>
    <m/>
    <m/>
    <m/>
  </r>
  <r>
    <x v="14"/>
    <s v="DAPGALEM"/>
    <s v="CLA"/>
    <n v="-1"/>
    <n v="5"/>
    <n v="-1"/>
    <n v="-1"/>
    <n v="-1"/>
    <n v="6"/>
    <n v="-1"/>
    <n v="-1"/>
    <n v="-1"/>
    <n v="234.666666666667"/>
    <n v="81.142475342837997"/>
    <n v="-1"/>
    <n v="-1"/>
    <n v="-1"/>
    <n v="0.503"/>
    <n v="0.83299999999999996"/>
    <n v="0.69399999999999995"/>
    <n v="1.123"/>
    <n v="0.67600000000000005"/>
    <n v="0.89600000000000002"/>
    <n v="0.751"/>
    <n v="0.59499999999999997"/>
    <n v="0.504"/>
    <n v="0.70899999999999996"/>
    <n v="0.54200000000000004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2.2175390865519415"/>
    <n v="179.93661065232041"/>
    <n v="0.70571139838156305"/>
    <n v="2.9566904495715902"/>
    <n v="1.7604956267774601"/>
    <n v="6.9064132686487403"/>
    <n v="1.6338894590884501"/>
    <n v="3.63687857908949"/>
    <n v="2.2028832240052298"/>
    <n v="1.1371093672316099"/>
    <n v="0.70970322379446105"/>
    <n v="1.8707224684938999"/>
    <n v="0.87243288698886901"/>
    <m/>
    <m/>
    <m/>
    <m/>
    <m/>
    <m/>
    <m/>
    <m/>
    <m/>
    <m/>
  </r>
  <r>
    <x v="14"/>
    <s v="DIPBIRG"/>
    <s v="CLA"/>
    <n v="-1"/>
    <n v="0"/>
    <n v="-1"/>
    <n v="-1"/>
    <n v="-1"/>
    <n v="1"/>
    <n v="-1"/>
    <n v="-1"/>
    <n v="-1"/>
    <n v="21.3333333333333"/>
    <n v="7.3765886675307302"/>
    <n v="-1"/>
    <n v="-1"/>
    <n v="-1"/>
    <n v="0.5280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2073013543403401"/>
    <n v="3.8412120158844378"/>
    <n v="0.52073013543403401"/>
    <m/>
    <m/>
    <m/>
    <m/>
    <m/>
    <m/>
    <m/>
    <m/>
    <m/>
    <m/>
    <m/>
    <m/>
    <m/>
    <m/>
    <m/>
    <m/>
    <m/>
    <m/>
    <m/>
    <m/>
  </r>
  <r>
    <x v="14"/>
    <s v="EUBCORE"/>
    <s v="CLA"/>
    <n v="-1"/>
    <n v="1"/>
    <n v="-1"/>
    <n v="-1"/>
    <n v="-1"/>
    <n v="0"/>
    <n v="-1"/>
    <n v="-1"/>
    <n v="-1"/>
    <n v="21.3333333333333"/>
    <n v="7.3765886675307302"/>
    <n v="-1"/>
    <n v="-1"/>
    <n v="-1"/>
    <n v="0.438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652460737612799"/>
    <n v="13.759153049863645"/>
    <n v="1.8652460737612799"/>
    <m/>
    <m/>
    <m/>
    <m/>
    <m/>
    <m/>
    <m/>
    <m/>
    <m/>
    <m/>
    <m/>
    <m/>
    <m/>
    <m/>
    <m/>
    <m/>
    <m/>
    <m/>
    <m/>
    <m/>
  </r>
  <r>
    <x v="14"/>
    <s v="LETKIND"/>
    <s v="CLA"/>
    <n v="-1"/>
    <n v="128"/>
    <n v="-1"/>
    <n v="-1"/>
    <n v="-1"/>
    <n v="-1"/>
    <n v="-1"/>
    <n v="-1"/>
    <n v="-1"/>
    <n v="8192"/>
    <n v="2832.6100483318"/>
    <n v="-1"/>
    <n v="-1"/>
    <n v="-1"/>
    <n v="1.248"/>
    <n v="1.175"/>
    <n v="1.716"/>
    <n v="2.3260000000000001"/>
    <n v="1.9379999999999999"/>
    <n v="1.764"/>
    <n v="1.819"/>
    <n v="1.827"/>
    <n v="1.8520000000000001"/>
    <n v="2.1440000000000001"/>
    <n v="1.7889999999999999"/>
    <n v="2.0939999999999999"/>
    <n v="1.5669999999999999"/>
    <n v="1.4770000000000001"/>
    <n v="1.782"/>
    <n v="1.3460000000000001"/>
    <n v="1.8140000000000001"/>
    <n v="1.8620000000000001"/>
    <n v="1.621"/>
    <n v="1.524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245216095664746"/>
    <n v="5734.680254322865"/>
    <n v="0.79415061900847395"/>
    <n v="0.67610016156571096"/>
    <n v="1.8585364494275001"/>
    <n v="4.1865652336102404"/>
    <n v="2.57184333032632"/>
    <n v="2.0006040635867102"/>
    <n v="2.1715170436673401"/>
    <n v="2.19711028611417"/>
    <n v="2.2783023532462998"/>
    <n v="3.3680621839134699"/>
    <n v="2.0772058890738001"/>
    <n v="3.16240628444372"/>
    <n v="1.4582908688406799"/>
    <n v="1.2452480157022101"/>
    <n v="2.0555757901570799"/>
    <n v="0.971762746153224"/>
    <n v="2.15561640836669"/>
    <n v="2.3112965578805702"/>
    <n v="1.59635907514954"/>
    <n v="1.3538788310957399"/>
    <m/>
  </r>
  <r>
    <x v="14"/>
    <s v="DIYTHOM"/>
    <s v="COP"/>
    <n v="-1"/>
    <n v="0"/>
    <n v="0"/>
    <n v="-1"/>
    <n v="-1"/>
    <n v="2"/>
    <n v="0"/>
    <n v="-1"/>
    <n v="-1"/>
    <n v="42.6666666666667"/>
    <n v="14.753177335061499"/>
    <n v="-1"/>
    <n v="-1"/>
    <n v="-1"/>
    <n v="0.98499999999999999"/>
    <n v="0.94799999999999995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038094819450706"/>
    <n v="67.920817703973242"/>
    <n v="4.9530267675108304"/>
    <n v="4.2545921963793099"/>
    <m/>
    <m/>
    <m/>
    <m/>
    <m/>
    <m/>
    <m/>
    <m/>
    <m/>
    <m/>
    <m/>
    <m/>
    <m/>
    <m/>
    <m/>
    <m/>
    <m/>
    <m/>
    <m/>
  </r>
  <r>
    <x v="14"/>
    <s v="EPILACU"/>
    <s v="COP"/>
    <n v="-1"/>
    <n v="1"/>
    <n v="0"/>
    <n v="-1"/>
    <n v="-1"/>
    <n v="0"/>
    <n v="2"/>
    <n v="1"/>
    <n v="2"/>
    <n v="54.857142857142897"/>
    <n v="18.9683708593647"/>
    <n v="-1"/>
    <n v="-1"/>
    <n v="-1"/>
    <n v="2.04"/>
    <n v="1.782"/>
    <n v="1.59"/>
    <n v="1.752"/>
    <n v="1.3660000000000001"/>
    <n v="1.544"/>
    <m/>
    <m/>
    <m/>
    <m/>
    <m/>
    <m/>
    <m/>
    <m/>
    <m/>
    <m/>
    <m/>
    <m/>
    <m/>
    <m/>
    <s v="F"/>
    <s v="M"/>
    <s v="M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388846757203932"/>
    <n v="367.77483582603486"/>
    <n v="31.079237829778702"/>
    <n v="21.896725218423899"/>
    <n v="16.298467777945"/>
    <n v="20.954704939641399"/>
    <n v="10.9988058891599"/>
    <n v="15.1051388882747"/>
    <m/>
    <m/>
    <m/>
    <m/>
    <m/>
    <m/>
    <m/>
    <m/>
    <m/>
    <m/>
    <m/>
    <m/>
    <m/>
    <m/>
    <m/>
  </r>
  <r>
    <x v="14"/>
    <s v="LEOMINU"/>
    <s v="COP"/>
    <n v="-1"/>
    <n v="21"/>
    <n v="35"/>
    <n v="-1"/>
    <n v="-1"/>
    <n v="-1"/>
    <n v="-1"/>
    <n v="-1"/>
    <n v="-1"/>
    <n v="3584"/>
    <n v="1239.26689614516"/>
    <n v="-1"/>
    <n v="-1"/>
    <n v="-1"/>
    <n v="0.95"/>
    <n v="0.94699999999999995"/>
    <n v="0.90200000000000002"/>
    <n v="0.75800000000000001"/>
    <n v="0.85199999999999998"/>
    <n v="0.873"/>
    <n v="1.0529999999999999"/>
    <n v="0.93400000000000005"/>
    <n v="0.97699999999999998"/>
    <n v="0.81499999999999995"/>
    <n v="0.94499999999999995"/>
    <n v="0.84399999999999997"/>
    <n v="0.96399999999999997"/>
    <n v="0.94499999999999995"/>
    <n v="0.96299999999999997"/>
    <n v="0.91700000000000004"/>
    <n v="0.81200000000000006"/>
    <n v="0.92400000000000004"/>
    <n v="0.91100000000000003"/>
    <n v="0.95399999999999996"/>
    <s v="M"/>
    <s v="M"/>
    <s v="M"/>
    <s v="M"/>
    <s v="M"/>
    <s v="M"/>
    <s v="F"/>
    <s v="F"/>
    <s v="F"/>
    <s v="M"/>
    <s v="F"/>
    <s v="M"/>
    <s v="F"/>
    <s v="F"/>
    <s v="M"/>
    <s v="M"/>
    <s v="M"/>
    <s v="M"/>
    <s v="M"/>
    <s v="F"/>
    <m/>
    <m/>
    <m/>
    <m/>
    <m/>
    <m/>
    <m/>
    <m/>
    <m/>
    <m/>
    <m/>
    <m/>
    <m/>
    <m/>
    <m/>
    <m/>
    <m/>
    <m/>
    <m/>
    <m/>
    <n v="3.9054992471935464"/>
    <n v="4839.9559299668053"/>
    <n v="4.2937065927586904"/>
    <n v="4.2586767024121999"/>
    <n v="3.7541632884141598"/>
    <n v="2.3926075498500601"/>
    <n v="3.2386705836821301"/>
    <n v="3.4494918041937002"/>
    <n v="5.6055432480105196"/>
    <n v="4.1089100654427"/>
    <n v="4.6169497336197898"/>
    <n v="2.8868647184920002"/>
    <n v="4.2354212405745804"/>
    <n v="3.1604954030863599"/>
    <n v="4.4595161806715797"/>
    <n v="4.2354212405745804"/>
    <n v="4.4475445794530604"/>
    <n v="3.9180033736273199"/>
    <n v="2.85942257745999"/>
    <n v="3.9959369923756198"/>
    <n v="3.85195160918293"/>
    <n v="4.3406874599889598"/>
    <m/>
  </r>
  <r>
    <x v="14"/>
    <s v="LEOSICI"/>
    <s v="COP"/>
    <n v="-1"/>
    <n v="0"/>
    <n v="4"/>
    <n v="-1"/>
    <n v="-1"/>
    <n v="0"/>
    <n v="2"/>
    <n v="-1"/>
    <n v="-1"/>
    <n v="128"/>
    <n v="44.259532005184397"/>
    <n v="-1"/>
    <n v="-1"/>
    <n v="-1"/>
    <n v="1.145"/>
    <n v="1.1080000000000001"/>
    <n v="1.139"/>
    <n v="1.149"/>
    <n v="1.115"/>
    <n v="1.1240000000000001"/>
    <m/>
    <m/>
    <m/>
    <m/>
    <m/>
    <m/>
    <m/>
    <m/>
    <m/>
    <m/>
    <m/>
    <m/>
    <m/>
    <m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323409793079181"/>
    <n v="297.97026104349328"/>
    <n v="6.9636099429390699"/>
    <n v="6.3956723335760799"/>
    <n v="6.86949278278757"/>
    <n v="7.0267920379897904"/>
    <n v="6.5008498123821097"/>
    <n v="6.6376289661728904"/>
    <m/>
    <m/>
    <m/>
    <m/>
    <m/>
    <m/>
    <m/>
    <m/>
    <m/>
    <m/>
    <m/>
    <m/>
    <m/>
    <m/>
    <m/>
  </r>
  <r>
    <x v="14"/>
    <s v="SKIOREG"/>
    <s v="COP"/>
    <n v="-1"/>
    <n v="3"/>
    <n v="5"/>
    <n v="-1"/>
    <n v="-1"/>
    <n v="14"/>
    <n v="15"/>
    <n v="-1"/>
    <n v="-1"/>
    <n v="789.33333333333303"/>
    <n v="272.93378069863701"/>
    <n v="-1"/>
    <n v="-1"/>
    <n v="-1"/>
    <n v="1.1180000000000001"/>
    <n v="1.1040000000000001"/>
    <n v="1.1839999999999999"/>
    <n v="1.377"/>
    <n v="1.1759999999999999"/>
    <n v="1.3859999999999999"/>
    <n v="0.98799999999999999"/>
    <n v="1.1419999999999999"/>
    <n v="1.161"/>
    <n v="1.18"/>
    <n v="1.2030000000000001"/>
    <n v="1.1240000000000001"/>
    <n v="1.1459999999999999"/>
    <n v="1.0960000000000001"/>
    <n v="1.0309999999999999"/>
    <n v="1.2889999999999999"/>
    <n v="1.2849999999999999"/>
    <n v="1.1379999999999999"/>
    <n v="1.3839999999999999"/>
    <n v="1.1419999999999999"/>
    <s v="M"/>
    <s v="M"/>
    <s v="M"/>
    <s v="F"/>
    <s v="M"/>
    <s v="F"/>
    <s v="M"/>
    <s v="F"/>
    <s v="M"/>
    <s v="F"/>
    <s v="M"/>
    <s v="M"/>
    <s v="M"/>
    <s v="F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7.7031668280688992"/>
    <n v="2102.4544457371721"/>
    <n v="6.5462486511235296"/>
    <n v="6.3360431510445698"/>
    <n v="7.5946739793821401"/>
    <n v="11.229673553059699"/>
    <n v="7.4624801604122801"/>
    <n v="11.4207596695109"/>
    <n v="4.7527909532622097"/>
    <n v="6.9164530838994196"/>
    <n v="7.2184453918647797"/>
    <n v="7.5283989446888597"/>
    <n v="7.9143672881413698"/>
    <n v="6.6376289661728904"/>
    <n v="6.9793726281280604"/>
    <n v="6.2178116387736697"/>
    <n v="5.3072331798134504"/>
    <n v="9.4641863325932807"/>
    <n v="9.3883079552064803"/>
    <n v="6.85388297594905"/>
    <n v="11.3781249744519"/>
    <n v="6.9164530838994196"/>
    <m/>
  </r>
  <r>
    <x v="14"/>
    <s v="TROPRASM"/>
    <s v="COP"/>
    <n v="-1"/>
    <n v="1"/>
    <n v="1"/>
    <n v="-1"/>
    <n v="-1"/>
    <n v="1"/>
    <n v="0"/>
    <n v="-1"/>
    <n v="-1"/>
    <n v="64"/>
    <n v="22.129766002592199"/>
    <n v="-1"/>
    <n v="-1"/>
    <n v="-1"/>
    <n v="0.56799999999999995"/>
    <n v="0.48199999999999998"/>
    <n v="0.46300000000000002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475909525052569"/>
    <n v="8.072033425211373"/>
    <n v="0.55679039234622396"/>
    <n v="0.29015200888001202"/>
    <n v="0.247334884525341"/>
    <m/>
    <m/>
    <m/>
    <m/>
    <m/>
    <m/>
    <m/>
    <m/>
    <m/>
    <m/>
    <m/>
    <m/>
    <m/>
    <m/>
    <m/>
    <m/>
    <m/>
    <m/>
  </r>
  <r>
    <x v="14"/>
    <s v="CYCCOPE"/>
    <s v="IMM"/>
    <n v="-1"/>
    <n v="2"/>
    <n v="-1"/>
    <n v="-1"/>
    <n v="-1"/>
    <n v="3"/>
    <n v="-1"/>
    <n v="-1"/>
    <n v="-1"/>
    <n v="106.666666666667"/>
    <n v="36.8829433376536"/>
    <n v="-1"/>
    <n v="-1"/>
    <n v="-1"/>
    <n v="0.81"/>
    <n v="0.51100000000000001"/>
    <n v="0.42099999999999999"/>
    <n v="0.58299999999999996"/>
    <n v="0.80500000000000005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08534783927719"/>
    <n v="41.709204766749089"/>
    <n v="2.27831812361593"/>
    <n v="0.36589781284170098"/>
    <n v="0.16956208978183299"/>
    <n v="0.61749437011290598"/>
    <n v="2.2229949956114901"/>
    <m/>
    <m/>
    <m/>
    <m/>
    <m/>
    <m/>
    <m/>
    <m/>
    <m/>
    <m/>
    <m/>
    <m/>
    <m/>
    <m/>
    <m/>
    <m/>
  </r>
  <r>
    <x v="14"/>
    <s v="DIACOPE"/>
    <s v="IMM"/>
    <n v="-1"/>
    <n v="55"/>
    <n v="-1"/>
    <n v="-1"/>
    <n v="-1"/>
    <n v="-1"/>
    <n v="-1"/>
    <n v="-1"/>
    <n v="-1"/>
    <n v="3520"/>
    <n v="1217.13713014257"/>
    <n v="-1"/>
    <n v="-1"/>
    <n v="-1"/>
    <n v="0.39800000000000002"/>
    <n v="0.63700000000000001"/>
    <n v="0.48899999999999999"/>
    <n v="0.91600000000000004"/>
    <n v="0.45400000000000001"/>
    <n v="0.54900000000000004"/>
    <n v="0.54700000000000004"/>
    <n v="1.087"/>
    <n v="0.64100000000000001"/>
    <n v="0.54800000000000004"/>
    <n v="0.50700000000000001"/>
    <n v="0.86399999999999999"/>
    <n v="0.78200000000000003"/>
    <n v="0.55100000000000005"/>
    <n v="0.79600000000000004"/>
    <n v="0.53800000000000003"/>
    <n v="0.64400000000000002"/>
    <n v="0.50600000000000001"/>
    <n v="0.86"/>
    <n v="0.4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804859606855193"/>
    <n v="2196.7616421979765"/>
    <n v="0.45105072258378298"/>
    <n v="1.5249280602927899"/>
    <n v="0.76884389704409295"/>
    <n v="3.9069468490230101"/>
    <n v="0.63431193808593"/>
    <n v="1.0375776263954899"/>
    <n v="1.02781606477645"/>
    <n v="6.08643159550539"/>
    <n v="1.54985305135717"/>
    <n v="1.0326897648953499"/>
    <n v="0.84430398851986499"/>
    <n v="3.35814016578956"/>
    <n v="2.5937834607625501"/>
    <n v="1.0473958944923401"/>
    <n v="2.7157705323466002"/>
    <n v="0.984587505419938"/>
    <n v="1.56870984702197"/>
    <n v="0.83999763795320703"/>
    <n v="3.31802164610263"/>
    <n v="0.80603188873574305"/>
    <m/>
  </r>
  <r>
    <x v="14"/>
    <s v="EPICOPE"/>
    <s v="IMM"/>
    <n v="-1"/>
    <n v="9"/>
    <n v="-1"/>
    <n v="-1"/>
    <n v="-1"/>
    <n v="14"/>
    <n v="-1"/>
    <n v="-1"/>
    <n v="-1"/>
    <n v="490.66666666666703"/>
    <n v="169.66153935320699"/>
    <n v="-1"/>
    <n v="-1"/>
    <n v="-1"/>
    <n v="0.52300000000000002"/>
    <n v="0.61499999999999999"/>
    <n v="0.88200000000000001"/>
    <n v="0.36"/>
    <n v="0.60099999999999998"/>
    <n v="0.82199999999999995"/>
    <n v="0.442"/>
    <n v="0.69899999999999995"/>
    <n v="0.59899999999999998"/>
    <n v="0.55300000000000005"/>
    <n v="0.42499999999999999"/>
    <n v="0.55000000000000004"/>
    <n v="0.55200000000000005"/>
    <n v="0.60699999999999998"/>
    <n v="0.54200000000000004"/>
    <n v="0.55400000000000005"/>
    <n v="0.50600000000000001"/>
    <n v="0.46600000000000003"/>
    <n v="0.57399999999999995"/>
    <n v="0.5719999999999999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2613934763730348"/>
    <n v="214.0099589315422"/>
    <n v="0.91505584696423203"/>
    <n v="1.39224214434552"/>
    <n v="3.5423532015269599"/>
    <n v="0.34781771945420698"/>
    <n v="1.3116353374643199"/>
    <n v="2.9515234200481499"/>
    <n v="0.59179583435430505"/>
    <n v="1.93965330787029"/>
    <n v="1.3003602826293501"/>
    <n v="1.0572709908590201"/>
    <n v="0.53463274537461503"/>
    <n v="1.0424796645179299"/>
    <n v="1.0523263315370399"/>
    <n v="1.3458198702219399"/>
    <n v="1.00365945066396"/>
    <n v="1.0622298876540099"/>
    <n v="0.83999763795320703"/>
    <n v="0.67865296439029199"/>
    <n v="1.1644209955027001"/>
    <n v="1.1539418941286499"/>
    <m/>
  </r>
  <r>
    <x v="14"/>
    <s v="HARCOPE"/>
    <s v="IMM"/>
    <n v="-1"/>
    <n v="1"/>
    <n v="-1"/>
    <n v="-1"/>
    <n v="-1"/>
    <n v="0"/>
    <n v="-1"/>
    <n v="-1"/>
    <n v="-1"/>
    <n v="21.3333333333333"/>
    <n v="7.3765886675307302"/>
    <n v="-1"/>
    <n v="-1"/>
    <n v="-1"/>
    <n v="0.45200000000000001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709995900955096"/>
    <n v="4.6258584510388392"/>
    <n v="0.62709995900955096"/>
    <m/>
    <m/>
    <m/>
    <m/>
    <m/>
    <m/>
    <m/>
    <m/>
    <m/>
    <m/>
    <m/>
    <m/>
    <m/>
    <m/>
    <m/>
    <m/>
    <m/>
    <m/>
    <m/>
    <m/>
  </r>
  <r>
    <x v="14"/>
    <s v="DREPOLYV"/>
    <s v="MOL"/>
    <n v="-1"/>
    <n v="-1"/>
    <n v="-1"/>
    <n v="-1"/>
    <n v="-1"/>
    <n v="-1"/>
    <n v="-1"/>
    <n v="-1"/>
    <n v="-1"/>
    <n v="23680"/>
    <n v="8188.0134209591097"/>
    <n v="6"/>
    <n v="4"/>
    <n v="10"/>
    <n v="0.16900000000000001"/>
    <n v="6.6000000000000003E-2"/>
    <n v="7.0000000000000007E-2"/>
    <n v="8.6999999999999994E-2"/>
    <n v="0.08"/>
    <n v="0.12"/>
    <n v="5.3999999999999999E-2"/>
    <n v="8.8999999999999996E-2"/>
    <n v="7.0999999999999994E-2"/>
    <n v="0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36805805566036"/>
    <n v="1176.4585219286669"/>
    <n v="0.48124467705129997"/>
    <n v="7.9350585438190013E-2"/>
    <n v="8.5104152069770483E-2"/>
    <n v="0.11459175145620078"/>
    <n v="0.1013799991711169"/>
    <n v="0.20415424781419131"/>
    <n v="6.4320334464708154E-2"/>
    <n v="0.11867347627390945"/>
    <n v="8.6606582655532005E-2"/>
    <n v="0.1013799991711169"/>
    <s v=""/>
    <s v=""/>
    <s v=""/>
    <s v=""/>
    <s v=""/>
    <s v=""/>
    <s v=""/>
    <s v=""/>
    <s v=""/>
    <s v=""/>
    <m/>
  </r>
  <r>
    <x v="14"/>
    <s v="COPNAUP"/>
    <s v="NAU"/>
    <n v="-1"/>
    <n v="-1"/>
    <n v="-1"/>
    <n v="-1"/>
    <n v="-1"/>
    <n v="-1"/>
    <n v="-1"/>
    <n v="-1"/>
    <n v="-1"/>
    <n v="71040"/>
    <n v="24564.040262877301"/>
    <n v="11"/>
    <n v="19"/>
    <n v="30"/>
    <n v="0.17100000000000001"/>
    <n v="0.14699999999999999"/>
    <n v="0.13"/>
    <n v="0.23300000000000001"/>
    <n v="0.11899999999999999"/>
    <n v="0.10100000000000001"/>
    <n v="0.106"/>
    <n v="0.13800000000000001"/>
    <n v="0.122"/>
    <n v="0.248"/>
    <n v="0.189"/>
    <n v="0.161"/>
    <n v="0.29499999999999998"/>
    <n v="0.27300000000000002"/>
    <n v="0.216"/>
    <n v="9.7000000000000003E-2"/>
    <n v="0.192"/>
    <n v="0.26800000000000002"/>
    <n v="0.32200000000000001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791870603595948"/>
    <n v="3879.1214533287935"/>
    <n v="0.10171096812044977"/>
    <n v="7.0752000921116026E-2"/>
    <n v="5.2679442313682365E-2"/>
    <n v="0.21371319331727137"/>
    <n v="4.2607870634685928E-2"/>
    <n v="2.8744080484255873E-2"/>
    <n v="3.2278340588934862E-2"/>
    <n v="6.0797669266349663E-2"/>
    <n v="4.5231471504872452E-2"/>
    <n v="0.24823393807328409"/>
    <n v="0.12932588325119743"/>
    <n v="8.8015513207260532E-2"/>
    <n v="0.37648697987647245"/>
    <n v="0.31258452664593761"/>
    <n v="0.1781829422348174"/>
    <n v="2.6087309181848019E-2"/>
    <n v="0.13430744025989136"/>
    <n v="0.29902026967587847"/>
    <n v="0.46454866379086579"/>
    <n v="0.25306561737011801"/>
    <m/>
  </r>
  <r>
    <x v="14"/>
    <s v="ASCECAU"/>
    <s v="ROT"/>
    <n v="-1"/>
    <n v="-1"/>
    <n v="-1"/>
    <n v="-1"/>
    <n v="-1"/>
    <n v="-1"/>
    <n v="-1"/>
    <n v="-1"/>
    <n v="-1"/>
    <n v="2368"/>
    <n v="818.80134209591097"/>
    <n v="0"/>
    <n v="1"/>
    <n v="1"/>
    <n v="7.5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677119999999999E-3"/>
    <n v="4.3132096553747354"/>
    <n v="5.2677119999999999E-3"/>
    <m/>
    <m/>
    <m/>
    <m/>
    <m/>
    <m/>
    <m/>
    <m/>
    <m/>
    <m/>
    <m/>
    <m/>
    <m/>
    <m/>
    <m/>
    <m/>
    <m/>
    <m/>
    <m/>
    <m/>
  </r>
  <r>
    <x v="14"/>
    <s v="ASCOVAL"/>
    <s v="ROT"/>
    <n v="-1"/>
    <n v="-1"/>
    <n v="-1"/>
    <n v="-1"/>
    <n v="-1"/>
    <n v="-1"/>
    <n v="-1"/>
    <n v="-1"/>
    <n v="-1"/>
    <n v="16576"/>
    <n v="5731.60939467137"/>
    <n v="5"/>
    <n v="2"/>
    <n v="7"/>
    <n v="0.13"/>
    <n v="0.11700000000000001"/>
    <n v="9.8000000000000004E-2"/>
    <n v="0.106"/>
    <n v="0.09"/>
    <n v="0.112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591514285714285E-2"/>
    <n v="89.364469757152861"/>
    <n v="2.6363999999999999E-2"/>
    <n v="1.9219356E-2"/>
    <n v="1.1294304E-2"/>
    <n v="1.4292192E-2"/>
    <n v="8.7480000000000006E-3"/>
    <n v="1.6859136E-2"/>
    <n v="1.2363612E-2"/>
    <m/>
    <m/>
    <m/>
    <m/>
    <m/>
    <m/>
    <m/>
    <m/>
    <m/>
    <m/>
    <m/>
    <m/>
    <m/>
    <m/>
  </r>
  <r>
    <x v="14"/>
    <s v="ASPPRIO"/>
    <s v="ROT"/>
    <n v="-1"/>
    <n v="-1"/>
    <n v="-1"/>
    <n v="-1"/>
    <n v="-1"/>
    <n v="-1"/>
    <n v="-1"/>
    <n v="-1"/>
    <n v="-1"/>
    <n v="2368"/>
    <n v="818.80134209591097"/>
    <n v="0"/>
    <n v="1"/>
    <n v="1"/>
    <n v="0.644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579715648"/>
    <n v="1961.6819271153913"/>
    <n v="2.39579715648"/>
    <m/>
    <m/>
    <m/>
    <m/>
    <m/>
    <m/>
    <m/>
    <m/>
    <m/>
    <m/>
    <m/>
    <m/>
    <m/>
    <m/>
    <m/>
    <m/>
    <m/>
    <m/>
    <m/>
    <m/>
  </r>
  <r>
    <x v="14"/>
    <s v="COLSP"/>
    <s v="ROT"/>
    <n v="-1"/>
    <n v="-1"/>
    <n v="-1"/>
    <n v="-1"/>
    <n v="-1"/>
    <n v="-1"/>
    <n v="-1"/>
    <n v="-1"/>
    <n v="-1"/>
    <n v="11840"/>
    <n v="4094.0067104795498"/>
    <n v="3"/>
    <n v="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000000000000003E-2"/>
    <n v="3.1E-2"/>
    <n v="0.03"/>
    <n v="3.5999999999999997E-2"/>
    <n v="2.7E-2"/>
    <m/>
    <m/>
    <m/>
    <m/>
    <m/>
    <m/>
    <m/>
    <m/>
    <m/>
    <m/>
    <m/>
    <m/>
    <m/>
    <m/>
    <m/>
    <n v="7.0998480000000006E-3"/>
    <n v="29.066825355384815"/>
    <n v="1.333584E-2"/>
    <n v="5.3623799999999999E-3"/>
    <n v="4.8599999999999997E-3"/>
    <n v="8.3980800000000005E-3"/>
    <n v="3.5429400000000001E-3"/>
    <m/>
    <m/>
    <m/>
    <m/>
    <m/>
    <m/>
    <m/>
    <m/>
    <m/>
    <m/>
    <m/>
    <m/>
    <m/>
    <m/>
    <m/>
    <m/>
  </r>
  <r>
    <x v="14"/>
    <s v="COOUNIC"/>
    <s v="ROT"/>
    <n v="-1"/>
    <n v="-1"/>
    <n v="-1"/>
    <n v="-1"/>
    <n v="-1"/>
    <n v="-1"/>
    <n v="-1"/>
    <n v="-1"/>
    <n v="-1"/>
    <n v="556480"/>
    <n v="192418.31539253899"/>
    <n v="117"/>
    <n v="118"/>
    <n v="235"/>
    <n v="0.19400000000000001"/>
    <n v="7.2999999999999995E-2"/>
    <n v="0.186"/>
    <n v="0.151"/>
    <n v="0.14799999999999999"/>
    <n v="0.158"/>
    <n v="0.126"/>
    <n v="0.129"/>
    <n v="0.17"/>
    <n v="0.13200000000000001"/>
    <n v="0.11700000000000001"/>
    <n v="0.106"/>
    <n v="0.15"/>
    <n v="0.157"/>
    <n v="7.1999999999999995E-2"/>
    <n v="0.17499999999999999"/>
    <n v="0.13200000000000001"/>
    <n v="0.152"/>
    <n v="0.122"/>
    <n v="0.182"/>
    <m/>
    <m/>
    <m/>
    <m/>
    <m/>
    <m/>
    <m/>
    <m/>
    <m/>
    <m/>
    <m/>
    <m/>
    <m/>
    <m/>
    <m/>
    <m/>
    <m/>
    <m/>
    <m/>
    <m/>
    <n v="5.3999999999999999E-2"/>
    <n v="5.5E-2"/>
    <n v="4.8000000000000001E-2"/>
    <n v="7.4999999999999997E-2"/>
    <n v="5.8000000000000003E-2"/>
    <n v="0.08"/>
    <n v="6.2E-2"/>
    <n v="6.7000000000000004E-2"/>
    <n v="7.3999999999999996E-2"/>
    <n v="6.2E-2"/>
    <n v="5.2999999999999999E-2"/>
    <n v="3.5000000000000003E-2"/>
    <n v="5.2999999999999999E-2"/>
    <n v="5.3999999999999999E-2"/>
    <n v="4.8000000000000001E-2"/>
    <n v="5.3999999999999999E-2"/>
    <n v="4.3999999999999997E-2"/>
    <n v="6.4000000000000001E-2"/>
    <n v="4.7E-2"/>
    <n v="4.9000000000000002E-2"/>
    <n v="1.2575874999999997E-2"/>
    <n v="2419.8286820871458"/>
    <n v="1.4708304E-2"/>
    <n v="5.7414500000000004E-3"/>
    <n v="1.1142144E-2"/>
    <n v="2.2083749999999999E-2"/>
    <n v="1.2944672000000001E-2"/>
    <n v="2.6291200000000001E-2"/>
    <n v="1.2592944E-2"/>
    <n v="1.5056106E-2"/>
    <n v="2.420392E-2"/>
    <n v="1.3192608E-2"/>
    <n v="8.5449779999999999E-3"/>
    <n v="3.3760999999999999E-3"/>
    <n v="1.0955100000000001E-2"/>
    <n v="1.1903112E-2"/>
    <n v="4.3130879999999996E-3"/>
    <n v="1.32678E-2"/>
    <n v="6.6443520000000001E-3"/>
    <n v="1.6187391999999998E-2"/>
    <n v="7.0069479999999998E-3"/>
    <n v="1.1361532000000001E-2"/>
    <m/>
  </r>
  <r>
    <x v="14"/>
    <s v="GASSTYL"/>
    <s v="ROT"/>
    <n v="-1"/>
    <n v="-1"/>
    <n v="-1"/>
    <n v="-1"/>
    <n v="-1"/>
    <n v="-1"/>
    <n v="-1"/>
    <n v="-1"/>
    <n v="-1"/>
    <n v="14208"/>
    <n v="4912.8080525754604"/>
    <n v="2"/>
    <n v="4"/>
    <n v="6"/>
    <n v="0.14799999999999999"/>
    <n v="9.7000000000000003E-2"/>
    <n v="0.10100000000000001"/>
    <n v="0.115"/>
    <n v="0.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738296666666672E-2"/>
    <n v="155.92415943902893"/>
    <n v="6.4835840000000006E-2"/>
    <n v="1.8253459999999999E-2"/>
    <n v="2.0606019999999999E-2"/>
    <n v="3.04175E-2"/>
    <n v="0.02"/>
    <n v="3.6316960000000002E-2"/>
    <m/>
    <m/>
    <m/>
    <m/>
    <m/>
    <m/>
    <m/>
    <m/>
    <m/>
    <m/>
    <m/>
    <m/>
    <m/>
    <m/>
    <m/>
  </r>
  <r>
    <x v="14"/>
    <s v="KELLONG"/>
    <s v="ROT"/>
    <n v="-1"/>
    <n v="-1"/>
    <n v="-1"/>
    <n v="-1"/>
    <n v="-1"/>
    <n v="-1"/>
    <n v="-1"/>
    <n v="-1"/>
    <n v="-1"/>
    <n v="9472"/>
    <n v="3275.2053683836398"/>
    <n v="1"/>
    <n v="3"/>
    <n v="4"/>
    <n v="0.151"/>
    <n v="0.14799999999999999"/>
    <n v="0.157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331219962500002E-3"/>
    <n v="29.912850192220706"/>
    <n v="1.0483785795000001E-2"/>
    <n v="9.8712566399999993E-3"/>
    <n v="1.1783824185E-2"/>
    <n v="4.3936213650000002E-3"/>
    <m/>
    <m/>
    <m/>
    <m/>
    <m/>
    <m/>
    <m/>
    <m/>
    <m/>
    <m/>
    <m/>
    <m/>
    <m/>
    <m/>
    <m/>
    <m/>
    <m/>
  </r>
  <r>
    <x v="14"/>
    <s v="KERCOCH"/>
    <s v="ROT"/>
    <n v="-1"/>
    <n v="-1"/>
    <n v="-1"/>
    <n v="-1"/>
    <n v="-1"/>
    <n v="-1"/>
    <n v="-1"/>
    <n v="-1"/>
    <n v="-1"/>
    <n v="44992"/>
    <n v="15557.2254998223"/>
    <n v="10"/>
    <n v="9"/>
    <n v="19"/>
    <n v="8.1000000000000003E-2"/>
    <n v="9.0999999999999998E-2"/>
    <n v="8.3000000000000004E-2"/>
    <n v="0.10100000000000001"/>
    <n v="7.8E-2"/>
    <n v="7.5999999999999998E-2"/>
    <n v="0.09"/>
    <n v="7.8E-2"/>
    <n v="9.5000000000000001E-2"/>
    <n v="0.10299999999999999"/>
    <n v="9.0999999999999998E-2"/>
    <n v="0.13100000000000001"/>
    <n v="0.11700000000000001"/>
    <n v="9.9000000000000005E-2"/>
    <n v="7.6999999999999999E-2"/>
    <n v="9.2999999999999999E-2"/>
    <n v="0.104"/>
    <n v="9.2999999999999999E-2"/>
    <n v="8.1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104640000000001E-3"/>
    <n v="26.61007415732805"/>
    <n v="1.062882E-3"/>
    <n v="1.5071419999999999E-3"/>
    <n v="1.1435740000000001E-3"/>
    <n v="2.0606019999999999E-3"/>
    <n v="9.4910399999999998E-4"/>
    <n v="8.7795199999999999E-4"/>
    <n v="1.4580000000000001E-3"/>
    <n v="9.4910399999999998E-4"/>
    <n v="1.7147499999999999E-3"/>
    <n v="2.1854539999999999E-3"/>
    <n v="1.5071419999999999E-3"/>
    <n v="4.4961819999999996E-3"/>
    <n v="3.203226E-3"/>
    <n v="1.940598E-3"/>
    <n v="9.1306600000000003E-4"/>
    <n v="1.608714E-3"/>
    <n v="2.2497279999999999E-3"/>
    <n v="1.608714E-3"/>
    <n v="1.062882E-3"/>
    <m/>
    <m/>
  </r>
  <r>
    <x v="14"/>
    <s v="KERCOCHH"/>
    <s v="ROT"/>
    <n v="-1"/>
    <n v="-1"/>
    <n v="-1"/>
    <n v="-1"/>
    <n v="-1"/>
    <n v="-1"/>
    <n v="-1"/>
    <n v="-1"/>
    <n v="-1"/>
    <n v="2368"/>
    <n v="818.80134209591097"/>
    <n v="0"/>
    <n v="1"/>
    <n v="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854539999999999E-3"/>
    <n v="1.7894526682888769"/>
    <n v="2.1854539999999999E-3"/>
    <m/>
    <m/>
    <m/>
    <m/>
    <m/>
    <m/>
    <m/>
    <m/>
    <m/>
    <m/>
    <m/>
    <m/>
    <m/>
    <m/>
    <m/>
    <m/>
    <m/>
    <m/>
    <m/>
    <m/>
  </r>
  <r>
    <x v="14"/>
    <s v="KERCRAS"/>
    <s v="ROT"/>
    <n v="-1"/>
    <n v="-1"/>
    <n v="-1"/>
    <n v="-1"/>
    <n v="-1"/>
    <n v="-1"/>
    <n v="-1"/>
    <n v="-1"/>
    <n v="-1"/>
    <n v="85248"/>
    <n v="29476.8483154528"/>
    <n v="21"/>
    <n v="15"/>
    <n v="36"/>
    <n v="0.114"/>
    <n v="0.14699999999999999"/>
    <n v="0.112"/>
    <n v="0.104"/>
    <n v="0.125"/>
    <n v="0.14099999999999999"/>
    <n v="0.106"/>
    <n v="0.11"/>
    <n v="0.125"/>
    <n v="0.121"/>
    <n v="0.123"/>
    <n v="0.122"/>
    <n v="0.13500000000000001"/>
    <n v="0.115"/>
    <n v="0.14299999999999999"/>
    <n v="0.125"/>
    <n v="0.125"/>
    <n v="0.14000000000000001"/>
    <n v="0.112"/>
    <n v="0.13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513876E-3"/>
    <n v="116.47445292076108"/>
    <n v="2.963088E-3"/>
    <n v="6.3530460000000002E-3"/>
    <n v="2.8098559999999999E-3"/>
    <n v="2.2497279999999999E-3"/>
    <n v="3.90625E-3"/>
    <n v="5.6064419999999997E-3"/>
    <n v="2.3820320000000001E-3"/>
    <n v="2.6619999999999999E-3"/>
    <n v="3.90625E-3"/>
    <n v="3.5431220000000001E-3"/>
    <n v="3.721734E-3"/>
    <n v="3.6316959999999998E-3"/>
    <n v="4.9207499999999998E-3"/>
    <n v="3.0417500000000002E-3"/>
    <n v="5.8484139999999997E-3"/>
    <n v="3.90625E-3"/>
    <n v="3.90625E-3"/>
    <n v="5.4879999999999998E-3"/>
    <n v="2.8098559999999999E-3"/>
    <n v="5.3712380000000004E-3"/>
    <m/>
  </r>
  <r>
    <x v="14"/>
    <s v="PLOHUDS"/>
    <s v="ROT"/>
    <n v="-1"/>
    <n v="-1"/>
    <n v="-1"/>
    <n v="-1"/>
    <n v="-1"/>
    <n v="-1"/>
    <n v="-1"/>
    <n v="-1"/>
    <n v="-1"/>
    <n v="2368"/>
    <n v="818.80134209591097"/>
    <n v="1"/>
    <n v="0"/>
    <n v="1"/>
    <n v="0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683"/>
    <n v="161.16466816473817"/>
    <n v="0.19683"/>
    <m/>
    <m/>
    <m/>
    <m/>
    <m/>
    <m/>
    <m/>
    <m/>
    <m/>
    <m/>
    <m/>
    <m/>
    <m/>
    <m/>
    <m/>
    <m/>
    <m/>
    <m/>
    <m/>
    <m/>
  </r>
  <r>
    <x v="14"/>
    <s v="PLOTRUN"/>
    <s v="ROT"/>
    <n v="-1"/>
    <n v="-1"/>
    <n v="-1"/>
    <n v="-1"/>
    <n v="-1"/>
    <n v="-1"/>
    <n v="-1"/>
    <n v="-1"/>
    <n v="-1"/>
    <n v="7104"/>
    <n v="2456.4040262877302"/>
    <n v="1"/>
    <n v="2"/>
    <n v="3"/>
    <n v="0.1"/>
    <n v="9.8000000000000004E-2"/>
    <n v="0.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69680000000001E-2"/>
    <n v="26.209044911201669"/>
    <n v="0.01"/>
    <n v="9.4119200000000007E-3"/>
    <n v="1.259712E-2"/>
    <m/>
    <m/>
    <m/>
    <m/>
    <m/>
    <m/>
    <m/>
    <m/>
    <m/>
    <m/>
    <m/>
    <m/>
    <m/>
    <m/>
    <m/>
    <m/>
    <m/>
    <m/>
  </r>
  <r>
    <x v="14"/>
    <s v="POLREMA"/>
    <s v="ROT"/>
    <n v="-1"/>
    <n v="-1"/>
    <n v="-1"/>
    <n v="-1"/>
    <n v="-1"/>
    <n v="-1"/>
    <n v="-1"/>
    <n v="-1"/>
    <n v="-1"/>
    <n v="11840"/>
    <n v="4094.0067104795498"/>
    <n v="1"/>
    <n v="4"/>
    <n v="5"/>
    <n v="8.2000000000000003E-2"/>
    <n v="7.2999999999999995E-2"/>
    <n v="0.105"/>
    <n v="9.8000000000000004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52682639999995E-2"/>
    <n v="104.20345352786632"/>
    <n v="1.6982134400000001E-2"/>
    <n v="1.1981723600000001E-2"/>
    <n v="3.5654850000000002E-2"/>
    <n v="2.89887136E-2"/>
    <n v="3.3655991599999997E-2"/>
    <m/>
    <m/>
    <m/>
    <m/>
    <m/>
    <m/>
    <m/>
    <m/>
    <m/>
    <m/>
    <m/>
    <m/>
    <m/>
    <m/>
    <m/>
    <m/>
  </r>
  <r>
    <x v="14"/>
    <s v="POLSP"/>
    <s v="ROT"/>
    <n v="-1"/>
    <n v="-1"/>
    <n v="-1"/>
    <n v="-1"/>
    <n v="-1"/>
    <n v="-1"/>
    <n v="-1"/>
    <n v="-1"/>
    <n v="-1"/>
    <n v="33152"/>
    <n v="11463.2187893427"/>
    <n v="8"/>
    <n v="6"/>
    <n v="14"/>
    <n v="0.107"/>
    <n v="8.2000000000000003E-2"/>
    <n v="0.10299999999999999"/>
    <n v="0.104"/>
    <n v="0.13"/>
    <n v="0.1"/>
    <n v="0.13400000000000001"/>
    <n v="0.10299999999999999"/>
    <n v="0.10100000000000001"/>
    <n v="0.10100000000000001"/>
    <n v="9.2999999999999999E-2"/>
    <n v="0.107"/>
    <n v="8.8999999999999996E-2"/>
    <n v="0.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994768800000001E-2"/>
    <n v="424.0791288155491"/>
    <n v="3.7731324400000002E-2"/>
    <n v="1.6982134400000001E-2"/>
    <n v="3.3655991599999997E-2"/>
    <n v="3.4645811200000001E-2"/>
    <n v="6.7667599999999994E-2"/>
    <n v="3.0800000000000001E-2"/>
    <n v="7.4108003199999994E-2"/>
    <n v="3.3655991599999997E-2"/>
    <n v="3.1733270799999998E-2"/>
    <n v="3.1733270799999998E-2"/>
    <n v="2.47741956E-2"/>
    <n v="3.7731324400000002E-2"/>
    <n v="2.1713045199999999E-2"/>
    <n v="4.0994799999999998E-2"/>
    <m/>
    <m/>
    <m/>
    <m/>
    <m/>
    <m/>
    <m/>
  </r>
  <r>
    <x v="14"/>
    <s v="SYNSP"/>
    <s v="ROT"/>
    <n v="-1"/>
    <n v="-1"/>
    <n v="-1"/>
    <n v="-1"/>
    <n v="-1"/>
    <n v="-1"/>
    <n v="-1"/>
    <n v="-1"/>
    <n v="-1"/>
    <n v="4736"/>
    <n v="1637.6026841918199"/>
    <n v="1"/>
    <n v="1"/>
    <n v="2"/>
    <n v="0.113"/>
    <n v="0.17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011360000000004E-2"/>
    <n v="55.6970944290143"/>
    <n v="1.4428969999999999E-2"/>
    <n v="5.3593750000000002E-2"/>
    <m/>
    <m/>
    <m/>
    <m/>
    <m/>
    <m/>
    <m/>
    <m/>
    <m/>
    <m/>
    <m/>
    <m/>
    <m/>
    <m/>
    <m/>
    <m/>
    <m/>
    <m/>
    <m/>
  </r>
  <r>
    <x v="14"/>
    <s v="TRIMULT"/>
    <s v="ROT"/>
    <n v="-1"/>
    <n v="-1"/>
    <n v="-1"/>
    <n v="-1"/>
    <n v="-1"/>
    <n v="-1"/>
    <n v="-1"/>
    <n v="-1"/>
    <n v="-1"/>
    <n v="9472"/>
    <n v="3275.2053683836398"/>
    <n v="2"/>
    <n v="2"/>
    <n v="4"/>
    <n v="0.17"/>
    <n v="0.19700000000000001"/>
    <n v="0.30299999999999999"/>
    <n v="0.34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20689655172399E-2"/>
    <n v="8.6999999999999994E-2"/>
    <n v="0.10448275862068999"/>
    <n v="0.120344827586207"/>
    <m/>
    <m/>
    <m/>
    <m/>
    <m/>
    <m/>
    <m/>
    <m/>
    <m/>
    <m/>
    <m/>
    <m/>
    <m/>
    <m/>
    <m/>
    <m/>
    <n v="0.13650223633818531"/>
    <n v="447.07285725119687"/>
    <n v="3.05599115338882E-2"/>
    <n v="7.8002057016000007E-2"/>
    <n v="0.17303470387919101"/>
    <n v="0.26441227292366198"/>
    <m/>
    <m/>
    <m/>
    <m/>
    <m/>
    <m/>
    <m/>
    <m/>
    <m/>
    <m/>
    <m/>
    <m/>
    <m/>
    <m/>
    <m/>
    <m/>
    <m/>
  </r>
  <r>
    <x v="14"/>
    <s v="TRISP"/>
    <s v="ROT"/>
    <n v="-1"/>
    <n v="-1"/>
    <n v="-1"/>
    <n v="-1"/>
    <n v="-1"/>
    <n v="-1"/>
    <n v="-1"/>
    <n v="-1"/>
    <n v="-1"/>
    <n v="2368"/>
    <n v="818.80134209591097"/>
    <n v="0"/>
    <n v="1"/>
    <n v="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235294117647103E-2"/>
    <m/>
    <m/>
    <m/>
    <m/>
    <m/>
    <m/>
    <m/>
    <m/>
    <m/>
    <m/>
    <m/>
    <m/>
    <m/>
    <m/>
    <m/>
    <m/>
    <m/>
    <m/>
    <m/>
    <n v="9.9419951557093503E-3"/>
    <n v="8.1405189766058612"/>
    <n v="9.9419951557093503E-3"/>
    <m/>
    <m/>
    <m/>
    <m/>
    <m/>
    <m/>
    <m/>
    <m/>
    <m/>
    <m/>
    <m/>
    <m/>
    <m/>
    <m/>
    <m/>
    <m/>
    <m/>
    <m/>
    <m/>
    <m/>
  </r>
  <r>
    <x v="15"/>
    <s v="BOSLONG"/>
    <s v="CLA"/>
    <n v="-1"/>
    <n v="53"/>
    <n v="-1"/>
    <n v="-1"/>
    <n v="-1"/>
    <n v="-1"/>
    <n v="-1"/>
    <n v="-1"/>
    <n v="-1"/>
    <n v="13568"/>
    <n v="5685.0067109718002"/>
    <n v="-1"/>
    <n v="-1"/>
    <n v="-1"/>
    <n v="0.23499999999999999"/>
    <n v="0.28899999999999998"/>
    <n v="0.21299999999999999"/>
    <n v="0.27900000000000003"/>
    <n v="0.314"/>
    <n v="0.26100000000000001"/>
    <n v="0.29899999999999999"/>
    <n v="0.26300000000000001"/>
    <n v="0.30499999999999999"/>
    <n v="0.223"/>
    <n v="0.33400000000000002"/>
    <n v="0.27700000000000002"/>
    <n v="0.33"/>
    <n v="0.24099999999999999"/>
    <n v="0.30599999999999999"/>
    <n v="0.20499999999999999"/>
    <n v="0.34499999999999997"/>
    <n v="0.27300000000000002"/>
    <n v="0.28499999999999998"/>
    <n v="0.30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62034654646282528"/>
    <n v="3526.6742797693414"/>
    <n v="0.386018684580413"/>
    <n v="0.65144563297581304"/>
    <n v="0.30102809594482799"/>
    <n v="0.595916306080575"/>
    <n v="0.80359762501548704"/>
    <n v="0.50339293784214301"/>
    <n v="0.70999410262278095"/>
    <n v="0.51320949009263905"/>
    <n v="0.74659526022016598"/>
    <n v="0.33807880018450098"/>
    <n v="0.93947493121896597"/>
    <n v="0.58516784102181196"/>
    <n v="0.91126964277005995"/>
    <n v="0.41144307076181802"/>
    <n v="0.75280387152912998"/>
    <n v="0.27323976515410697"/>
    <n v="1.0197388032564401"/>
    <n v="0.56402471134249299"/>
    <n v="0.628874710985174"/>
    <n v="0.77161664565715904"/>
    <m/>
  </r>
  <r>
    <x v="15"/>
    <s v="BYTLONG"/>
    <s v="CLA"/>
    <n v="42"/>
    <n v="-1"/>
    <n v="-1"/>
    <n v="-1"/>
    <n v="-1"/>
    <n v="-1"/>
    <n v="-1"/>
    <n v="-1"/>
    <n v="-1"/>
    <n v="42"/>
    <n v="17.598045538090801"/>
    <n v="-1"/>
    <n v="-1"/>
    <n v="-1"/>
    <n v="1.879"/>
    <n v="2.585"/>
    <n v="1.83"/>
    <n v="2.4809999999999999"/>
    <n v="2.532"/>
    <n v="2.5649999999999999"/>
    <n v="2.76"/>
    <n v="3.0539999999999998"/>
    <n v="1.89"/>
    <n v="3.3929999999999998"/>
    <n v="2.1800000000000002"/>
    <n v="3.1640000000000001"/>
    <n v="2.9649999999999999"/>
    <n v="2.1070000000000002"/>
    <n v="1.887"/>
    <n v="2.23"/>
    <n v="2.8929999999999998"/>
    <n v="1.7170000000000001"/>
    <n v="1.7529999999999999"/>
    <n v="2.347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11.75905783141759"/>
    <n v="1966.7409890114102"/>
    <n v="63.322835576695297"/>
    <n v="123.337723420402"/>
    <n v="59.920601091363501"/>
    <n v="113.19397758899601"/>
    <n v="118.11159099085801"/>
    <n v="121.351733879256"/>
    <n v="141.43385056921201"/>
    <n v="174.75502083021601"/>
    <n v="64.100077486236799"/>
    <n v="217.75776501499001"/>
    <n v="86.382835468441399"/>
    <n v="188.168800372231"/>
    <n v="164.28011643045099"/>
    <n v="80.447446423956194"/>
    <n v="63.8876119727298"/>
    <n v="90.575459837344795"/>
    <n v="156.052816042953"/>
    <n v="52.447319944845603"/>
    <n v="54.771872487795399"/>
    <n v="100.881701199378"/>
    <m/>
  </r>
  <r>
    <x v="15"/>
    <s v="DAPGALEM"/>
    <s v="CLA"/>
    <n v="-1"/>
    <n v="6"/>
    <n v="-1"/>
    <n v="-1"/>
    <n v="-1"/>
    <n v="13"/>
    <n v="-1"/>
    <n v="-1"/>
    <n v="-1"/>
    <n v="1621.3333333333301"/>
    <n v="679.34042458153601"/>
    <n v="-1"/>
    <n v="-1"/>
    <n v="-1"/>
    <n v="0.51700000000000002"/>
    <n v="1.1819999999999999"/>
    <n v="0.84099999999999997"/>
    <n v="0.76900000000000002"/>
    <n v="0.60499999999999998"/>
    <n v="0.80200000000000005"/>
    <n v="0.84099999999999997"/>
    <n v="0.53100000000000003"/>
    <n v="0.58799999999999997"/>
    <n v="0.90600000000000003"/>
    <n v="0.77100000000000002"/>
    <n v="0.60799999999999998"/>
    <n v="1.105"/>
    <n v="1.0409999999999999"/>
    <n v="0.60099999999999998"/>
    <n v="0.81299999999999994"/>
    <n v="0.42199999999999999"/>
    <n v="0.69899999999999995"/>
    <n v="0.74099999999999999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2.6699382867596646"/>
    <n v="1813.7970093338095"/>
    <n v="0.76293439931141005"/>
    <n v="7.9874414535220604"/>
    <n v="3.0380483587837799"/>
    <n v="2.3561604379831902"/>
    <n v="1.1922280035506201"/>
    <n v="2.6547844209943698"/>
    <n v="3.0380483587837799"/>
    <n v="0.82308084423420103"/>
    <n v="1.0995263978937"/>
    <n v="3.75334197655441"/>
    <n v="2.37360521864094"/>
    <n v="1.2090944276053599"/>
    <n v="6.5966421295374298"/>
    <n v="5.5684474598144797"/>
    <n v="1.1699776215784501"/>
    <n v="2.7595051186263899"/>
    <n v="0.42860912734662698"/>
    <n v="1.7967565370705301"/>
    <n v="2.1205951566019001"/>
    <m/>
    <m/>
  </r>
  <r>
    <x v="15"/>
    <s v="HOLGIBB"/>
    <s v="CLA"/>
    <n v="-1"/>
    <n v="0"/>
    <n v="-1"/>
    <n v="-1"/>
    <n v="-1"/>
    <n v="1"/>
    <n v="-1"/>
    <n v="0"/>
    <n v="-1"/>
    <n v="36.571428571428598"/>
    <n v="15.323468223643699"/>
    <n v="-1"/>
    <n v="-1"/>
    <n v="-1"/>
    <n v="0.53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88961347517101"/>
    <n v="16.072726590770529"/>
    <n v="1.0488961347517101"/>
    <m/>
    <m/>
    <m/>
    <m/>
    <m/>
    <m/>
    <m/>
    <m/>
    <m/>
    <m/>
    <m/>
    <m/>
    <m/>
    <m/>
    <m/>
    <m/>
    <m/>
    <m/>
    <m/>
    <m/>
  </r>
  <r>
    <x v="15"/>
    <s v="LETKIND"/>
    <s v="CLA"/>
    <n v="-1"/>
    <n v="12"/>
    <n v="-1"/>
    <n v="-1"/>
    <n v="-1"/>
    <n v="28"/>
    <n v="-1"/>
    <n v="-1"/>
    <n v="-1"/>
    <n v="3413.3333333333298"/>
    <n v="1430.1903675400799"/>
    <n v="-1"/>
    <n v="-1"/>
    <n v="-1"/>
    <n v="0.68899999999999995"/>
    <n v="2.5579999999999998"/>
    <n v="1.4650000000000001"/>
    <n v="3.363"/>
    <n v="4.2699999999999996"/>
    <n v="0.65900000000000003"/>
    <n v="2.395"/>
    <n v="2.4049999999999998"/>
    <n v="1.978"/>
    <n v="1.7470000000000001"/>
    <n v="2.3239999999999998"/>
    <n v="3.2440000000000002"/>
    <n v="0.53200000000000003"/>
    <n v="0.97899999999999998"/>
    <n v="1.359"/>
    <n v="2.0619999999999998"/>
    <n v="1.1659999999999999"/>
    <n v="2.0409999999999999"/>
    <n v="2.581"/>
    <n v="2.028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2011242780910916"/>
    <n v="6008.407475364651"/>
    <n v="0.16257555990131201"/>
    <n v="5.3964030373415701"/>
    <n v="1.2184182454250101"/>
    <n v="11.2039373481506"/>
    <n v="21.1959244173546"/>
    <n v="0.144355718554771"/>
    <n v="4.5264285383119498"/>
    <n v="4.5770662792278998"/>
    <n v="2.7160272496260198"/>
    <n v="1.9495392901025199"/>
    <n v="4.1769606720065804"/>
    <n v="10.1764380577173"/>
    <n v="8.1506828388247701E-2"/>
    <n v="0.41533614057127"/>
    <n v="0.99702462612591203"/>
    <n v="3.0350137334867102"/>
    <n v="0.66236147638646403"/>
    <n v="2.95318571132221"/>
    <n v="5.5269292853352603"/>
    <n v="2.9070533464856601"/>
    <m/>
  </r>
  <r>
    <x v="15"/>
    <s v="POYPEDI"/>
    <s v="CLA"/>
    <n v="-1"/>
    <n v="0"/>
    <n v="-1"/>
    <n v="-1"/>
    <n v="-1"/>
    <n v="1"/>
    <n v="-1"/>
    <n v="0"/>
    <n v="-1"/>
    <n v="36.571428571428598"/>
    <n v="15.323468223643699"/>
    <n v="-1"/>
    <n v="-1"/>
    <n v="-1"/>
    <n v="0.5170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986031814601501"/>
    <n v="59.740121967700837"/>
    <n v="3.8986031814601501"/>
    <m/>
    <m/>
    <m/>
    <m/>
    <m/>
    <m/>
    <m/>
    <m/>
    <m/>
    <m/>
    <m/>
    <m/>
    <m/>
    <m/>
    <m/>
    <m/>
    <m/>
    <m/>
    <m/>
    <m/>
  </r>
  <r>
    <x v="15"/>
    <s v="DIYTHOM"/>
    <s v="COP"/>
    <n v="-1"/>
    <n v="6"/>
    <n v="7"/>
    <n v="-1"/>
    <n v="-1"/>
    <n v="10"/>
    <n v="12"/>
    <n v="-1"/>
    <n v="-1"/>
    <n v="2986.6666666666702"/>
    <n v="1251.4165715975701"/>
    <n v="-1"/>
    <n v="-1"/>
    <n v="-1"/>
    <n v="0.73199999999999998"/>
    <n v="0.73499999999999999"/>
    <n v="0.82099999999999995"/>
    <n v="0.84899999999999998"/>
    <n v="0.73299999999999998"/>
    <n v="0.95699999999999996"/>
    <n v="0.90600000000000003"/>
    <n v="0.66300000000000003"/>
    <n v="0.73899999999999999"/>
    <n v="0.96899999999999997"/>
    <n v="0.82099999999999995"/>
    <n v="0.76700000000000002"/>
    <n v="0.874"/>
    <n v="0.85899999999999999"/>
    <n v="0.88"/>
    <n v="0.86499999999999999"/>
    <n v="0.85599999999999998"/>
    <n v="0.74199999999999999"/>
    <n v="0.77800000000000002"/>
    <n v="0.79500000000000004"/>
    <s v="M"/>
    <s v="M"/>
    <s v="M"/>
    <s v="F"/>
    <s v="M"/>
    <s v="F"/>
    <s v="F"/>
    <s v="M"/>
    <s v="M"/>
    <s v="F"/>
    <s v="F"/>
    <s v="M"/>
    <s v="F"/>
    <s v="F"/>
    <s v="F"/>
    <s v="F"/>
    <s v="F"/>
    <s v="M"/>
    <s v="M"/>
    <s v="M"/>
    <m/>
    <m/>
    <m/>
    <m/>
    <m/>
    <m/>
    <m/>
    <m/>
    <m/>
    <m/>
    <m/>
    <m/>
    <m/>
    <m/>
    <m/>
    <m/>
    <m/>
    <m/>
    <m/>
    <m/>
    <n v="2.4900722776527884"/>
    <n v="3116.1177127304049"/>
    <n v="1.52418552110988"/>
    <n v="1.54913610558212"/>
    <n v="2.4036496913128098"/>
    <n v="2.7459483887317799"/>
    <n v="1.53246872215157"/>
    <n v="4.41722206537513"/>
    <n v="3.5540847912740001"/>
    <n v="1.0288156162506501"/>
    <n v="1.5828773344521101"/>
    <n v="4.6412422265537403"/>
    <n v="2.4036496913128098"/>
    <n v="1.8347058040209601"/>
    <n v="3.0812662535889501"/>
    <n v="2.8766147326331"/>
    <n v="3.1661030665237901"/>
    <n v="2.95721422493411"/>
    <n v="2.8369369622679099"/>
    <n v="1.6085417734779901"/>
    <n v="1.94141258251266"/>
    <n v="2.1153699989897001"/>
    <m/>
  </r>
  <r>
    <x v="15"/>
    <s v="EPILACU"/>
    <s v="COP"/>
    <n v="-1"/>
    <n v="0"/>
    <n v="0"/>
    <n v="-1"/>
    <n v="-1"/>
    <n v="0"/>
    <n v="3"/>
    <n v="0"/>
    <n v="1"/>
    <n v="146.28571428571399"/>
    <n v="61.293872894574598"/>
    <n v="-1"/>
    <n v="-1"/>
    <n v="-1"/>
    <n v="1.383"/>
    <n v="1.589"/>
    <n v="1.369"/>
    <n v="1.393"/>
    <m/>
    <m/>
    <m/>
    <m/>
    <m/>
    <m/>
    <m/>
    <m/>
    <m/>
    <m/>
    <m/>
    <m/>
    <m/>
    <m/>
    <m/>
    <m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565251771970674"/>
    <n v="770.17294499949878"/>
    <n v="11.356844325426501"/>
    <n v="16.271931974397798"/>
    <n v="11.061477923098099"/>
    <n v="11.5707528649603"/>
    <m/>
    <m/>
    <m/>
    <m/>
    <m/>
    <m/>
    <m/>
    <m/>
    <m/>
    <m/>
    <m/>
    <m/>
    <m/>
    <m/>
    <m/>
    <m/>
    <m/>
  </r>
  <r>
    <x v="15"/>
    <s v="LEOMINU"/>
    <s v="COP"/>
    <n v="-1"/>
    <n v="10"/>
    <n v="7"/>
    <n v="-1"/>
    <n v="-1"/>
    <n v="19"/>
    <n v="13"/>
    <n v="-1"/>
    <n v="-1"/>
    <n v="4181.3333333333303"/>
    <n v="1751.9832002365899"/>
    <n v="-1"/>
    <n v="-1"/>
    <n v="-1"/>
    <n v="0.83899999999999997"/>
    <n v="0.872"/>
    <n v="0.97099999999999997"/>
    <n v="0.85"/>
    <n v="0.89100000000000001"/>
    <n v="0.77300000000000002"/>
    <n v="0.879"/>
    <n v="0.85899999999999999"/>
    <n v="0.89900000000000002"/>
    <n v="0.88700000000000001"/>
    <n v="0.91800000000000004"/>
    <n v="0.82599999999999996"/>
    <n v="0.84699999999999998"/>
    <n v="0.86"/>
    <n v="0.71899999999999997"/>
    <n v="0.98299999999999998"/>
    <n v="0.80100000000000005"/>
    <n v="0.85699999999999998"/>
    <n v="0.89500000000000002"/>
    <n v="0.875"/>
    <s v="M"/>
    <s v="F"/>
    <s v="F"/>
    <s v="M"/>
    <s v="M"/>
    <s v="M"/>
    <s v="F"/>
    <s v="F"/>
    <s v="F"/>
    <s v="F"/>
    <s v="F"/>
    <s v="M"/>
    <s v="M"/>
    <s v="M"/>
    <s v="F"/>
    <s v="F"/>
    <s v="F"/>
    <s v="F"/>
    <s v="F"/>
    <s v="F"/>
    <m/>
    <m/>
    <m/>
    <m/>
    <m/>
    <m/>
    <m/>
    <m/>
    <m/>
    <m/>
    <m/>
    <m/>
    <m/>
    <m/>
    <m/>
    <m/>
    <m/>
    <m/>
    <m/>
    <m/>
    <n v="3.4002302532357236"/>
    <n v="5957.1462806051941"/>
    <n v="3.1122301436175701"/>
    <n v="3.4392672341302801"/>
    <n v="4.5438714015847497"/>
    <n v="3.21901680413835"/>
    <n v="3.6367335216111498"/>
    <n v="2.5171732941777201"/>
    <n v="3.5112310849632"/>
    <n v="3.3080382347930102"/>
    <n v="3.7219096625647698"/>
    <n v="3.59459860631015"/>
    <n v="3.9290790859357299"/>
    <n v="2.9888667161500502"/>
    <n v="3.1896737109131599"/>
    <n v="3.31802164610263"/>
    <n v="2.0866809551444701"/>
    <n v="4.6907451414741397"/>
    <n v="2.7601738871727899"/>
    <n v="3.2881267857863699"/>
    <n v="3.6791702741140599"/>
    <n v="3.4699968740301101"/>
    <m/>
  </r>
  <r>
    <x v="15"/>
    <s v="SKIOREG"/>
    <s v="COP"/>
    <n v="-1"/>
    <n v="2"/>
    <n v="0"/>
    <n v="-1"/>
    <n v="-1"/>
    <n v="2"/>
    <n v="0"/>
    <n v="-1"/>
    <n v="-1"/>
    <n v="341.33333333333297"/>
    <n v="143.019036754007"/>
    <n v="-1"/>
    <n v="-1"/>
    <n v="-1"/>
    <n v="1.1819999999999999"/>
    <n v="1.0740000000000001"/>
    <n v="1.206"/>
    <n v="1.1080000000000001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556105756225399"/>
    <n v="994.78472456151985"/>
    <n v="7.5614918862098204"/>
    <n v="5.8996916678785301"/>
    <n v="7.9655864148257303"/>
    <n v="6.3956723335760799"/>
    <m/>
    <m/>
    <m/>
    <m/>
    <m/>
    <m/>
    <m/>
    <m/>
    <m/>
    <m/>
    <m/>
    <m/>
    <m/>
    <m/>
    <m/>
    <m/>
    <m/>
  </r>
  <r>
    <x v="15"/>
    <s v="CYCCOPE"/>
    <s v="IMM"/>
    <n v="-1"/>
    <n v="47"/>
    <n v="-1"/>
    <n v="-1"/>
    <n v="-1"/>
    <n v="-1"/>
    <n v="-1"/>
    <n v="-1"/>
    <n v="-1"/>
    <n v="12032"/>
    <n v="5041.4210455787597"/>
    <n v="-1"/>
    <n v="-1"/>
    <n v="-1"/>
    <n v="0.40200000000000002"/>
    <n v="0.501"/>
    <n v="0.36699999999999999"/>
    <n v="0.47199999999999998"/>
    <n v="0.36899999999999999"/>
    <n v="0.497"/>
    <n v="0.38900000000000001"/>
    <n v="0.82499999999999996"/>
    <n v="0.82399999999999995"/>
    <n v="0.40600000000000003"/>
    <n v="0.48699999999999999"/>
    <n v="0.78400000000000003"/>
    <n v="0.46"/>
    <n v="0.61599999999999999"/>
    <n v="0.38900000000000001"/>
    <n v="0.67900000000000005"/>
    <n v="0.502"/>
    <n v="0.67300000000000004"/>
    <n v="0.373"/>
    <n v="0.37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3222521303169155"/>
    <n v="3187.3134945234847"/>
    <n v="0.14115825166425999"/>
    <n v="0.33828645708800298"/>
    <n v="9.8322545827008598E-2"/>
    <n v="0.26697990521414"/>
    <n v="0.100467018374927"/>
    <n v="0.32769038847774401"/>
    <n v="0.123887861734121"/>
    <n v="2.4504791728531501"/>
    <n v="2.4387083787608899"/>
    <n v="0.14681728655058601"/>
    <n v="0.30228654440515801"/>
    <n v="2.0015369355845598"/>
    <n v="0.24103351366449599"/>
    <n v="0.76835914968136498"/>
    <n v="0.123887861734121"/>
    <n v="1.13097197610681"/>
    <n v="0.34097504629973002"/>
    <n v="1.0918139650465"/>
    <n v="0.104860736147531"/>
    <n v="0.10598126541873"/>
    <m/>
  </r>
  <r>
    <x v="15"/>
    <s v="DIACOPE"/>
    <s v="IMM"/>
    <n v="-1"/>
    <n v="40"/>
    <n v="-1"/>
    <n v="-1"/>
    <n v="-1"/>
    <n v="-1"/>
    <n v="-1"/>
    <n v="-1"/>
    <n v="-1"/>
    <n v="10240"/>
    <n v="4290.5711026202298"/>
    <n v="-1"/>
    <n v="-1"/>
    <n v="-1"/>
    <n v="0.42899999999999999"/>
    <n v="0.58899999999999997"/>
    <n v="0.40200000000000002"/>
    <n v="0.42"/>
    <n v="0.437"/>
    <n v="0.47299999999999998"/>
    <n v="0.76200000000000001"/>
    <n v="0.42099999999999999"/>
    <n v="0.42"/>
    <n v="0.80600000000000005"/>
    <n v="0.95599999999999996"/>
    <n v="0.38500000000000001"/>
    <n v="0.36799999999999999"/>
    <n v="0.38300000000000001"/>
    <n v="0.80900000000000005"/>
    <n v="0.42299999999999999"/>
    <n v="0.45500000000000002"/>
    <n v="0.439"/>
    <n v="0.84899999999999998"/>
    <n v="0.44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2128289802606687"/>
    <n v="5203.7289751267863"/>
    <n v="0.54776289855045701"/>
    <n v="1.2448781368701101"/>
    <n v="0.46288563546584799"/>
    <n v="0.51849418295900296"/>
    <n v="0.57461260408737302"/>
    <n v="0.70537259208184"/>
    <n v="2.4254459555178398"/>
    <n v="0.52169761877226095"/>
    <n v="0.51849418295900296"/>
    <n v="2.8050201443306699"/>
    <n v="4.36429568964504"/>
    <n v="0.41387721272915101"/>
    <n v="0.36819176989299701"/>
    <n v="0.40833165675504501"/>
    <n v="2.8321411696171599"/>
    <n v="0.52814087147043098"/>
    <n v="0.63793692926158996"/>
    <n v="0.58144860600090498"/>
    <n v="3.2092174423231201"/>
    <n v="0.58833430592352998"/>
    <m/>
  </r>
  <r>
    <x v="15"/>
    <s v="EPICOPE"/>
    <s v="IMM"/>
    <n v="-1"/>
    <n v="4"/>
    <n v="-1"/>
    <n v="-1"/>
    <n v="-1"/>
    <n v="3"/>
    <n v="-1"/>
    <n v="-1"/>
    <n v="-1"/>
    <n v="597.33333333333303"/>
    <n v="250.28331431951301"/>
    <n v="-1"/>
    <n v="-1"/>
    <n v="-1"/>
    <n v="0.84199999999999997"/>
    <n v="0.52800000000000002"/>
    <n v="1.226"/>
    <n v="0.66700000000000004"/>
    <n v="1.1379999999999999"/>
    <n v="0.73699999999999999"/>
    <n v="0.47199999999999998"/>
    <m/>
    <m/>
    <m/>
    <m/>
    <m/>
    <m/>
    <m/>
    <m/>
    <m/>
    <m/>
    <m/>
    <m/>
    <m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127601610130225"/>
    <n v="854.15692407593417"/>
    <n v="3.1411345751561801"/>
    <n v="0.93788607013383296"/>
    <n v="8.3122489927180805"/>
    <n v="1.7179643051337801"/>
    <n v="6.85388297594905"/>
    <n v="2.2246875264528501"/>
    <n v="0.701516681547385"/>
    <m/>
    <m/>
    <m/>
    <m/>
    <m/>
    <m/>
    <m/>
    <m/>
    <m/>
    <m/>
    <m/>
    <m/>
    <m/>
    <m/>
  </r>
  <r>
    <x v="15"/>
    <s v="DREPOLYV"/>
    <s v="MOL"/>
    <n v="-1"/>
    <n v="-1"/>
    <n v="-1"/>
    <n v="-1"/>
    <n v="-1"/>
    <n v="-1"/>
    <n v="-1"/>
    <n v="-1"/>
    <n v="-1"/>
    <n v="118272"/>
    <n v="49556.096235263598"/>
    <n v="62"/>
    <n v="70"/>
    <n v="132"/>
    <n v="0.108"/>
    <n v="9.1999999999999998E-2"/>
    <n v="9.9000000000000005E-2"/>
    <n v="9.9000000000000005E-2"/>
    <n v="9.6000000000000002E-2"/>
    <n v="0.11799999999999999"/>
    <n v="0.1"/>
    <n v="0.10299999999999999"/>
    <n v="9.9000000000000005E-2"/>
    <n v="0.104"/>
    <n v="0.124"/>
    <n v="0.112"/>
    <n v="0.10100000000000001"/>
    <n v="0.106"/>
    <n v="0.106"/>
    <n v="9.9000000000000005E-2"/>
    <n v="0.111"/>
    <n v="0.1"/>
    <n v="0.115"/>
    <n v="0.1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974615716480451"/>
    <n v="8411.9569000252322"/>
    <n v="0.16548421702607694"/>
    <n v="0.12507028069583967"/>
    <n v="0.1413693296235311"/>
    <n v="0.1413693296235311"/>
    <n v="0.13413889927804937"/>
    <n v="0.19713244744137251"/>
    <n v="0.14386506690014328"/>
    <n v="0.15161976259966117"/>
    <n v="0.1413693296235311"/>
    <n v="0.15429646124708882"/>
    <n v="0.21895710101852087"/>
    <n v="0.17748317662891583"/>
    <n v="0.14640486397791924"/>
    <n v="0.15979245626552249"/>
    <n v="0.15979245626552249"/>
    <n v="0.1413693296235311"/>
    <n v="0.17440424030734322"/>
    <n v="0.14386506690014328"/>
    <n v="0.18704997457505201"/>
    <n v="0.39008935367479419"/>
    <m/>
  </r>
  <r>
    <x v="15"/>
    <s v="COPNAUP"/>
    <s v="NAU"/>
    <n v="-1"/>
    <n v="-1"/>
    <n v="-1"/>
    <n v="-1"/>
    <n v="-1"/>
    <n v="-1"/>
    <n v="-1"/>
    <n v="-1"/>
    <n v="-1"/>
    <n v="31360"/>
    <n v="13139.8740017744"/>
    <n v="16"/>
    <n v="19"/>
    <n v="35"/>
    <n v="0.16900000000000001"/>
    <n v="0.157"/>
    <n v="0.17699999999999999"/>
    <n v="0.13100000000000001"/>
    <n v="0.14399999999999999"/>
    <n v="0.1"/>
    <n v="0.126"/>
    <n v="0.16"/>
    <n v="0.13100000000000001"/>
    <n v="0.21"/>
    <n v="0.316"/>
    <n v="0.13200000000000001"/>
    <n v="0.13500000000000001"/>
    <n v="0.22800000000000001"/>
    <n v="0.219"/>
    <n v="0.13"/>
    <n v="0.115"/>
    <n v="0.114"/>
    <n v="0.16"/>
    <n v="0.1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349042665410114E-2"/>
    <n v="1305.4339028203981"/>
    <n v="9.8879261520543368E-2"/>
    <n v="8.2858351567382138E-2"/>
    <n v="0.11048745306659181"/>
    <n v="5.3657228001919549E-2"/>
    <n v="6.7335967442926234E-2"/>
    <n v="2.8065780425595335E-2"/>
    <n v="4.8872711129969722E-2"/>
    <n v="8.6709180472729408E-2"/>
    <n v="5.3657228001919549E-2"/>
    <n v="0.16653419823704091"/>
    <n v="0.44404411785473946"/>
    <n v="5.4645519376070768E-2"/>
    <n v="5.7673746944497048E-2"/>
    <n v="0.2028713671663164"/>
    <n v="0.1841802248270773"/>
    <n v="5.2679442313682365E-2"/>
    <n v="3.9251109741472279E-2"/>
    <n v="3.84369365105749E-2"/>
    <n v="8.6709180472729408E-2"/>
    <n v="2.9431848234424133E-2"/>
    <m/>
  </r>
  <r>
    <x v="15"/>
    <s v="ASCOVAL"/>
    <s v="ROT"/>
    <n v="-1"/>
    <n v="-1"/>
    <n v="-1"/>
    <n v="-1"/>
    <n v="-1"/>
    <n v="-1"/>
    <n v="-1"/>
    <n v="-1"/>
    <n v="-1"/>
    <n v="3584"/>
    <n v="1501.6998859170801"/>
    <n v="1"/>
    <n v="3"/>
    <n v="4"/>
    <n v="8.5000000000000006E-2"/>
    <n v="0.104"/>
    <n v="0.107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05167000000001E-2"/>
    <n v="16.976967994173542"/>
    <n v="7.3695000000000002E-3"/>
    <n v="1.3498368E-2"/>
    <n v="1.4700516E-2"/>
    <n v="9.6522840000000006E-3"/>
    <m/>
    <m/>
    <m/>
    <m/>
    <m/>
    <m/>
    <m/>
    <m/>
    <m/>
    <m/>
    <m/>
    <m/>
    <m/>
    <m/>
    <m/>
    <m/>
    <m/>
  </r>
  <r>
    <x v="15"/>
    <s v="ASPPRIO"/>
    <s v="ROT"/>
    <n v="-1"/>
    <n v="-1"/>
    <n v="-1"/>
    <n v="-1"/>
    <n v="-1"/>
    <n v="-1"/>
    <n v="-1"/>
    <n v="-1"/>
    <n v="-1"/>
    <n v="7168"/>
    <n v="3003.3997718341602"/>
    <n v="5"/>
    <n v="3"/>
    <n v="8"/>
    <n v="0.442"/>
    <n v="0.68899999999999995"/>
    <n v="0.73399999999999999"/>
    <n v="0.66400000000000003"/>
    <n v="0.71099999999999997"/>
    <n v="0.68200000000000005"/>
    <n v="0.80400000000000005"/>
    <n v="0.7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458789439"/>
    <n v="9147.9921251437336"/>
    <n v="0.77456746535999998"/>
    <n v="2.9339324379299998"/>
    <n v="3.5471587288799999"/>
    <n v="2.6260118476800001"/>
    <n v="3.2240461160699998"/>
    <n v="2.8454146749599998"/>
    <n v="4.66187462208"/>
    <n v="3.7540256582399998"/>
    <m/>
    <m/>
    <m/>
    <m/>
    <m/>
    <m/>
    <m/>
    <m/>
    <m/>
    <m/>
    <m/>
    <m/>
    <m/>
  </r>
  <r>
    <x v="15"/>
    <s v="COLSP"/>
    <s v="ROT"/>
    <n v="-1"/>
    <n v="-1"/>
    <n v="-1"/>
    <n v="-1"/>
    <n v="-1"/>
    <n v="-1"/>
    <n v="-1"/>
    <n v="-1"/>
    <n v="-1"/>
    <n v="6272"/>
    <n v="2627.9748003548898"/>
    <n v="2"/>
    <n v="5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00000000000001E-2"/>
    <n v="3.1E-2"/>
    <n v="3.3000000000000002E-2"/>
    <n v="2.5999999999999999E-2"/>
    <n v="0.04"/>
    <n v="4.2999999999999997E-2"/>
    <n v="3.1E-2"/>
    <m/>
    <m/>
    <m/>
    <m/>
    <m/>
    <m/>
    <m/>
    <m/>
    <m/>
    <m/>
    <m/>
    <m/>
    <m/>
    <n v="7.4409428571428566E-3"/>
    <n v="19.554610319452141"/>
    <n v="5.8982399999999999E-3"/>
    <n v="5.3623799999999999E-3"/>
    <n v="6.4686600000000002E-3"/>
    <n v="3.1636799999999999E-3"/>
    <n v="1.1520000000000001E-2"/>
    <n v="1.4311259999999999E-2"/>
    <n v="5.3623799999999999E-3"/>
    <m/>
    <m/>
    <m/>
    <m/>
    <m/>
    <m/>
    <m/>
    <m/>
    <m/>
    <m/>
    <m/>
    <m/>
    <m/>
    <m/>
  </r>
  <r>
    <x v="15"/>
    <s v="COOUNIC"/>
    <s v="ROT"/>
    <n v="-1"/>
    <n v="-1"/>
    <n v="-1"/>
    <n v="-1"/>
    <n v="-1"/>
    <n v="-1"/>
    <n v="-1"/>
    <n v="-1"/>
    <n v="-1"/>
    <n v="142464"/>
    <n v="59692.570465203898"/>
    <n v="82"/>
    <n v="77"/>
    <n v="159"/>
    <n v="0.14899999999999999"/>
    <n v="0.13800000000000001"/>
    <n v="0.16600000000000001"/>
    <n v="0.17100000000000001"/>
    <n v="0.113"/>
    <n v="0.129"/>
    <n v="0.129"/>
    <n v="0.14199999999999999"/>
    <n v="0.16600000000000001"/>
    <n v="9.2999999999999999E-2"/>
    <n v="0.13700000000000001"/>
    <n v="0.20899999999999999"/>
    <n v="0.1"/>
    <n v="0.14499999999999999"/>
    <n v="0.107"/>
    <n v="0.17199999999999999"/>
    <n v="0.11600000000000001"/>
    <n v="0.16600000000000001"/>
    <n v="0.13800000000000001"/>
    <n v="0.14099999999999999"/>
    <m/>
    <m/>
    <m/>
    <m/>
    <m/>
    <m/>
    <m/>
    <m/>
    <m/>
    <m/>
    <m/>
    <m/>
    <m/>
    <m/>
    <m/>
    <m/>
    <m/>
    <m/>
    <m/>
    <m/>
    <n v="7.6999999999999999E-2"/>
    <n v="8.5000000000000006E-2"/>
    <n v="6.8000000000000005E-2"/>
    <n v="4.7E-2"/>
    <n v="5.0999999999999997E-2"/>
    <n v="4.7E-2"/>
    <n v="4.3999999999999997E-2"/>
    <n v="4.5999999999999999E-2"/>
    <n v="7.0999999999999994E-2"/>
    <n v="5.5E-2"/>
    <n v="7.2999999999999995E-2"/>
    <n v="6.2E-2"/>
    <n v="5.2999999999999999E-2"/>
    <n v="7.0999999999999994E-2"/>
    <n v="5.7000000000000002E-2"/>
    <n v="7.1999999999999995E-2"/>
    <n v="3.9E-2"/>
    <n v="6.3E-2"/>
    <n v="6.9000000000000006E-2"/>
    <n v="4.7E-2"/>
    <n v="1.4119816099999998E-2"/>
    <n v="842.84811750497033"/>
    <n v="2.2968946000000001E-2"/>
    <n v="2.59233E-2"/>
    <n v="1.9957183999999999E-2"/>
    <n v="9.821214E-3"/>
    <n v="7.6417380000000003E-3"/>
    <n v="7.4089860000000002E-3"/>
    <n v="6.4933439999999999E-3"/>
    <n v="7.8122720000000003E-3"/>
    <n v="2.1756956000000001E-2"/>
    <n v="7.3144500000000001E-3"/>
    <n v="1.8981898000000001E-2"/>
    <n v="2.0888296000000001E-2"/>
    <n v="7.3033999999999998E-3"/>
    <n v="1.9004569999999998E-2"/>
    <n v="9.0387179999999994E-3"/>
    <n v="2.3182847999999999E-2"/>
    <n v="4.587336E-3"/>
    <n v="1.7130204E-2"/>
    <n v="1.7082468E-2"/>
    <n v="8.0981939999999995E-3"/>
    <m/>
  </r>
  <r>
    <x v="15"/>
    <s v="GASSTYL"/>
    <s v="ROT"/>
    <n v="-1"/>
    <n v="-1"/>
    <n v="-1"/>
    <n v="-1"/>
    <n v="-1"/>
    <n v="-1"/>
    <n v="-1"/>
    <n v="-1"/>
    <n v="-1"/>
    <n v="2688"/>
    <n v="1126.2749144378099"/>
    <n v="2"/>
    <n v="1"/>
    <n v="3"/>
    <n v="0.08"/>
    <n v="0.1010000000000000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387660000000004E-2"/>
    <n v="25.214659850962782"/>
    <n v="1.0240000000000001E-2"/>
    <n v="2.0606019999999999E-2"/>
    <n v="3.6316960000000002E-2"/>
    <m/>
    <m/>
    <m/>
    <m/>
    <m/>
    <m/>
    <m/>
    <m/>
    <m/>
    <m/>
    <m/>
    <m/>
    <m/>
    <m/>
    <m/>
    <m/>
    <m/>
    <m/>
  </r>
  <r>
    <x v="15"/>
    <s v="KELLONG"/>
    <s v="ROT"/>
    <n v="-1"/>
    <n v="-1"/>
    <n v="-1"/>
    <n v="-1"/>
    <n v="-1"/>
    <n v="-1"/>
    <n v="-1"/>
    <n v="-1"/>
    <n v="-1"/>
    <n v="10752"/>
    <n v="4505.0996577512396"/>
    <n v="5"/>
    <n v="7"/>
    <n v="12"/>
    <n v="0.123"/>
    <n v="0.14499999999999999"/>
    <n v="0.14299999999999999"/>
    <n v="0.127"/>
    <n v="0.14799999999999999"/>
    <n v="0.14199999999999999"/>
    <n v="0.14099999999999999"/>
    <n v="0.17"/>
    <n v="0.13600000000000001"/>
    <n v="0.13500000000000001"/>
    <n v="0.13500000000000001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36882350000004E-3"/>
    <n v="38.940676909206921"/>
    <n v="5.6663400150000001E-3"/>
    <n v="9.2830631249999993E-3"/>
    <n v="8.9042103149999993E-3"/>
    <n v="6.237326235E-3"/>
    <n v="9.8712566399999993E-3"/>
    <n v="8.7187119600000001E-3"/>
    <n v="8.5358079449999995E-3"/>
    <n v="1.4960085E-2"/>
    <n v="7.65956352E-3"/>
    <n v="7.4918418750000004E-3"/>
    <n v="7.4918418750000004E-3"/>
    <n v="8.9042103149999993E-3"/>
    <m/>
    <m/>
    <m/>
    <m/>
    <m/>
    <m/>
    <m/>
    <m/>
    <m/>
  </r>
  <r>
    <x v="15"/>
    <s v="KERCOCH"/>
    <s v="ROT"/>
    <n v="-1"/>
    <n v="-1"/>
    <n v="-1"/>
    <n v="-1"/>
    <n v="-1"/>
    <n v="-1"/>
    <n v="-1"/>
    <n v="-1"/>
    <n v="-1"/>
    <n v="50176"/>
    <n v="21023.7984028391"/>
    <n v="29"/>
    <n v="27"/>
    <n v="56"/>
    <n v="9.1999999999999998E-2"/>
    <n v="8.7999999999999995E-2"/>
    <n v="8.7999999999999995E-2"/>
    <n v="9.1999999999999998E-2"/>
    <n v="8.5000000000000006E-2"/>
    <n v="8.5000000000000006E-2"/>
    <n v="9.6000000000000002E-2"/>
    <n v="9.1999999999999998E-2"/>
    <n v="0.10199999999999999"/>
    <n v="8.1000000000000003E-2"/>
    <n v="0.1"/>
    <n v="9.9000000000000005E-2"/>
    <n v="0.10100000000000001"/>
    <n v="9.4E-2"/>
    <n v="0.106"/>
    <n v="7.4999999999999997E-2"/>
    <n v="0.10100000000000001"/>
    <n v="8.8999999999999996E-2"/>
    <n v="0.1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525180000000004E-3"/>
    <n v="34.742205289062873"/>
    <n v="1.5573760000000001E-3"/>
    <n v="1.362944E-3"/>
    <n v="1.362944E-3"/>
    <n v="1.5573760000000001E-3"/>
    <n v="1.22825E-3"/>
    <n v="1.22825E-3"/>
    <n v="1.769472E-3"/>
    <n v="1.5573760000000001E-3"/>
    <n v="2.1224159999999998E-3"/>
    <n v="1.062882E-3"/>
    <n v="2E-3"/>
    <n v="1.940598E-3"/>
    <n v="2.0606019999999999E-3"/>
    <n v="1.661168E-3"/>
    <n v="2.3820320000000001E-3"/>
    <n v="8.4374999999999999E-4"/>
    <n v="2.0606019999999999E-3"/>
    <n v="1.4099379999999999E-3"/>
    <n v="2E-3"/>
    <n v="1.882384E-3"/>
    <m/>
  </r>
  <r>
    <x v="15"/>
    <s v="KERCOCHH"/>
    <s v="ROT"/>
    <n v="-1"/>
    <n v="-1"/>
    <n v="-1"/>
    <n v="-1"/>
    <n v="-1"/>
    <n v="-1"/>
    <n v="-1"/>
    <n v="-1"/>
    <n v="-1"/>
    <n v="6272"/>
    <n v="2627.9748003548898"/>
    <n v="5"/>
    <n v="2"/>
    <n v="7"/>
    <n v="8.2000000000000003E-2"/>
    <n v="0.106"/>
    <n v="9.5000000000000001E-2"/>
    <n v="0.09"/>
    <n v="0.09"/>
    <n v="0.108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500274285714287E-3"/>
    <n v="4.8618254622510708"/>
    <n v="1.102736E-3"/>
    <n v="2.3820320000000001E-3"/>
    <n v="1.7147499999999999E-3"/>
    <n v="1.4580000000000001E-3"/>
    <n v="1.4580000000000001E-3"/>
    <n v="2.5194240000000001E-3"/>
    <n v="2.31525E-3"/>
    <m/>
    <m/>
    <m/>
    <m/>
    <m/>
    <m/>
    <m/>
    <m/>
    <m/>
    <m/>
    <m/>
    <m/>
    <m/>
    <m/>
  </r>
  <r>
    <x v="15"/>
    <s v="KERCRAS"/>
    <s v="ROT"/>
    <n v="-1"/>
    <n v="-1"/>
    <n v="-1"/>
    <n v="-1"/>
    <n v="-1"/>
    <n v="-1"/>
    <n v="-1"/>
    <n v="-1"/>
    <n v="-1"/>
    <n v="23296"/>
    <n v="9761.0492584610092"/>
    <n v="15"/>
    <n v="11"/>
    <n v="26"/>
    <n v="0.122"/>
    <n v="0.11700000000000001"/>
    <n v="0.11799999999999999"/>
    <n v="0.126"/>
    <n v="0.13500000000000001"/>
    <n v="0.125"/>
    <n v="0.155"/>
    <n v="0.126"/>
    <n v="0.122"/>
    <n v="0.123"/>
    <n v="0.114"/>
    <n v="0.11899999999999999"/>
    <n v="0.13100000000000001"/>
    <n v="0.11600000000000001"/>
    <n v="0.12"/>
    <n v="0.125"/>
    <n v="0.121"/>
    <n v="0.11700000000000001"/>
    <n v="0.13200000000000001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766187999999995E-3"/>
    <n v="37.839867063075999"/>
    <n v="3.6316959999999998E-3"/>
    <n v="3.203226E-3"/>
    <n v="3.286064E-3"/>
    <n v="4.0007519999999998E-3"/>
    <n v="4.9207499999999998E-3"/>
    <n v="3.90625E-3"/>
    <n v="7.4477500000000004E-3"/>
    <n v="4.0007519999999998E-3"/>
    <n v="3.6316959999999998E-3"/>
    <n v="3.721734E-3"/>
    <n v="2.963088E-3"/>
    <n v="3.3703180000000002E-3"/>
    <n v="4.4961819999999996E-3"/>
    <n v="3.121792E-3"/>
    <n v="3.4559999999999999E-3"/>
    <n v="3.90625E-3"/>
    <n v="3.5431220000000001E-3"/>
    <n v="3.203226E-3"/>
    <n v="4.5999359999999998E-3"/>
    <n v="3.121792E-3"/>
    <m/>
  </r>
  <r>
    <x v="15"/>
    <s v="PLOTRUN"/>
    <s v="ROT"/>
    <n v="-1"/>
    <n v="-1"/>
    <n v="-1"/>
    <n v="-1"/>
    <n v="-1"/>
    <n v="-1"/>
    <n v="-1"/>
    <n v="-1"/>
    <n v="-1"/>
    <n v="3584"/>
    <n v="1501.6998859170801"/>
    <n v="1"/>
    <n v="3"/>
    <n v="4"/>
    <n v="0.11"/>
    <n v="0.121"/>
    <n v="0.18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943644999999998E-2"/>
    <n v="38.959568736773221"/>
    <n v="1.3310000000000001E-2"/>
    <n v="1.771561E-2"/>
    <n v="5.8319999999999997E-2"/>
    <n v="1.4428969999999999E-2"/>
    <m/>
    <m/>
    <m/>
    <m/>
    <m/>
    <m/>
    <m/>
    <m/>
    <m/>
    <m/>
    <m/>
    <m/>
    <m/>
    <m/>
    <m/>
    <m/>
    <m/>
  </r>
  <r>
    <x v="15"/>
    <s v="POLSP"/>
    <s v="ROT"/>
    <n v="-1"/>
    <n v="-1"/>
    <n v="-1"/>
    <n v="-1"/>
    <n v="-1"/>
    <n v="-1"/>
    <n v="-1"/>
    <n v="-1"/>
    <n v="-1"/>
    <n v="51968"/>
    <n v="21774.648345797599"/>
    <n v="31"/>
    <n v="27"/>
    <n v="58"/>
    <n v="0.13"/>
    <n v="0.115"/>
    <n v="9.4E-2"/>
    <n v="9.5000000000000001E-2"/>
    <n v="0.10299999999999999"/>
    <n v="0.11899999999999999"/>
    <n v="0.128"/>
    <n v="0.112"/>
    <n v="9.1999999999999998E-2"/>
    <n v="0.106"/>
    <n v="9.8000000000000004E-2"/>
    <n v="8.6999999999999994E-2"/>
    <n v="9.2999999999999999E-2"/>
    <n v="7.2999999999999995E-2"/>
    <n v="0.11799999999999999"/>
    <n v="9.6000000000000002E-2"/>
    <n v="0.1"/>
    <n v="7.5999999999999998E-2"/>
    <n v="0.104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92236240000002E-2"/>
    <n v="751.05631478617602"/>
    <n v="6.7667599999999994E-2"/>
    <n v="4.6842950000000001E-2"/>
    <n v="2.55819872E-2"/>
    <n v="2.6407150000000001E-2"/>
    <n v="3.3655991599999997E-2"/>
    <n v="5.1902897199999999E-2"/>
    <n v="6.4592281599999996E-2"/>
    <n v="4.32717824E-2"/>
    <n v="2.3983590400000001E-2"/>
    <n v="3.6683292800000003E-2"/>
    <n v="2.89887136E-2"/>
    <n v="2.0281892400000001E-2"/>
    <n v="2.47741956E-2"/>
    <n v="1.1981723600000001E-2"/>
    <n v="5.0605385599999997E-2"/>
    <n v="2.72498688E-2"/>
    <n v="3.0800000000000001E-2"/>
    <n v="1.35204608E-2"/>
    <n v="3.4645811200000001E-2"/>
    <n v="2.6407150000000001E-2"/>
    <m/>
  </r>
  <r>
    <x v="15"/>
    <s v="SYNSP"/>
    <s v="ROT"/>
    <n v="-1"/>
    <n v="-1"/>
    <n v="-1"/>
    <n v="-1"/>
    <n v="-1"/>
    <n v="-1"/>
    <n v="-1"/>
    <n v="-1"/>
    <n v="-1"/>
    <n v="7168"/>
    <n v="3003.3997718341602"/>
    <n v="4"/>
    <n v="4"/>
    <n v="8"/>
    <n v="0.11799999999999999"/>
    <n v="0.123"/>
    <n v="0.10199999999999999"/>
    <n v="0.16300000000000001"/>
    <n v="0.154"/>
    <n v="0.159"/>
    <n v="0.13400000000000001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618470000000001E-2"/>
    <n v="76.942506952740274"/>
    <n v="1.6430320000000002E-2"/>
    <n v="1.8608670000000001E-2"/>
    <n v="1.0612079999999999E-2"/>
    <n v="4.3307470000000001E-2"/>
    <n v="3.6522640000000002E-2"/>
    <n v="4.0196790000000003E-2"/>
    <n v="2.4061039999999999E-2"/>
    <n v="1.520875E-2"/>
    <m/>
    <m/>
    <m/>
    <m/>
    <m/>
    <m/>
    <m/>
    <m/>
    <m/>
    <m/>
    <m/>
    <m/>
    <m/>
  </r>
  <r>
    <x v="15"/>
    <s v="TRICYLI"/>
    <s v="ROT"/>
    <n v="-1"/>
    <n v="-1"/>
    <n v="-1"/>
    <n v="-1"/>
    <n v="-1"/>
    <n v="-1"/>
    <n v="-1"/>
    <n v="-1"/>
    <n v="-1"/>
    <n v="1792"/>
    <n v="750.84994295853903"/>
    <n v="0"/>
    <n v="2"/>
    <n v="2"/>
    <n v="0.28000000000000003"/>
    <n v="0.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E-2"/>
    <n v="8.1000000000000003E-2"/>
    <m/>
    <m/>
    <m/>
    <m/>
    <m/>
    <m/>
    <m/>
    <m/>
    <m/>
    <m/>
    <m/>
    <m/>
    <m/>
    <m/>
    <m/>
    <m/>
    <m/>
    <m/>
    <n v="7.1397823952000006E-2"/>
    <n v="53.609052041723018"/>
    <n v="5.6304451839999999E-2"/>
    <n v="8.6491196064000006E-2"/>
    <m/>
    <m/>
    <m/>
    <m/>
    <m/>
    <m/>
    <m/>
    <m/>
    <m/>
    <m/>
    <m/>
    <m/>
    <m/>
    <m/>
    <m/>
    <m/>
    <m/>
    <m/>
    <m/>
  </r>
  <r>
    <x v="15"/>
    <s v="TRISP"/>
    <s v="ROT"/>
    <n v="-1"/>
    <n v="-1"/>
    <n v="-1"/>
    <n v="-1"/>
    <n v="-1"/>
    <n v="-1"/>
    <n v="-1"/>
    <n v="-1"/>
    <n v="-1"/>
    <n v="1792"/>
    <n v="750.84994295853903"/>
    <n v="0"/>
    <n v="2"/>
    <n v="2"/>
    <n v="0.17199999999999999"/>
    <n v="0.1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588235294117601E-2"/>
    <n v="4.23529411764706E-2"/>
    <m/>
    <m/>
    <m/>
    <m/>
    <m/>
    <m/>
    <m/>
    <m/>
    <m/>
    <m/>
    <m/>
    <m/>
    <m/>
    <m/>
    <m/>
    <m/>
    <m/>
    <m/>
    <n v="1.826945012041525E-2"/>
    <n v="13.717615580797665"/>
    <n v="2.3026547731487899E-2"/>
    <n v="1.3512352509342599E-2"/>
    <m/>
    <m/>
    <m/>
    <m/>
    <m/>
    <m/>
    <m/>
    <m/>
    <m/>
    <m/>
    <m/>
    <m/>
    <m/>
    <m/>
    <m/>
    <m/>
    <m/>
    <m/>
    <m/>
  </r>
  <r>
    <x v="16"/>
    <s v="BOSLONG"/>
    <s v="CLA"/>
    <n v="-1"/>
    <n v="38"/>
    <n v="-1"/>
    <n v="-1"/>
    <n v="-1"/>
    <n v="0"/>
    <n v="-1"/>
    <n v="-1"/>
    <n v="-1"/>
    <n v="1621.3333333333301"/>
    <n v="663.723403326788"/>
    <n v="-1"/>
    <n v="-1"/>
    <n v="-1"/>
    <n v="0.28799999999999998"/>
    <n v="0.21"/>
    <n v="0.33600000000000002"/>
    <n v="0.33100000000000002"/>
    <n v="0.28000000000000003"/>
    <n v="0.254"/>
    <n v="0.24099999999999999"/>
    <n v="0.25800000000000001"/>
    <n v="0.245"/>
    <n v="0.26500000000000001"/>
    <n v="0.251"/>
    <n v="0.26900000000000002"/>
    <n v="0.26100000000000001"/>
    <n v="0.23"/>
    <n v="0.24299999999999999"/>
    <n v="0.253"/>
    <n v="0.33500000000000002"/>
    <n v="0.253"/>
    <n v="0.251"/>
    <n v="0.25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54070762324681632"/>
    <n v="358.88030390611561"/>
    <n v="0.645757752872818"/>
    <n v="0.29041660929947799"/>
    <n v="0.95377296206094597"/>
    <n v="0.91827224777882899"/>
    <n v="0.60133496127780905"/>
    <n v="0.469932994061591"/>
    <n v="0.41144307076181802"/>
    <n v="0.488882499367434"/>
    <n v="0.428940277450781"/>
    <n v="0.523140925035116"/>
    <n v="0.45601712296021801"/>
    <n v="0.54335029017132197"/>
    <n v="0.50339293784214301"/>
    <n v="0.36557632273868002"/>
    <n v="0.42013659088921601"/>
    <n v="0.465266253381179"/>
    <n v="0.94660762129906295"/>
    <n v="0.465266253381179"/>
    <n v="0.45601712296021801"/>
    <n v="0.46062764934648998"/>
    <m/>
  </r>
  <r>
    <x v="16"/>
    <s v="BYTLONG"/>
    <s v="CLA"/>
    <n v="12"/>
    <n v="-1"/>
    <n v="-1"/>
    <n v="-1"/>
    <n v="-1"/>
    <n v="-1"/>
    <n v="-1"/>
    <n v="-1"/>
    <n v="-1"/>
    <n v="12"/>
    <n v="4.9124265048857598"/>
    <n v="-1"/>
    <n v="-1"/>
    <n v="-1"/>
    <n v="2.3940000000000001"/>
    <n v="1.8959999999999999"/>
    <n v="2.4500000000000002"/>
    <n v="3.1240000000000001"/>
    <n v="2.552"/>
    <n v="2.645"/>
    <n v="1.909"/>
    <n v="2.1680000000000001"/>
    <n v="3.0609999999999999"/>
    <n v="2.41"/>
    <n v="1.89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09.96429429186554"/>
    <n v="540.19151387041813"/>
    <n v="105.056480904879"/>
    <n v="64.526112317730394"/>
    <n v="110.258098931313"/>
    <n v="183.23120025951599"/>
    <n v="120.069854453142"/>
    <n v="129.39665433270801"/>
    <n v="65.454238427787303"/>
    <n v="85.392017512635206"/>
    <n v="175.59321988516101"/>
    <n v="106.52928269941199"/>
    <n v="64.100077486236799"/>
    <m/>
    <m/>
    <m/>
    <m/>
    <m/>
    <m/>
    <m/>
    <m/>
    <m/>
    <m/>
  </r>
  <r>
    <x v="16"/>
    <s v="DAPGALEM"/>
    <s v="CLA"/>
    <n v="-1"/>
    <n v="14"/>
    <n v="-1"/>
    <n v="-1"/>
    <n v="-1"/>
    <n v="29"/>
    <n v="-1"/>
    <n v="-1"/>
    <n v="-1"/>
    <n v="1834.6666666666699"/>
    <n v="751.05543008031202"/>
    <n v="-1"/>
    <n v="-1"/>
    <n v="-1"/>
    <n v="1.129"/>
    <n v="0.79900000000000004"/>
    <n v="0.96099999999999997"/>
    <n v="0.77100000000000002"/>
    <n v="0.67100000000000004"/>
    <n v="0.65200000000000002"/>
    <n v="0.57999999999999996"/>
    <n v="1.341"/>
    <n v="0.86599999999999999"/>
    <n v="0.439"/>
    <n v="0.74399999999999999"/>
    <n v="0.375"/>
    <n v="0.78800000000000003"/>
    <n v="0.83299999999999996"/>
    <n v="0.42"/>
    <n v="0.51"/>
    <n v="0.54800000000000004"/>
    <n v="0.58299999999999996"/>
    <n v="1.052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2.7680878208322071"/>
    <n v="2078.9873887752069"/>
    <n v="7.0117245937999098"/>
    <n v="2.62667843012846"/>
    <n v="4.4371945967538302"/>
    <n v="2.37360521864094"/>
    <n v="1.59980117626574"/>
    <n v="1.47447436499231"/>
    <n v="1.05757105560836"/>
    <n v="11.430672542743"/>
    <n v="3.30160313174015"/>
    <n v="0.47948308616734803"/>
    <n v="2.14506862873565"/>
    <n v="0.30649461945584"/>
    <n v="2.5252740282719799"/>
    <n v="2.9566904495715902"/>
    <n v="0.42286529073225199"/>
    <n v="0.73396162682141997"/>
    <n v="0.90014161559331396"/>
    <n v="1.0731804436375001"/>
    <n v="5.7371836961523401"/>
    <m/>
    <m/>
  </r>
  <r>
    <x v="16"/>
    <s v="DAPRETR"/>
    <s v="CLA"/>
    <n v="-1"/>
    <n v="3"/>
    <n v="-1"/>
    <n v="-1"/>
    <n v="-1"/>
    <n v="3"/>
    <n v="-1"/>
    <n v="-1"/>
    <n v="-1"/>
    <n v="256"/>
    <n v="104.79843210423"/>
    <n v="-1"/>
    <n v="-1"/>
    <n v="-1"/>
    <n v="0.78300000000000003"/>
    <n v="0.55900000000000005"/>
    <n v="0.7"/>
    <n v="0.60699999999999998"/>
    <n v="1.0740000000000001"/>
    <n v="1.1930000000000001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541403503745571"/>
    <n v="361.98849298720927"/>
    <n v="2.4800329944562298"/>
    <n v="0.95240921529616196"/>
    <n v="1.80406627580012"/>
    <n v="1.2034552258895601"/>
    <n v="6.0845184670418497"/>
    <n v="8.2003599237634202"/>
    <m/>
    <m/>
    <m/>
    <m/>
    <m/>
    <m/>
    <m/>
    <m/>
    <m/>
    <m/>
    <m/>
    <m/>
    <m/>
    <m/>
    <m/>
  </r>
  <r>
    <x v="16"/>
    <s v="EUBCORE"/>
    <s v="CLA"/>
    <n v="-1"/>
    <n v="7"/>
    <n v="-1"/>
    <n v="-1"/>
    <n v="-1"/>
    <n v="22"/>
    <n v="-1"/>
    <n v="-1"/>
    <n v="-1"/>
    <n v="1237.3333333333301"/>
    <n v="506.52575517044301"/>
    <n v="-1"/>
    <n v="-1"/>
    <n v="-1"/>
    <n v="0.44700000000000001"/>
    <n v="0.51800000000000002"/>
    <n v="0.41099999999999998"/>
    <n v="0.39100000000000001"/>
    <n v="0.41499999999999998"/>
    <n v="0.317"/>
    <n v="0.43099999999999999"/>
    <n v="0.32100000000000001"/>
    <n v="0.38700000000000001"/>
    <n v="0.29499999999999998"/>
    <n v="0.28199999999999997"/>
    <n v="0.33400000000000002"/>
    <n v="0.377"/>
    <n v="0.36299999999999999"/>
    <n v="0.41299999999999998"/>
    <n v="0.41599999999999998"/>
    <n v="0.38"/>
    <n v="0.48"/>
    <n v="0.32700000000000001"/>
    <n v="0.392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064451226633987"/>
    <n v="712.40067786286443"/>
    <n v="1.9637430836057901"/>
    <n v="2.8514182642847801"/>
    <n v="1.58791204950848"/>
    <n v="1.39963189644516"/>
    <n v="1.62730260477958"/>
    <n v="0.82316437806424703"/>
    <n v="1.7907465718366999"/>
    <n v="0.84969755173468597"/>
    <n v="1.36368912270701"/>
    <n v="0.68620888241743205"/>
    <n v="0.61226139824096903"/>
    <n v="0.93947493121896597"/>
    <n v="1.2762925992837899"/>
    <n v="1.1597660628987201"/>
    <n v="1.60753436427573"/>
    <n v="1.63724156412412"/>
    <n v="1.3021443604449601"/>
    <n v="2.35151073378516"/>
    <n v="0.890455968354951"/>
    <n v="1.40870606525675"/>
    <m/>
  </r>
  <r>
    <x v="16"/>
    <s v="HOLGIBB"/>
    <s v="CLA"/>
    <n v="-1"/>
    <n v="103"/>
    <n v="-1"/>
    <n v="-1"/>
    <n v="-1"/>
    <n v="-1"/>
    <n v="-1"/>
    <n v="-1"/>
    <n v="-1"/>
    <n v="13184"/>
    <n v="5397.1192533678304"/>
    <n v="-1"/>
    <n v="-1"/>
    <n v="-1"/>
    <n v="0.441"/>
    <n v="0.71799999999999997"/>
    <n v="0.32900000000000001"/>
    <n v="0.39800000000000002"/>
    <n v="0.86699999999999999"/>
    <n v="0.59399999999999997"/>
    <n v="0.78500000000000003"/>
    <n v="0.35299999999999998"/>
    <n v="0.57099999999999995"/>
    <n v="0.76300000000000001"/>
    <n v="0.57399999999999995"/>
    <n v="0.874"/>
    <n v="0.65"/>
    <n v="0.65300000000000002"/>
    <n v="0.78400000000000003"/>
    <n v="0.63300000000000001"/>
    <n v="0.38700000000000001"/>
    <n v="0.441"/>
    <n v="0.747"/>
    <n v="0.65500000000000003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71863136253822"/>
    <n v="11182.092423018559"/>
    <n v="0.58351437760426395"/>
    <n v="2.76267271266375"/>
    <n v="0.22916451780337599"/>
    <n v="0.42064861265217102"/>
    <n v="5.0416579986783701"/>
    <n v="1.5089373914222699"/>
    <n v="3.67220287264169"/>
    <n v="0.28687570566503701"/>
    <n v="1.33033692716872"/>
    <n v="3.3538662332186702"/>
    <n v="1.35276200809809"/>
    <n v="5.1726599762637102"/>
    <n v="2.0113426771977498"/>
    <n v="2.0411057645255002"/>
    <n v="3.6573009681156399"/>
    <n v="1.8482907751215101"/>
    <n v="0.38467187947161802"/>
    <n v="0.58351437760426395"/>
    <n v="3.13462202497703"/>
    <n v="2.0611149241829998"/>
    <m/>
  </r>
  <r>
    <x v="16"/>
    <s v="LETKIND"/>
    <s v="CLA"/>
    <n v="-1"/>
    <n v="6"/>
    <n v="-1"/>
    <n v="-1"/>
    <n v="-1"/>
    <n v="9"/>
    <n v="-1"/>
    <n v="24"/>
    <n v="-1"/>
    <n v="713.142857142857"/>
    <n v="291.93848943321098"/>
    <n v="-1"/>
    <n v="-1"/>
    <n v="-1"/>
    <n v="1.5609999999999999"/>
    <n v="2.4380000000000002"/>
    <n v="0.89600000000000002"/>
    <n v="1.4239999999999999"/>
    <n v="2.5619999999999998"/>
    <n v="2.9689999999999999"/>
    <n v="2.4790000000000001"/>
    <n v="3.4049999999999998"/>
    <n v="3.9079999999999999"/>
    <n v="1.369"/>
    <n v="2.9750000000000001"/>
    <n v="2.6469999999999998"/>
    <n v="2.649"/>
    <n v="2.391"/>
    <n v="0.97499999999999998"/>
    <n v="2.5369999999999999"/>
    <n v="1.804"/>
    <n v="1.294"/>
    <n v="2.0739999999999998"/>
    <n v="0.8229999999999999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5921659398622641"/>
    <n v="1340.6299877100309"/>
    <n v="1.44342986604171"/>
    <n v="4.7466796042560304"/>
    <n v="0.32784783620804703"/>
    <n v="1.12948796383744"/>
    <n v="5.4189631871946897"/>
    <n v="8.0330258305165803"/>
    <n v="4.9628170128305102"/>
    <n v="11.581441991898901"/>
    <n v="16.7312580640546"/>
    <n v="1.0167335214961399"/>
    <n v="8.0764432527065608"/>
    <n v="5.9123884395445003"/>
    <n v="5.9243234892581897"/>
    <n v="4.5062720184037701"/>
    <n v="0.41082064470158802"/>
    <n v="5.2789261124989304"/>
    <n v="2.1240340743314698"/>
    <n v="0.87473087053278398"/>
    <n v="3.0824021849778198"/>
    <n v="0.26129283195498598"/>
    <m/>
  </r>
  <r>
    <x v="16"/>
    <s v="DIYTHOM"/>
    <s v="COP"/>
    <n v="-1"/>
    <n v="19"/>
    <n v="17"/>
    <n v="-1"/>
    <n v="-1"/>
    <n v="12"/>
    <n v="9"/>
    <n v="-1"/>
    <n v="-1"/>
    <n v="2432"/>
    <n v="995.58510499018098"/>
    <n v="-1"/>
    <n v="-1"/>
    <n v="-1"/>
    <n v="0.96399999999999997"/>
    <n v="1.042"/>
    <n v="0.85499999999999998"/>
    <n v="1.0149999999999999"/>
    <n v="1.002"/>
    <n v="0.78800000000000003"/>
    <n v="0.80900000000000005"/>
    <n v="0.97199999999999998"/>
    <n v="0.81399999999999995"/>
    <n v="0.78100000000000003"/>
    <n v="0.95599999999999996"/>
    <n v="0.81599999999999995"/>
    <n v="0.80900000000000005"/>
    <n v="0.82299999999999995"/>
    <n v="0.80200000000000005"/>
    <n v="1.006"/>
    <n v="0.78900000000000003"/>
    <n v="0.79100000000000004"/>
    <n v="0.81399999999999995"/>
    <n v="0.80200000000000005"/>
    <s v="F"/>
    <s v="F"/>
    <s v="F"/>
    <s v="F"/>
    <s v="F"/>
    <s v="F"/>
    <s v="M"/>
    <s v="F"/>
    <s v="F"/>
    <s v="M"/>
    <s v="F"/>
    <s v="M"/>
    <s v="M"/>
    <s v="M"/>
    <s v="M"/>
    <s v="F"/>
    <s v="M"/>
    <s v="M"/>
    <s v="M"/>
    <s v="M"/>
    <m/>
    <m/>
    <m/>
    <m/>
    <m/>
    <m/>
    <m/>
    <m/>
    <m/>
    <m/>
    <m/>
    <m/>
    <m/>
    <m/>
    <m/>
    <m/>
    <m/>
    <m/>
    <m/>
    <m/>
    <n v="3.2700743571227471"/>
    <n v="3255.6373221617487"/>
    <n v="4.5468922701232897"/>
    <n v="6.19246676273338"/>
    <n v="2.8238024807844102"/>
    <n v="5.57954812315272"/>
    <n v="5.3011939595321502"/>
    <n v="2.0423864634905899"/>
    <n v="2.2671720075279098"/>
    <n v="4.6985506374539199"/>
    <n v="2.3233130260173298"/>
    <n v="1.97130327968347"/>
    <n v="4.3989261629137397"/>
    <n v="2.3460581379249699"/>
    <n v="2.2671720075279098"/>
    <n v="2.4269799345799301"/>
    <n v="2.1902872851766801"/>
    <n v="5.3857082492001904"/>
    <n v="2.05269555890222"/>
    <n v="2.07343048453611"/>
    <n v="2.3233130260173298"/>
    <n v="2.1902872851766801"/>
    <m/>
  </r>
  <r>
    <x v="16"/>
    <s v="EPILACU"/>
    <s v="COP"/>
    <n v="-1"/>
    <n v="0"/>
    <n v="1"/>
    <n v="-1"/>
    <n v="-1"/>
    <n v="0"/>
    <n v="0"/>
    <n v="1"/>
    <n v="1"/>
    <n v="54.857142857142897"/>
    <n v="22.456806879477799"/>
    <n v="-1"/>
    <n v="-1"/>
    <n v="-1"/>
    <n v="1.534"/>
    <n v="1.07"/>
    <n v="1.7030000000000001"/>
    <m/>
    <m/>
    <m/>
    <m/>
    <m/>
    <m/>
    <m/>
    <m/>
    <m/>
    <m/>
    <m/>
    <m/>
    <m/>
    <m/>
    <m/>
    <m/>
    <m/>
    <s v="M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38879259812034"/>
    <n v="300.6695297253703"/>
    <n v="14.8530590494119"/>
    <n v="5.8429505449105203"/>
    <n v="19.4703682000386"/>
    <m/>
    <m/>
    <m/>
    <m/>
    <m/>
    <m/>
    <m/>
    <m/>
    <m/>
    <m/>
    <m/>
    <m/>
    <m/>
    <m/>
    <m/>
    <m/>
    <m/>
    <m/>
  </r>
  <r>
    <x v="16"/>
    <s v="LEOMINU"/>
    <s v="COP"/>
    <n v="-1"/>
    <n v="11"/>
    <n v="5"/>
    <n v="-1"/>
    <n v="-1"/>
    <n v="4"/>
    <n v="1"/>
    <n v="-1"/>
    <n v="-1"/>
    <n v="896"/>
    <n v="366.79451236480401"/>
    <n v="-1"/>
    <n v="-1"/>
    <n v="-1"/>
    <n v="0.94499999999999995"/>
    <n v="0.91200000000000003"/>
    <n v="0.89100000000000001"/>
    <n v="0.91400000000000003"/>
    <n v="0.90700000000000003"/>
    <n v="0.84599999999999997"/>
    <n v="0.86799999999999999"/>
    <n v="0.93100000000000005"/>
    <n v="0.95199999999999996"/>
    <n v="0.96299999999999997"/>
    <n v="0.92800000000000005"/>
    <n v="0.96699999999999997"/>
    <n v="0.91800000000000004"/>
    <n v="0.91200000000000003"/>
    <n v="0.94899999999999995"/>
    <n v="0.94799999999999995"/>
    <n v="1.006"/>
    <n v="0.93700000000000006"/>
    <n v="1.0269999999999999"/>
    <n v="0.97899999999999998"/>
    <s v="F"/>
    <s v="M"/>
    <s v="M"/>
    <s v="M"/>
    <s v="F"/>
    <s v="M"/>
    <s v="F"/>
    <s v="F"/>
    <s v="F"/>
    <s v="F"/>
    <s v="F"/>
    <s v="F"/>
    <s v="F"/>
    <s v="F"/>
    <s v="M"/>
    <s v="F"/>
    <s v="F"/>
    <s v="M"/>
    <s v="F"/>
    <s v="F"/>
    <m/>
    <m/>
    <m/>
    <m/>
    <m/>
    <m/>
    <m/>
    <m/>
    <m/>
    <m/>
    <m/>
    <m/>
    <m/>
    <m/>
    <m/>
    <m/>
    <m/>
    <m/>
    <m/>
    <m/>
    <n v="4.1373036138108166"/>
    <n v="1517.5402615328799"/>
    <n v="4.2354212405745804"/>
    <n v="3.86291238060014"/>
    <n v="3.6367335216111498"/>
    <n v="3.88489131352841"/>
    <n v="3.80829953499078"/>
    <n v="3.1799293158228501"/>
    <n v="3.3985550921774901"/>
    <n v="4.0748150354289097"/>
    <n v="4.3171577934322798"/>
    <n v="4.4475445794530604"/>
    <n v="4.0408942454080998"/>
    <n v="4.4955496045989296"/>
    <n v="3.9290790859357299"/>
    <n v="3.86291238060014"/>
    <n v="4.2820103867250596"/>
    <n v="4.2703337606681098"/>
    <n v="4.98031710964508"/>
    <n v="4.1431796664930802"/>
    <n v="5.2540678289887701"/>
    <n v="4.6414683995336796"/>
    <m/>
  </r>
  <r>
    <x v="16"/>
    <s v="SKIOREG"/>
    <s v="COP"/>
    <n v="-1"/>
    <n v="4"/>
    <n v="2"/>
    <n v="-1"/>
    <n v="-1"/>
    <n v="2"/>
    <n v="4"/>
    <n v="-1"/>
    <n v="-1"/>
    <n v="512"/>
    <n v="209.59686420845901"/>
    <n v="-1"/>
    <n v="-1"/>
    <n v="-1"/>
    <n v="0.61"/>
    <n v="1.288"/>
    <n v="1.107"/>
    <n v="1.1299999999999999"/>
    <n v="0.93"/>
    <n v="0.96099999999999997"/>
    <n v="1.1359999999999999"/>
    <n v="1.1639999999999999"/>
    <n v="1.357"/>
    <n v="1.3759999999999999"/>
    <n v="1.131"/>
    <n v="1.0609999999999999"/>
    <m/>
    <m/>
    <m/>
    <m/>
    <m/>
    <m/>
    <m/>
    <m/>
    <s v="U"/>
    <s v="F"/>
    <s v="M"/>
    <s v="M"/>
    <s v="F"/>
    <s v="F"/>
    <s v="M"/>
    <s v="M"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n v="6.7481623775794572"/>
    <n v="1414.3936735101533"/>
    <n v="1.36311500632109"/>
    <n v="9.4451815794461194"/>
    <n v="6.3807328858626402"/>
    <n v="6.7297881772509696"/>
    <n v="4.0634887617831703"/>
    <n v="4.4236606145742297"/>
    <n v="6.8227287347915198"/>
    <n v="7.26685417512968"/>
    <n v="10.8120994491725"/>
    <n v="11.2085638471836"/>
    <n v="6.7452239439047297"/>
    <n v="5.7165113555332301"/>
    <m/>
    <m/>
    <m/>
    <m/>
    <m/>
    <m/>
    <m/>
    <m/>
    <m/>
  </r>
  <r>
    <x v="16"/>
    <s v="CYCCOPE"/>
    <s v="IMM"/>
    <n v="-1"/>
    <n v="66"/>
    <n v="-1"/>
    <n v="-1"/>
    <n v="-1"/>
    <n v="-1"/>
    <n v="-1"/>
    <n v="-1"/>
    <n v="-1"/>
    <n v="8448"/>
    <n v="3458.34825943958"/>
    <n v="-1"/>
    <n v="-1"/>
    <n v="-1"/>
    <n v="0.41"/>
    <n v="0.48799999999999999"/>
    <n v="0.41899999999999998"/>
    <n v="0.82599999999999996"/>
    <n v="0.622"/>
    <n v="0.35899999999999999"/>
    <n v="0.77900000000000003"/>
    <n v="0.55000000000000004"/>
    <n v="0.48599999999999999"/>
    <n v="0.79300000000000004"/>
    <n v="0.68"/>
    <n v="0.49199999999999999"/>
    <n v="0.58299999999999996"/>
    <n v="0.41299999999999998"/>
    <n v="0.376"/>
    <n v="0.71499999999999997"/>
    <n v="0.39100000000000001"/>
    <n v="0.80900000000000005"/>
    <n v="0.54200000000000004"/>
    <n v="0.5679999999999999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9732520767195558"/>
    <n v="2757.4282441596092"/>
    <n v="0.15264435606058199"/>
    <n v="0.30475829367037099"/>
    <n v="0.16638666276363401"/>
    <n v="2.4622924181654402"/>
    <n v="0.79850321152756698"/>
    <n v="9.0085273377207398E-2"/>
    <n v="1.9513382018111001"/>
    <n v="0.489969128462592"/>
    <n v="0.29982982338060699"/>
    <n v="2.0943217047443201"/>
    <n v="1.1375990570546499"/>
    <n v="0.31479679200106903"/>
    <n v="0.61749437011290598"/>
    <n v="0.15712690099898699"/>
    <n v="0.10824917230183401"/>
    <n v="1.3884294787254301"/>
    <n v="0.126435947311136"/>
    <n v="2.2671720075279098"/>
    <n v="0.46228096109554601"/>
    <n v="0.55679039234622396"/>
    <m/>
  </r>
  <r>
    <x v="16"/>
    <s v="DIACOPE"/>
    <s v="IMM"/>
    <n v="-1"/>
    <n v="13"/>
    <n v="-1"/>
    <n v="-1"/>
    <n v="-1"/>
    <n v="37"/>
    <n v="-1"/>
    <n v="-1"/>
    <n v="-1"/>
    <n v="2133.3333333333298"/>
    <n v="873.32026753524701"/>
    <n v="-1"/>
    <n v="-1"/>
    <n v="-1"/>
    <n v="0.76500000000000001"/>
    <n v="0.497"/>
    <n v="0.78400000000000003"/>
    <n v="0.53500000000000003"/>
    <n v="0.84299999999999997"/>
    <n v="0.76200000000000001"/>
    <n v="0.41299999999999998"/>
    <n v="0.80700000000000005"/>
    <n v="0.82299999999999995"/>
    <n v="0.83899999999999997"/>
    <n v="0.44800000000000001"/>
    <n v="0.749"/>
    <n v="0.438"/>
    <n v="0.79600000000000004"/>
    <n v="0.46400000000000002"/>
    <n v="0.71299999999999997"/>
    <n v="0.47599999999999998"/>
    <n v="0.42499999999999999"/>
    <n v="0.61599999999999999"/>
    <n v="0.7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7776397238731381"/>
    <n v="1552.4487992341715"/>
    <n v="2.4502553339056399"/>
    <n v="0.80184656492513995"/>
    <n v="2.6109997400144702"/>
    <n v="0.97043068768626195"/>
    <n v="3.1508058599075199"/>
    <n v="2.4254459555178398"/>
    <n v="0.49640810074672398"/>
    <n v="2.81404268747472"/>
    <n v="2.96083222877968"/>
    <n v="3.1122301436175701"/>
    <n v="0.61282755207478401"/>
    <n v="2.31972302957114"/>
    <n v="0.578024401144001"/>
    <n v="2.7157705323466002"/>
    <n v="0.671134857517246"/>
    <n v="2.0418794981250898"/>
    <n v="0.71701828966870895"/>
    <n v="0.53463274537461503"/>
    <n v="1.3981129897744999"/>
    <n v="2.1703732792905099"/>
    <m/>
  </r>
  <r>
    <x v="16"/>
    <s v="DREPOLYV"/>
    <s v="MOL"/>
    <n v="-1"/>
    <n v="-1"/>
    <n v="-1"/>
    <n v="-1"/>
    <n v="-1"/>
    <n v="-1"/>
    <n v="-1"/>
    <n v="-1"/>
    <n v="-1"/>
    <n v="34272"/>
    <n v="14029.890097953699"/>
    <n v="33"/>
    <n v="30"/>
    <n v="63"/>
    <n v="0.10100000000000001"/>
    <n v="9.7000000000000003E-2"/>
    <n v="9.6000000000000002E-2"/>
    <n v="0.18"/>
    <n v="0.14299999999999999"/>
    <n v="0.104"/>
    <n v="9.9000000000000005E-2"/>
    <n v="9.9000000000000005E-2"/>
    <n v="9.8000000000000004E-2"/>
    <n v="9.8000000000000004E-2"/>
    <n v="0.10199999999999999"/>
    <n v="0.107"/>
    <n v="9.4E-2"/>
    <n v="0.123"/>
    <n v="0.159"/>
    <n v="0.10299999999999999"/>
    <n v="9.5000000000000001E-2"/>
    <n v="0.10299999999999999"/>
    <n v="0.115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357120648445253"/>
    <n v="2715.7827531051717"/>
    <n v="0.14640486397791924"/>
    <n v="0.13650699037718286"/>
    <n v="0.13413889927804937"/>
    <n v="0.58340161452356776"/>
    <n v="0.30532470744109852"/>
    <n v="0.15429646124708882"/>
    <n v="0.1413693296235311"/>
    <n v="0.1413693296235311"/>
    <n v="0.13891688780903549"/>
    <n v="0.13891688780903549"/>
    <n v="0.14898949868956468"/>
    <n v="0.16261343582795867"/>
    <n v="0.12952524767371265"/>
    <n v="0.21515868483059278"/>
    <n v="0.40398422285852364"/>
    <n v="0.15161976259966117"/>
    <n v="0.1318118892652273"/>
    <n v="0.15161976259966117"/>
    <n v="0.18704997457505201"/>
    <n v="0.16840567905905679"/>
    <m/>
  </r>
  <r>
    <x v="16"/>
    <s v="COPNAUP"/>
    <s v="NAU"/>
    <n v="-1"/>
    <n v="-1"/>
    <n v="-1"/>
    <n v="-1"/>
    <n v="-1"/>
    <n v="-1"/>
    <n v="-1"/>
    <n v="-1"/>
    <n v="-1"/>
    <n v="4896"/>
    <n v="2004.27001399339"/>
    <n v="4"/>
    <n v="5"/>
    <n v="9"/>
    <n v="0.14699999999999999"/>
    <n v="0.13"/>
    <n v="0.12"/>
    <n v="0.26600000000000001"/>
    <n v="0.104"/>
    <n v="0.10299999999999999"/>
    <n v="0.126"/>
    <n v="0.127"/>
    <n v="0.34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110648416745477"/>
    <n v="262.77279485692873"/>
    <n v="7.0752000921116026E-2"/>
    <n v="5.2679442313682365E-2"/>
    <n v="4.3472249504692119E-2"/>
    <n v="0.29369263183391103"/>
    <n v="3.0835936131534208E-2"/>
    <n v="3.012912106148239E-2"/>
    <n v="4.8872711129969722E-2"/>
    <n v="4.9808797095077323E-2"/>
    <n v="0.55971546751562762"/>
    <s v=""/>
    <s v=""/>
    <s v=""/>
    <s v=""/>
    <s v=""/>
    <s v=""/>
    <s v=""/>
    <s v=""/>
    <s v=""/>
    <s v=""/>
    <s v=""/>
    <m/>
  </r>
  <r>
    <x v="16"/>
    <s v="ASCECAU"/>
    <s v="ROT"/>
    <n v="-1"/>
    <n v="-1"/>
    <n v="-1"/>
    <n v="-1"/>
    <n v="-1"/>
    <n v="-1"/>
    <n v="-1"/>
    <n v="-1"/>
    <n v="-1"/>
    <n v="1088"/>
    <n v="445.39333644297602"/>
    <n v="0"/>
    <n v="2"/>
    <n v="2"/>
    <n v="0.13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411813999999998E-2"/>
    <n v="7.7551059309845192"/>
    <n v="2.6363999999999999E-2"/>
    <n v="8.4596280000000003E-3"/>
    <m/>
    <m/>
    <m/>
    <m/>
    <m/>
    <m/>
    <m/>
    <m/>
    <m/>
    <m/>
    <m/>
    <m/>
    <m/>
    <m/>
    <m/>
    <m/>
    <m/>
    <m/>
    <m/>
  </r>
  <r>
    <x v="16"/>
    <s v="ASCOVAL"/>
    <s v="ROT"/>
    <n v="-1"/>
    <n v="-1"/>
    <n v="-1"/>
    <n v="-1"/>
    <n v="-1"/>
    <n v="-1"/>
    <n v="-1"/>
    <n v="-1"/>
    <n v="-1"/>
    <n v="4352"/>
    <n v="1781.5733457719"/>
    <n v="5"/>
    <n v="3"/>
    <n v="8"/>
    <n v="8.5000000000000006E-2"/>
    <n v="0.10100000000000001"/>
    <n v="9.2999999999999999E-2"/>
    <n v="0.1"/>
    <n v="9.2999999999999999E-2"/>
    <n v="0.105"/>
    <n v="9.7000000000000003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1242475E-2"/>
    <n v="19.818662837769693"/>
    <n v="7.3695000000000002E-3"/>
    <n v="1.2363612E-2"/>
    <n v="9.6522840000000006E-3"/>
    <n v="1.2E-2"/>
    <n v="9.6522840000000006E-3"/>
    <n v="1.3891499999999999E-2"/>
    <n v="1.0952076E-2"/>
    <n v="1.3112723999999999E-2"/>
    <m/>
    <m/>
    <m/>
    <m/>
    <m/>
    <m/>
    <m/>
    <m/>
    <m/>
    <m/>
    <m/>
    <m/>
    <m/>
  </r>
  <r>
    <x v="16"/>
    <s v="ASPPRIO"/>
    <s v="ROT"/>
    <n v="-1"/>
    <n v="-1"/>
    <n v="-1"/>
    <n v="-1"/>
    <n v="-1"/>
    <n v="-1"/>
    <n v="-1"/>
    <n v="-1"/>
    <n v="-1"/>
    <n v="1088"/>
    <n v="445.39333644297602"/>
    <n v="2"/>
    <n v="0"/>
    <n v="2"/>
    <n v="0.68899999999999995"/>
    <n v="0.38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24909584125"/>
    <n v="768.26323473589991"/>
    <n v="2.9339324379299998"/>
    <n v="0.51588673031999999"/>
    <m/>
    <m/>
    <m/>
    <m/>
    <m/>
    <m/>
    <m/>
    <m/>
    <m/>
    <m/>
    <m/>
    <m/>
    <m/>
    <m/>
    <m/>
    <m/>
    <m/>
    <m/>
    <m/>
  </r>
  <r>
    <x v="16"/>
    <s v="COLSP"/>
    <s v="ROT"/>
    <n v="-1"/>
    <n v="-1"/>
    <n v="-1"/>
    <n v="-1"/>
    <n v="-1"/>
    <n v="-1"/>
    <n v="-1"/>
    <n v="-1"/>
    <n v="-1"/>
    <n v="3808"/>
    <n v="1558.87667755042"/>
    <n v="5"/>
    <n v="2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999999999999997E-2"/>
    <n v="3.2000000000000001E-2"/>
    <n v="3.1E-2"/>
    <n v="5.2999999999999999E-2"/>
    <n v="3.7999999999999999E-2"/>
    <n v="3.5999999999999997E-2"/>
    <n v="0.03"/>
    <m/>
    <m/>
    <m/>
    <m/>
    <m/>
    <m/>
    <m/>
    <m/>
    <m/>
    <m/>
    <m/>
    <m/>
    <m/>
    <n v="9.9416571428571441E-3"/>
    <n v="15.497817456202545"/>
    <n v="8.3980800000000005E-3"/>
    <n v="5.8982399999999999E-3"/>
    <n v="5.3623799999999999E-3"/>
    <n v="2.679786E-2"/>
    <n v="9.8769600000000006E-3"/>
    <n v="8.3980800000000005E-3"/>
    <n v="4.8599999999999997E-3"/>
    <m/>
    <m/>
    <m/>
    <m/>
    <m/>
    <m/>
    <m/>
    <m/>
    <m/>
    <m/>
    <m/>
    <m/>
    <m/>
    <m/>
  </r>
  <r>
    <x v="16"/>
    <s v="COOUNIC"/>
    <s v="ROT"/>
    <n v="-1"/>
    <n v="-1"/>
    <n v="-1"/>
    <n v="-1"/>
    <n v="-1"/>
    <n v="-1"/>
    <n v="-1"/>
    <n v="-1"/>
    <n v="-1"/>
    <n v="51680"/>
    <n v="21156.1834810414"/>
    <n v="52"/>
    <n v="43"/>
    <n v="95"/>
    <n v="8.5999999999999993E-2"/>
    <n v="7.0999999999999994E-2"/>
    <n v="0.1"/>
    <n v="0.14099999999999999"/>
    <n v="0.16900000000000001"/>
    <n v="0.11600000000000001"/>
    <n v="0.10299999999999999"/>
    <n v="9.2999999999999999E-2"/>
    <n v="9.4E-2"/>
    <n v="0.127"/>
    <n v="0.155"/>
    <n v="0.107"/>
    <n v="0.11899999999999999"/>
    <n v="0.153"/>
    <n v="0.13800000000000001"/>
    <n v="0.13100000000000001"/>
    <n v="0.14499999999999999"/>
    <n v="0.151"/>
    <n v="0.19700000000000001"/>
    <n v="0.11799999999999999"/>
    <m/>
    <m/>
    <m/>
    <m/>
    <m/>
    <m/>
    <m/>
    <m/>
    <m/>
    <m/>
    <m/>
    <m/>
    <m/>
    <m/>
    <m/>
    <m/>
    <m/>
    <m/>
    <m/>
    <m/>
    <n v="5.0999999999999997E-2"/>
    <n v="5.6000000000000001E-2"/>
    <n v="6.9000000000000006E-2"/>
    <n v="6.7000000000000004E-2"/>
    <n v="5.3999999999999999E-2"/>
    <n v="0.06"/>
    <n v="0.06"/>
    <n v="5.6000000000000001E-2"/>
    <n v="4.9000000000000002E-2"/>
    <n v="5.8000000000000003E-2"/>
    <n v="0.06"/>
    <n v="7.2999999999999995E-2"/>
    <n v="6.0999999999999999E-2"/>
    <n v="6.8000000000000005E-2"/>
    <n v="6.2E-2"/>
    <n v="5.8000000000000003E-2"/>
    <n v="6.4000000000000001E-2"/>
    <n v="5.6000000000000001E-2"/>
    <n v="6.0999999999999999E-2"/>
    <n v="6.0999999999999999E-2"/>
    <n v="1.2051475799999999E-2"/>
    <n v="254.96323324213017"/>
    <n v="5.8158359999999996E-3"/>
    <n v="5.7890559999999999E-3"/>
    <n v="1.23786E-2"/>
    <n v="1.6456674000000001E-2"/>
    <n v="1.2812904E-2"/>
    <n v="1.08576E-2"/>
    <n v="9.6407999999999997E-3"/>
    <n v="7.5828479999999997E-3"/>
    <n v="5.8680440000000002E-3"/>
    <n v="1.1107928E-2"/>
    <n v="1.4508E-2"/>
    <n v="1.4825278000000001E-2"/>
    <n v="1.1512774E-2"/>
    <n v="1.8394272E-2"/>
    <n v="1.3792272E-2"/>
    <n v="1.1457784E-2"/>
    <n v="1.544192E-2"/>
    <n v="1.2311936000000001E-2"/>
    <n v="1.9058961999999999E-2"/>
    <n v="1.1416028E-2"/>
    <m/>
  </r>
  <r>
    <x v="16"/>
    <s v="GASSTYL"/>
    <s v="ROT"/>
    <n v="-1"/>
    <n v="-1"/>
    <n v="-1"/>
    <n v="-1"/>
    <n v="-1"/>
    <n v="-1"/>
    <n v="-1"/>
    <n v="-1"/>
    <n v="-1"/>
    <n v="8160"/>
    <n v="3340.4500233223198"/>
    <n v="13"/>
    <n v="2"/>
    <n v="15"/>
    <n v="9.9000000000000005E-2"/>
    <n v="9.8000000000000004E-2"/>
    <n v="0.112"/>
    <n v="0.11700000000000001"/>
    <n v="9.9000000000000005E-2"/>
    <n v="9.0999999999999998E-2"/>
    <n v="0.10100000000000001"/>
    <n v="9.7000000000000003E-2"/>
    <n v="9.2999999999999999E-2"/>
    <n v="8.5999999999999993E-2"/>
    <n v="8.3000000000000004E-2"/>
    <n v="9.0999999999999998E-2"/>
    <n v="7.8E-2"/>
    <n v="0.107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405084000000002E-2"/>
    <n v="61.481263277049258"/>
    <n v="1.940598E-2"/>
    <n v="1.8823840000000001E-2"/>
    <n v="2.8098560000000002E-2"/>
    <n v="3.203226E-2"/>
    <n v="1.940598E-2"/>
    <n v="1.507142E-2"/>
    <n v="2.0606019999999999E-2"/>
    <n v="1.8253459999999999E-2"/>
    <n v="1.608714E-2"/>
    <n v="1.2721120000000001E-2"/>
    <n v="1.143574E-2"/>
    <n v="1.507142E-2"/>
    <n v="9.4910399999999992E-3"/>
    <n v="2.4500859999999999E-2"/>
    <n v="1.507142E-2"/>
    <m/>
    <m/>
    <m/>
    <m/>
    <m/>
    <m/>
  </r>
  <r>
    <x v="16"/>
    <s v="KELLONG"/>
    <s v="ROT"/>
    <n v="-1"/>
    <n v="-1"/>
    <n v="-1"/>
    <n v="-1"/>
    <n v="-1"/>
    <n v="-1"/>
    <n v="-1"/>
    <n v="-1"/>
    <n v="-1"/>
    <n v="13600"/>
    <n v="5567.4167055372"/>
    <n v="10"/>
    <n v="15"/>
    <n v="25"/>
    <n v="0.15"/>
    <n v="0.1"/>
    <n v="0.13900000000000001"/>
    <n v="0.13900000000000001"/>
    <n v="0.14899999999999999"/>
    <n v="0.129"/>
    <n v="0.13400000000000001"/>
    <n v="0.13900000000000001"/>
    <n v="0.13400000000000001"/>
    <n v="0.14899999999999999"/>
    <n v="8.5999999999999993E-2"/>
    <n v="0.13700000000000001"/>
    <n v="0.127"/>
    <n v="0.1"/>
    <n v="0.13500000000000001"/>
    <n v="0.13600000000000001"/>
    <n v="0.13100000000000001"/>
    <n v="0.13900000000000001"/>
    <n v="0.128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0232931090000008E-3"/>
    <n v="39.1015993829309"/>
    <n v="1.0276875E-2"/>
    <n v="3.045E-3"/>
    <n v="8.1777098549999996E-3"/>
    <n v="8.1777098549999996E-3"/>
    <n v="1.0072704704999999E-2"/>
    <n v="6.5366680050000002E-3"/>
    <n v="7.3265866800000003E-3"/>
    <n v="8.1777098549999996E-3"/>
    <n v="7.3265866800000003E-3"/>
    <n v="1.0072704704999999E-2"/>
    <n v="1.93679052E-3"/>
    <n v="7.8297698850000007E-3"/>
    <n v="6.237326235E-3"/>
    <n v="3.045E-3"/>
    <n v="7.4918418750000004E-3"/>
    <n v="7.65956352E-3"/>
    <n v="6.8454370950000003E-3"/>
    <n v="8.1777098549999996E-3"/>
    <n v="6.3858278400000003E-3"/>
    <n v="5.6663400150000001E-3"/>
    <m/>
  </r>
  <r>
    <x v="16"/>
    <s v="KERCOCH"/>
    <s v="ROT"/>
    <n v="-1"/>
    <n v="-1"/>
    <n v="-1"/>
    <n v="-1"/>
    <n v="-1"/>
    <n v="-1"/>
    <n v="-1"/>
    <n v="-1"/>
    <n v="-1"/>
    <n v="31008"/>
    <n v="12693.710088624801"/>
    <n v="33"/>
    <n v="24"/>
    <n v="57"/>
    <n v="8.2000000000000003E-2"/>
    <n v="8.8999999999999996E-2"/>
    <n v="8.2000000000000003E-2"/>
    <n v="0.106"/>
    <n v="8.4000000000000005E-2"/>
    <n v="8.6999999999999994E-2"/>
    <n v="8.4000000000000005E-2"/>
    <n v="0.08"/>
    <n v="7.6999999999999999E-2"/>
    <n v="8.6999999999999994E-2"/>
    <n v="8.2000000000000003E-2"/>
    <n v="8.7999999999999995E-2"/>
    <n v="8.8999999999999996E-2"/>
    <n v="8.5000000000000006E-2"/>
    <n v="8.3000000000000004E-2"/>
    <n v="8.5000000000000006E-2"/>
    <n v="9.7000000000000003E-2"/>
    <n v="7.6999999999999999E-2"/>
    <n v="9.4E-2"/>
    <n v="8.2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958672000000003E-3"/>
    <n v="16.449362550157975"/>
    <n v="1.102736E-3"/>
    <n v="1.4099379999999999E-3"/>
    <n v="1.102736E-3"/>
    <n v="2.3820320000000001E-3"/>
    <n v="1.185408E-3"/>
    <n v="1.3170059999999999E-3"/>
    <n v="1.185408E-3"/>
    <n v="1.024E-3"/>
    <n v="9.1306600000000003E-4"/>
    <n v="1.3170059999999999E-3"/>
    <n v="1.102736E-3"/>
    <n v="1.362944E-3"/>
    <n v="1.4099379999999999E-3"/>
    <n v="1.22825E-3"/>
    <n v="1.1435740000000001E-3"/>
    <n v="1.22825E-3"/>
    <n v="1.825346E-3"/>
    <n v="9.1306600000000003E-4"/>
    <n v="1.661168E-3"/>
    <n v="1.102736E-3"/>
    <m/>
  </r>
  <r>
    <x v="16"/>
    <s v="KERCRAS"/>
    <s v="ROT"/>
    <n v="-1"/>
    <n v="-1"/>
    <n v="-1"/>
    <n v="-1"/>
    <n v="-1"/>
    <n v="-1"/>
    <n v="-1"/>
    <n v="-1"/>
    <n v="-1"/>
    <n v="20672"/>
    <n v="8462.4733924165394"/>
    <n v="18"/>
    <n v="20"/>
    <n v="38"/>
    <n v="0.121"/>
    <n v="0.127"/>
    <n v="0.11600000000000001"/>
    <n v="0.123"/>
    <n v="0.11799999999999999"/>
    <n v="0.11600000000000001"/>
    <n v="0.13"/>
    <n v="0.12"/>
    <n v="0.13"/>
    <n v="0.129"/>
    <n v="0.109"/>
    <n v="0.109"/>
    <n v="0.127"/>
    <n v="0.11700000000000001"/>
    <n v="0.112"/>
    <n v="0.126"/>
    <n v="0.123"/>
    <n v="0.107"/>
    <n v="0.11799999999999999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860184999999993E-3"/>
    <n v="29.50033880172181"/>
    <n v="3.5431220000000001E-3"/>
    <n v="4.0967659999999999E-3"/>
    <n v="3.121792E-3"/>
    <n v="3.721734E-3"/>
    <n v="3.286064E-3"/>
    <n v="3.121792E-3"/>
    <n v="4.3940000000000003E-3"/>
    <n v="3.4559999999999999E-3"/>
    <n v="4.3940000000000003E-3"/>
    <n v="4.2933779999999996E-3"/>
    <n v="2.5900580000000001E-3"/>
    <n v="2.5900580000000001E-3"/>
    <n v="4.0967659999999999E-3"/>
    <n v="3.203226E-3"/>
    <n v="2.8098559999999999E-3"/>
    <n v="4.0007519999999998E-3"/>
    <n v="3.721734E-3"/>
    <n v="2.4500860000000002E-3"/>
    <n v="3.286064E-3"/>
    <n v="3.5431220000000001E-3"/>
    <m/>
  </r>
  <r>
    <x v="16"/>
    <s v="KEREARL"/>
    <s v="ROT"/>
    <n v="-1"/>
    <n v="-1"/>
    <n v="-1"/>
    <n v="-1"/>
    <n v="-1"/>
    <n v="-1"/>
    <n v="-1"/>
    <n v="-1"/>
    <n v="-1"/>
    <n v="3808"/>
    <n v="1558.87667755042"/>
    <n v="4"/>
    <n v="3"/>
    <n v="7"/>
    <n v="0.1"/>
    <n v="0.112"/>
    <n v="0.10199999999999999"/>
    <n v="9.8000000000000004E-2"/>
    <n v="0.112"/>
    <n v="0.10199999999999999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410751428571427E-3"/>
    <n v="3.4935597728379757"/>
    <n v="2E-3"/>
    <n v="2.8098559999999999E-3"/>
    <n v="2.1224159999999998E-3"/>
    <n v="1.882384E-3"/>
    <n v="2.8098559999999999E-3"/>
    <n v="2.1224159999999998E-3"/>
    <n v="1.940598E-3"/>
    <m/>
    <m/>
    <m/>
    <m/>
    <m/>
    <m/>
    <m/>
    <m/>
    <m/>
    <m/>
    <m/>
    <m/>
    <m/>
    <m/>
  </r>
  <r>
    <x v="16"/>
    <s v="PLOHUDS"/>
    <s v="ROT"/>
    <n v="-1"/>
    <n v="-1"/>
    <n v="-1"/>
    <n v="-1"/>
    <n v="-1"/>
    <n v="-1"/>
    <n v="-1"/>
    <n v="-1"/>
    <n v="-1"/>
    <n v="1088"/>
    <n v="445.39333644297602"/>
    <n v="0"/>
    <n v="2"/>
    <n v="2"/>
    <n v="0.33"/>
    <n v="0.32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661624000000002"/>
    <n v="154.38056359891934"/>
    <n v="0.35937000000000002"/>
    <n v="0.33386248000000002"/>
    <m/>
    <m/>
    <m/>
    <m/>
    <m/>
    <m/>
    <m/>
    <m/>
    <m/>
    <m/>
    <m/>
    <m/>
    <m/>
    <m/>
    <m/>
    <m/>
    <m/>
    <m/>
    <m/>
  </r>
  <r>
    <x v="16"/>
    <s v="PLOLENT"/>
    <s v="ROT"/>
    <n v="-1"/>
    <n v="-1"/>
    <n v="-1"/>
    <n v="-1"/>
    <n v="-1"/>
    <n v="-1"/>
    <n v="-1"/>
    <n v="-1"/>
    <n v="-1"/>
    <n v="3264"/>
    <n v="1336.1800093289301"/>
    <n v="5"/>
    <n v="1"/>
    <n v="6"/>
    <n v="0.19800000000000001"/>
    <n v="0.13300000000000001"/>
    <n v="0.20899999999999999"/>
    <n v="0.185"/>
    <n v="0.23200000000000001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933838333333343E-2"/>
    <n v="89.435656728654436"/>
    <n v="7.7623919999999999E-2"/>
    <n v="2.3526370000000001E-2"/>
    <n v="9.1293289999999999E-2"/>
    <n v="6.3316250000000004E-2"/>
    <n v="0.12487168"/>
    <n v="2.097152E-2"/>
    <m/>
    <m/>
    <m/>
    <m/>
    <m/>
    <m/>
    <m/>
    <m/>
    <m/>
    <m/>
    <m/>
    <m/>
    <m/>
    <m/>
    <m/>
  </r>
  <r>
    <x v="16"/>
    <s v="PLOTRUN"/>
    <s v="ROT"/>
    <n v="-1"/>
    <n v="-1"/>
    <n v="-1"/>
    <n v="-1"/>
    <n v="-1"/>
    <n v="-1"/>
    <n v="-1"/>
    <n v="-1"/>
    <n v="-1"/>
    <n v="17408"/>
    <n v="7126.29338308761"/>
    <n v="14"/>
    <n v="18"/>
    <n v="32"/>
    <n v="9.7000000000000003E-2"/>
    <n v="0.111"/>
    <n v="0.105"/>
    <n v="0.11"/>
    <n v="0.12"/>
    <n v="0.122"/>
    <n v="0.106"/>
    <n v="0.11899999999999999"/>
    <n v="0.11600000000000001"/>
    <n v="0.123"/>
    <n v="0.13300000000000001"/>
    <n v="0.125"/>
    <n v="0.129"/>
    <n v="0.107"/>
    <n v="0.125"/>
    <n v="0.129"/>
    <n v="0.127"/>
    <n v="0.13400000000000001"/>
    <n v="0.12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570931499999998E-2"/>
    <n v="125.21561288313563"/>
    <n v="9.1267299999999996E-3"/>
    <n v="1.3676310000000001E-2"/>
    <n v="1.157625E-2"/>
    <n v="1.3310000000000001E-2"/>
    <n v="1.728E-2"/>
    <n v="1.8158480000000001E-2"/>
    <n v="1.1910159999999999E-2"/>
    <n v="1.685159E-2"/>
    <n v="1.560896E-2"/>
    <n v="1.8608670000000001E-2"/>
    <n v="2.3526370000000001E-2"/>
    <n v="1.953125E-2"/>
    <n v="2.1466889999999999E-2"/>
    <n v="1.225043E-2"/>
    <n v="1.953125E-2"/>
    <n v="2.1466889999999999E-2"/>
    <n v="2.0483830000000001E-2"/>
    <n v="2.4061039999999999E-2"/>
    <n v="1.728E-2"/>
    <n v="2.5713529999999998E-2"/>
    <m/>
  </r>
  <r>
    <x v="16"/>
    <s v="POLSP"/>
    <s v="ROT"/>
    <n v="-1"/>
    <n v="-1"/>
    <n v="-1"/>
    <n v="-1"/>
    <n v="-1"/>
    <n v="-1"/>
    <n v="-1"/>
    <n v="-1"/>
    <n v="-1"/>
    <n v="10880"/>
    <n v="4453.9333644297603"/>
    <n v="11"/>
    <n v="9"/>
    <n v="20"/>
    <n v="9.9000000000000005E-2"/>
    <n v="8.3000000000000004E-2"/>
    <n v="8.1000000000000003E-2"/>
    <n v="0.11600000000000001"/>
    <n v="0.10299999999999999"/>
    <n v="9.1999999999999998E-2"/>
    <n v="8.8999999999999996E-2"/>
    <n v="0.12"/>
    <n v="0.124"/>
    <n v="0.112"/>
    <n v="0.11700000000000001"/>
    <n v="8.6999999999999994E-2"/>
    <n v="0.08"/>
    <n v="9.4E-2"/>
    <n v="8.8999999999999996E-2"/>
    <n v="9.0999999999999998E-2"/>
    <n v="0.105"/>
    <n v="0.108"/>
    <n v="9.1999999999999998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724540539999999E-2"/>
    <n v="141.29898958231053"/>
    <n v="2.9885209199999999E-2"/>
    <n v="1.76110396E-2"/>
    <n v="1.6368382800000001E-2"/>
    <n v="4.8075596800000002E-2"/>
    <n v="3.3655991599999997E-2"/>
    <n v="2.3983590400000001E-2"/>
    <n v="2.1713045199999999E-2"/>
    <n v="5.3222400000000003E-2"/>
    <n v="5.8724019199999998E-2"/>
    <n v="4.32717824E-2"/>
    <n v="4.9329680399999999E-2"/>
    <n v="2.0281892400000001E-2"/>
    <n v="1.5769600000000002E-2"/>
    <n v="2.55819872E-2"/>
    <n v="2.1713045199999999E-2"/>
    <n v="2.3209986799999999E-2"/>
    <n v="3.5654850000000002E-2"/>
    <n v="3.8799129600000003E-2"/>
    <n v="2.3983590400000001E-2"/>
    <n v="3.3655991599999997E-2"/>
    <m/>
  </r>
  <r>
    <x v="16"/>
    <s v="POLVULG"/>
    <s v="ROT"/>
    <n v="-1"/>
    <n v="-1"/>
    <n v="-1"/>
    <n v="-1"/>
    <n v="-1"/>
    <n v="-1"/>
    <n v="-1"/>
    <n v="-1"/>
    <n v="-1"/>
    <n v="3264"/>
    <n v="1336.1800093289301"/>
    <n v="6"/>
    <n v="0"/>
    <n v="6"/>
    <n v="0.11899999999999999"/>
    <n v="0.105"/>
    <n v="9.9000000000000005E-2"/>
    <n v="0.123"/>
    <n v="0.127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289124933333335E-2"/>
    <n v="61.850603385249343"/>
    <n v="5.1902897199999999E-2"/>
    <n v="3.5654850000000002E-2"/>
    <n v="2.9885209199999999E-2"/>
    <n v="5.7314703600000003E-2"/>
    <n v="6.3090196400000007E-2"/>
    <n v="3.9886893200000002E-2"/>
    <m/>
    <m/>
    <m/>
    <m/>
    <m/>
    <m/>
    <m/>
    <m/>
    <m/>
    <m/>
    <m/>
    <m/>
    <m/>
    <m/>
    <m/>
  </r>
  <r>
    <x v="16"/>
    <s v="SYNSP"/>
    <s v="ROT"/>
    <n v="-1"/>
    <n v="-1"/>
    <n v="-1"/>
    <n v="-1"/>
    <n v="-1"/>
    <n v="-1"/>
    <n v="-1"/>
    <n v="-1"/>
    <n v="-1"/>
    <n v="16864"/>
    <n v="6903.5967148661302"/>
    <n v="18"/>
    <n v="13"/>
    <n v="31"/>
    <n v="0.13200000000000001"/>
    <n v="8.4000000000000005E-2"/>
    <n v="0.14000000000000001"/>
    <n v="0.17299999999999999"/>
    <n v="0.1"/>
    <n v="0.153"/>
    <n v="9.1999999999999998E-2"/>
    <n v="9.8000000000000004E-2"/>
    <n v="0.154"/>
    <n v="0.14000000000000001"/>
    <n v="0.16200000000000001"/>
    <n v="0.11700000000000001"/>
    <n v="0.13500000000000001"/>
    <n v="0.16300000000000001"/>
    <n v="0.105"/>
    <n v="0.13700000000000001"/>
    <n v="0.16700000000000001"/>
    <n v="0.16500000000000001"/>
    <n v="0.1320000000000000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099097499999995E-2"/>
    <n v="187.08124047683694"/>
    <n v="2.2999680000000002E-2"/>
    <n v="5.9270399999999997E-3"/>
    <n v="2.7439999999999999E-2"/>
    <n v="5.1777169999999997E-2"/>
    <n v="0.01"/>
    <n v="3.5815769999999997E-2"/>
    <n v="7.7868800000000004E-3"/>
    <n v="9.4119200000000007E-3"/>
    <n v="3.6522640000000002E-2"/>
    <n v="2.7439999999999999E-2"/>
    <n v="4.2515280000000003E-2"/>
    <n v="1.601613E-2"/>
    <n v="2.4603750000000001E-2"/>
    <n v="4.3307470000000001E-2"/>
    <n v="1.157625E-2"/>
    <n v="2.5713529999999998E-2"/>
    <n v="4.6574629999999999E-2"/>
    <n v="4.4921250000000003E-2"/>
    <n v="2.2999680000000002E-2"/>
    <n v="2.8632879999999999E-2"/>
    <m/>
  </r>
  <r>
    <x v="16"/>
    <s v="TRICYLI"/>
    <s v="ROT"/>
    <n v="-1"/>
    <n v="-1"/>
    <n v="-1"/>
    <n v="-1"/>
    <n v="-1"/>
    <n v="-1"/>
    <n v="-1"/>
    <n v="-1"/>
    <n v="-1"/>
    <n v="12512"/>
    <n v="5122.0233690942196"/>
    <n v="10"/>
    <n v="13"/>
    <n v="23"/>
    <n v="0.32400000000000001"/>
    <n v="0.25900000000000001"/>
    <n v="0.191"/>
    <n v="0.34899999999999998"/>
    <n v="0.27"/>
    <n v="0.32500000000000001"/>
    <n v="0.22900000000000001"/>
    <n v="0.33500000000000002"/>
    <n v="0.28899999999999998"/>
    <n v="0.38"/>
    <n v="0.311"/>
    <n v="0.38900000000000001"/>
    <n v="0.35699999999999998"/>
    <n v="0.24399999999999999"/>
    <n v="0.224"/>
    <n v="0.27400000000000002"/>
    <n v="0.318"/>
    <n v="0.25700000000000001"/>
    <n v="0.34100000000000003"/>
    <n v="0.216"/>
    <m/>
    <m/>
    <m/>
    <m/>
    <m/>
    <m/>
    <m/>
    <m/>
    <m/>
    <m/>
    <m/>
    <m/>
    <m/>
    <m/>
    <m/>
    <m/>
    <m/>
    <m/>
    <m/>
    <m/>
    <n v="7.9000000000000001E-2"/>
    <n v="7.0999999999999994E-2"/>
    <n v="7.2999999999999995E-2"/>
    <n v="8.5000000000000006E-2"/>
    <n v="7.2999999999999995E-2"/>
    <n v="7.8E-2"/>
    <n v="9.0999999999999998E-2"/>
    <n v="8.2000000000000003E-2"/>
    <n v="8.5000000000000006E-2"/>
    <n v="9.0999999999999998E-2"/>
    <n v="7.6999999999999999E-2"/>
    <n v="6.6000000000000003E-2"/>
    <n v="7.6999999999999999E-2"/>
    <n v="6.4000000000000001E-2"/>
    <n v="0.11899999999999999"/>
    <n v="0.06"/>
    <n v="7.0999999999999994E-2"/>
    <n v="6.3E-2"/>
    <n v="8.2000000000000003E-2"/>
    <n v="7.6999999999999999E-2"/>
    <n v="9.5930933082399986E-2"/>
    <n v="491.36048106706647"/>
    <n v="0.10577925820799999"/>
    <n v="6.8299541128000005E-2"/>
    <n v="5.3245193768E-2"/>
    <n v="0.1319060158"/>
    <n v="7.526807496E-2"/>
    <n v="0.1034365176"/>
    <n v="9.9201808887999995E-2"/>
    <n v="0.11783487248000001"/>
    <n v="0.1092287638"/>
    <n v="0.16461435535999999"/>
    <n v="9.6459090728000005E-2"/>
    <n v="8.8641847007999999E-2"/>
    <n v="0.110726351736"/>
    <n v="5.2281868288000001E-2"/>
    <n v="0.16593701196800001"/>
    <n v="5.1600556800000003E-2"/>
    <n v="8.3858123856E-2"/>
    <n v="5.3359966295999997E-2"/>
    <n v="0.11994534780799999"/>
    <n v="6.6994095168000006E-2"/>
    <m/>
  </r>
  <r>
    <x v="16"/>
    <s v="TRIMULT"/>
    <s v="ROT"/>
    <n v="-1"/>
    <n v="-1"/>
    <n v="-1"/>
    <n v="-1"/>
    <n v="-1"/>
    <n v="-1"/>
    <n v="-1"/>
    <n v="-1"/>
    <n v="-1"/>
    <n v="2720"/>
    <n v="1113.4833411074401"/>
    <n v="5"/>
    <n v="0"/>
    <n v="5"/>
    <n v="0.185"/>
    <n v="0.20200000000000001"/>
    <n v="0.17"/>
    <n v="0.18"/>
    <n v="0.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4E-2"/>
    <n v="0.108"/>
    <n v="0.10199999999999999"/>
    <n v="8.6999999999999994E-2"/>
    <n v="9.2999999999999999E-2"/>
    <m/>
    <m/>
    <m/>
    <m/>
    <m/>
    <m/>
    <m/>
    <m/>
    <m/>
    <m/>
    <m/>
    <m/>
    <m/>
    <m/>
    <m/>
    <n v="9.1614518257600003E-2"/>
    <n v="102.01123988342103"/>
    <n v="8.5512333920000003E-2"/>
    <n v="0.123253767936"/>
    <n v="9.2523188160000006E-2"/>
    <n v="7.1270915039999994E-2"/>
    <n v="8.5512386231999998E-2"/>
    <m/>
    <m/>
    <m/>
    <m/>
    <m/>
    <m/>
    <m/>
    <m/>
    <m/>
    <m/>
    <m/>
    <m/>
    <m/>
    <m/>
    <m/>
    <m/>
  </r>
  <r>
    <x v="17"/>
    <s v="BOSLONG"/>
    <s v="CLA"/>
    <n v="-1"/>
    <n v="17"/>
    <n v="-1"/>
    <n v="-1"/>
    <n v="-1"/>
    <n v="23"/>
    <n v="-1"/>
    <n v="-1"/>
    <n v="-1"/>
    <n v="1706.6666666666699"/>
    <n v="607.83090620453197"/>
    <n v="-1"/>
    <n v="-1"/>
    <n v="-1"/>
    <n v="0.34899999999999998"/>
    <n v="0.217"/>
    <n v="0.39600000000000002"/>
    <n v="0.33100000000000002"/>
    <n v="0.379"/>
    <n v="0.23799999999999999"/>
    <n v="0.28999999999999998"/>
    <n v="0.40699999999999997"/>
    <n v="0.32400000000000001"/>
    <n v="0.47399999999999998"/>
    <n v="0.48799999999999999"/>
    <n v="0.32900000000000001"/>
    <n v="0.30599999999999999"/>
    <n v="0.29199999999999998"/>
    <n v="0.33500000000000002"/>
    <n v="0.38200000000000001"/>
    <n v="0.371"/>
    <n v="0.34"/>
    <n v="0.35499999999999998"/>
    <n v="0.276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0851719682265859"/>
    <n v="659.60106083492133"/>
    <n v="1.04991699361795"/>
    <n v="0.315536614521782"/>
    <n v="1.4453580822477501"/>
    <n v="0.91827224777882899"/>
    <n v="1.29349226539731"/>
    <n v="0.39860829884570198"/>
    <n v="0.65716370524932799"/>
    <n v="1.54910369648972"/>
    <n v="0.86993240924878301"/>
    <n v="2.2778537640162702"/>
    <n v="2.45193404922151"/>
    <n v="0.90429942924878204"/>
    <n v="0.75280387152912998"/>
    <n v="0.66869064751763696"/>
    <n v="0.94660762129906295"/>
    <n v="1.3195533180986501"/>
    <n v="1.22552627326874"/>
    <n v="0.98276186324897996"/>
    <n v="1.09618629530351"/>
    <n v="0.57983791838228904"/>
    <m/>
  </r>
  <r>
    <x v="17"/>
    <s v="BYTLONG"/>
    <s v="CLA"/>
    <n v="35"/>
    <n v="-1"/>
    <n v="-1"/>
    <n v="-1"/>
    <n v="-1"/>
    <n v="-1"/>
    <n v="-1"/>
    <n v="-1"/>
    <n v="-1"/>
    <n v="35"/>
    <n v="12.465282256147599"/>
    <n v="-1"/>
    <n v="-1"/>
    <n v="-1"/>
    <n v="2.6379999999999999"/>
    <n v="2.419"/>
    <n v="3.18"/>
    <n v="2.6160000000000001"/>
    <n v="1.9910000000000001"/>
    <n v="2.669"/>
    <n v="1.998"/>
    <n v="4.0830000000000002"/>
    <n v="3.0950000000000002"/>
    <n v="2.4340000000000002"/>
    <n v="2.286"/>
    <n v="2.198"/>
    <n v="2.5619999999999998"/>
    <n v="3.0990000000000002"/>
    <n v="3.13"/>
    <n v="2.698"/>
    <n v="2.891"/>
    <n v="1.8560000000000001"/>
    <n v="2.766"/>
    <n v="2.170999999999999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34.28356637678962"/>
    <n v="1673.882557248814"/>
    <n v="128.68196896138099"/>
    <n v="107.362433973151"/>
    <n v="190.16301943075899"/>
    <n v="126.44925054539701"/>
    <n v="71.4681133019253"/>
    <n v="131.862681465983"/>
    <n v="71.994272099158295"/>
    <n v="320.62714494360603"/>
    <n v="179.694237119859"/>
    <n v="108.758543591245"/>
    <n v="95.394359467605497"/>
    <n v="87.880243558419807"/>
    <n v="121.05528538568301"/>
    <n v="180.17995666319001"/>
    <n v="183.967475705364"/>
    <n v="134.87487324366199"/>
    <n v="155.82742544225999"/>
    <n v="61.713665898114797"/>
    <n v="142.07721358748299"/>
    <n v="85.639163151545603"/>
    <m/>
  </r>
  <r>
    <x v="17"/>
    <s v="DAPGALEM"/>
    <s v="CLA"/>
    <n v="-1"/>
    <n v="5"/>
    <n v="-1"/>
    <n v="-1"/>
    <n v="-1"/>
    <n v="7"/>
    <n v="-1"/>
    <n v="-1"/>
    <n v="-1"/>
    <n v="512"/>
    <n v="182.34927186135999"/>
    <n v="-1"/>
    <n v="-1"/>
    <n v="-1"/>
    <n v="0.59499999999999997"/>
    <n v="0.873"/>
    <n v="0.91100000000000003"/>
    <n v="0.88500000000000001"/>
    <n v="0.85499999999999998"/>
    <n v="0.88"/>
    <n v="0.86799999999999999"/>
    <n v="1.7410000000000001"/>
    <n v="0.64900000000000002"/>
    <n v="0.70299999999999996"/>
    <n v="0.878"/>
    <n v="1.403"/>
    <m/>
    <m/>
    <m/>
    <m/>
    <m/>
    <m/>
    <m/>
    <m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n v="5.4586001809720273"/>
    <n v="995.37176838253708"/>
    <n v="1.1371093672316099"/>
    <n v="3.3779600313675"/>
    <n v="3.8124683334130398"/>
    <n v="3.5115021873010801"/>
    <n v="3.18388828014101"/>
    <n v="3.4554518319187402"/>
    <n v="3.3233040283772901"/>
    <n v="23.990680360788399"/>
    <n v="1.4552881512767999"/>
    <n v="1.82611102099811"/>
    <n v="3.4331950656455499"/>
    <n v="12.996243513205201"/>
    <m/>
    <m/>
    <m/>
    <m/>
    <m/>
    <m/>
    <m/>
    <m/>
    <m/>
  </r>
  <r>
    <x v="17"/>
    <s v="LETKIND"/>
    <s v="CLA"/>
    <n v="-1"/>
    <n v="22"/>
    <n v="-1"/>
    <n v="-1"/>
    <n v="-1"/>
    <n v="-1"/>
    <n v="-1"/>
    <n v="-1"/>
    <n v="-1"/>
    <n v="2816"/>
    <n v="1002.92099523748"/>
    <n v="-1"/>
    <n v="-1"/>
    <n v="-1"/>
    <n v="3.7360000000000002"/>
    <n v="1.143"/>
    <n v="1.4139999999999999"/>
    <n v="2.9940000000000002"/>
    <n v="1.611"/>
    <n v="2.8250000000000002"/>
    <n v="2.9279999999999999"/>
    <n v="0.67400000000000004"/>
    <n v="1.958"/>
    <n v="3.2690000000000001"/>
    <n v="1.6060000000000001"/>
    <n v="2.2799999999999998"/>
    <n v="2.1880000000000002"/>
    <n v="4.17"/>
    <n v="1.706"/>
    <n v="3.2970000000000002"/>
    <n v="1.3839999999999999"/>
    <n v="3.3620000000000001"/>
    <n v="3.2050000000000001"/>
    <n v="6.482999999999999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9.1239449017993728"/>
    <n v="9150.5959014045584"/>
    <n v="14.836664367267799"/>
    <n v="0.62804877235105705"/>
    <n v="1.1084340518456099"/>
    <n v="8.2148990557182398"/>
    <n v="1.57020020164227"/>
    <n v="7.0344347105944198"/>
    <n v="7.7402448509001802"/>
    <n v="0.153296365968143"/>
    <n v="2.6433204227712501"/>
    <n v="10.3871827798363"/>
    <n v="1.5572219982470701"/>
    <n v="3.9691359759795799"/>
    <n v="3.5557913902599898"/>
    <n v="19.896340405834099"/>
    <n v="1.8297591918020999"/>
    <n v="10.6264334018356"/>
    <n v="1.04675078798826"/>
    <n v="11.195044369937101"/>
    <n v="9.8530522600031993"/>
    <n v="64.632642675205204"/>
    <m/>
  </r>
  <r>
    <x v="17"/>
    <s v="DIYTHOM"/>
    <s v="COP"/>
    <n v="-1"/>
    <n v="4"/>
    <n v="0"/>
    <n v="-1"/>
    <n v="-1"/>
    <n v="10"/>
    <n v="8"/>
    <n v="-1"/>
    <n v="-1"/>
    <n v="938.66666666666697"/>
    <n v="334.30699841249299"/>
    <n v="-1"/>
    <n v="-1"/>
    <n v="-1"/>
    <n v="0.94499999999999995"/>
    <n v="1.1040000000000001"/>
    <n v="0.98699999999999999"/>
    <n v="1.002"/>
    <n v="0.94899999999999995"/>
    <n v="1.014"/>
    <n v="1.014"/>
    <n v="1.0169999999999999"/>
    <n v="0.84899999999999998"/>
    <n v="0.78300000000000003"/>
    <n v="0.82499999999999996"/>
    <n v="0.99199999999999999"/>
    <n v="1.012"/>
    <n v="0.85299999999999998"/>
    <n v="0.96199999999999997"/>
    <n v="0.94399999999999995"/>
    <n v="0.71599999999999997"/>
    <n v="1.008"/>
    <n v="1.077"/>
    <n v="1.0049999999999999"/>
    <s v="F"/>
    <s v="F"/>
    <s v="F"/>
    <s v="F"/>
    <s v="F"/>
    <s v="M"/>
    <s v="F"/>
    <s v="F"/>
    <s v="M"/>
    <s v="M"/>
    <s v="M"/>
    <s v="F"/>
    <s v="F"/>
    <s v="M"/>
    <s v="F"/>
    <s v="M"/>
    <s v="M"/>
    <s v="F"/>
    <s v="F"/>
    <s v="F"/>
    <m/>
    <m/>
    <m/>
    <m/>
    <m/>
    <m/>
    <m/>
    <m/>
    <m/>
    <m/>
    <m/>
    <m/>
    <m/>
    <m/>
    <m/>
    <m/>
    <m/>
    <m/>
    <m/>
    <m/>
    <n v="4.5916660269167622"/>
    <n v="1535.02608717116"/>
    <n v="4.2013911834202204"/>
    <n v="7.7896162203130999"/>
    <n v="4.9930732352316003"/>
    <n v="5.3011939595321502"/>
    <n v="4.2724373524274499"/>
    <n v="5.5577565771615802"/>
    <n v="5.5577565771615802"/>
    <n v="5.6233229125411599"/>
    <n v="2.7459483887317799"/>
    <n v="1.9914207834592199"/>
    <n v="2.4504791728531501"/>
    <n v="5.0942491118835704"/>
    <n v="5.5143645631778799"/>
    <n v="2.79767005058727"/>
    <n v="4.5095569506553899"/>
    <n v="4.1837686114329999"/>
    <n v="1.3961546866741199"/>
    <n v="5.4283413859848899"/>
    <n v="7.0603329521320202"/>
    <n v="5.3644858629741003"/>
    <m/>
  </r>
  <r>
    <x v="17"/>
    <s v="EPILACU"/>
    <s v="COP"/>
    <n v="-1"/>
    <n v="0"/>
    <n v="0"/>
    <n v="-1"/>
    <n v="-1"/>
    <n v="1"/>
    <n v="0"/>
    <n v="1"/>
    <n v="2"/>
    <n v="73.142857142857096"/>
    <n v="26.049895980194201"/>
    <n v="-1"/>
    <n v="-1"/>
    <n v="-1"/>
    <n v="1.5720000000000001"/>
    <n v="1.3360000000000001"/>
    <n v="1.431"/>
    <n v="1.716"/>
    <m/>
    <m/>
    <m/>
    <m/>
    <m/>
    <m/>
    <m/>
    <m/>
    <m/>
    <m/>
    <m/>
    <m/>
    <m/>
    <m/>
    <m/>
    <m/>
    <s v="U"/>
    <s v="M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618168760830827"/>
    <n v="380.80177564056737"/>
    <n v="15.824875765501099"/>
    <n v="10.3840543560698"/>
    <n v="12.406088578368999"/>
    <n v="19.8576563433834"/>
    <m/>
    <m/>
    <m/>
    <m/>
    <m/>
    <m/>
    <m/>
    <m/>
    <m/>
    <m/>
    <m/>
    <m/>
    <m/>
    <m/>
    <m/>
    <m/>
    <m/>
  </r>
  <r>
    <x v="17"/>
    <s v="LEOMINU"/>
    <s v="COP"/>
    <n v="-1"/>
    <n v="19"/>
    <n v="11"/>
    <n v="-1"/>
    <n v="-1"/>
    <n v="-1"/>
    <n v="-1"/>
    <n v="-1"/>
    <n v="-1"/>
    <n v="3840"/>
    <n v="1367.6195389602001"/>
    <n v="-1"/>
    <n v="-1"/>
    <n v="-1"/>
    <n v="1.028"/>
    <n v="0.873"/>
    <n v="0.66600000000000004"/>
    <n v="0.91500000000000004"/>
    <n v="0.95699999999999996"/>
    <n v="0.82299999999999995"/>
    <n v="0.95"/>
    <n v="0.92300000000000004"/>
    <n v="0.96199999999999997"/>
    <n v="0.84"/>
    <n v="0.91300000000000003"/>
    <n v="0.97199999999999998"/>
    <n v="0.99299999999999999"/>
    <n v="0.92500000000000004"/>
    <n v="0.95799999999999996"/>
    <n v="0.95899999999999996"/>
    <n v="1.0129999999999999"/>
    <n v="1.0549999999999999"/>
    <n v="1.022"/>
    <n v="0.91"/>
    <s v="F"/>
    <s v="F"/>
    <s v="U"/>
    <s v="F"/>
    <s v="F"/>
    <s v="F"/>
    <s v="F"/>
    <s v="F"/>
    <s v="M"/>
    <s v="M"/>
    <s v="M"/>
    <s v="F"/>
    <s v="F"/>
    <s v="M"/>
    <s v="F"/>
    <s v="F"/>
    <s v="F"/>
    <s v="F"/>
    <s v="M"/>
    <s v="M"/>
    <m/>
    <m/>
    <m/>
    <m/>
    <m/>
    <m/>
    <m/>
    <m/>
    <m/>
    <m/>
    <m/>
    <m/>
    <m/>
    <m/>
    <m/>
    <m/>
    <m/>
    <m/>
    <m/>
    <m/>
    <n v="4.1634956648745689"/>
    <n v="5694.0780216585499"/>
    <n v="5.2673283661506396"/>
    <n v="3.4494918041937002"/>
    <n v="1.71130129808076"/>
    <n v="3.8959094997746"/>
    <n v="4.3761292959926203"/>
    <n v="2.96083222877968"/>
    <n v="4.2937065927586904"/>
    <n v="3.9847458948394499"/>
    <n v="4.4355927281215202"/>
    <n v="3.1218467298023902"/>
    <n v="3.8738922779251799"/>
    <n v="4.5560014369802397"/>
    <n v="4.8153380347994101"/>
    <n v="4.0071473638990396"/>
    <n v="4.3879825795333298"/>
    <n v="4.3998555523957696"/>
    <n v="5.0705689155121503"/>
    <n v="5.6331601283618697"/>
    <n v="5.1880726182926997"/>
    <n v="3.8410099512976501"/>
    <m/>
  </r>
  <r>
    <x v="17"/>
    <s v="SKIOREG"/>
    <s v="COP"/>
    <n v="-1"/>
    <n v="3"/>
    <n v="0"/>
    <n v="-1"/>
    <n v="-1"/>
    <n v="8"/>
    <n v="2"/>
    <n v="-1"/>
    <n v="-1"/>
    <n v="554.66666666666697"/>
    <n v="197.54504451647301"/>
    <n v="-1"/>
    <n v="-1"/>
    <n v="-1"/>
    <n v="1.1990000000000001"/>
    <n v="1.0720000000000001"/>
    <n v="1.353"/>
    <n v="1.002"/>
    <n v="1.0129999999999999"/>
    <n v="1.0580000000000001"/>
    <n v="1.006"/>
    <n v="1.117"/>
    <n v="1.0880000000000001"/>
    <n v="1.0069999999999999"/>
    <n v="1.2509999999999999"/>
    <n v="0.91300000000000003"/>
    <n v="1.3180000000000001"/>
    <m/>
    <m/>
    <m/>
    <m/>
    <m/>
    <m/>
    <m/>
    <s v="F"/>
    <s v="F"/>
    <s v="F"/>
    <s v="F"/>
    <s v="F"/>
    <s v="F"/>
    <s v="F"/>
    <s v="M"/>
    <s v="F"/>
    <s v="F"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n v="6.5680988584684616"/>
    <n v="1297.4953813847478"/>
    <n v="7.8463903573914102"/>
    <n v="5.8712790269495203"/>
    <n v="10.7297479311827"/>
    <n v="4.9291907519150699"/>
    <n v="5.0705689155121503"/>
    <n v="5.6747417946910801"/>
    <n v="4.98031710964508"/>
    <n v="6.5310941522602404"/>
    <n v="6.10094437300544"/>
    <n v="4.9931493331710497"/>
    <n v="8.7583976324413904"/>
    <n v="3.8738922779251799"/>
    <n v="10.0255715039997"/>
    <m/>
    <m/>
    <m/>
    <m/>
    <m/>
    <m/>
    <m/>
    <m/>
  </r>
  <r>
    <x v="17"/>
    <s v="TROPRASM"/>
    <s v="COP"/>
    <n v="-1"/>
    <n v="0"/>
    <n v="1"/>
    <n v="-1"/>
    <n v="-1"/>
    <n v="0"/>
    <n v="1"/>
    <n v="-1"/>
    <n v="-1"/>
    <n v="85.3333333333333"/>
    <n v="30.391545310226601"/>
    <n v="-1"/>
    <n v="-1"/>
    <n v="-1"/>
    <n v="0.443"/>
    <n v="0.42699999999999999"/>
    <m/>
    <m/>
    <m/>
    <m/>
    <m/>
    <m/>
    <m/>
    <m/>
    <m/>
    <m/>
    <m/>
    <m/>
    <m/>
    <m/>
    <m/>
    <m/>
    <m/>
    <m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346229890598499"/>
    <n v="5.8796182230218452"/>
    <n v="0.20756380959176099"/>
    <n v="0.17936078822020901"/>
    <m/>
    <m/>
    <m/>
    <m/>
    <m/>
    <m/>
    <m/>
    <m/>
    <m/>
    <m/>
    <m/>
    <m/>
    <m/>
    <m/>
    <m/>
    <m/>
    <m/>
    <m/>
    <m/>
  </r>
  <r>
    <x v="17"/>
    <s v="CYCCOPE"/>
    <s v="IMM"/>
    <n v="-1"/>
    <n v="29"/>
    <n v="-1"/>
    <n v="-1"/>
    <n v="-1"/>
    <n v="-1"/>
    <n v="-1"/>
    <n v="-1"/>
    <n v="-1"/>
    <n v="3712"/>
    <n v="1322.0322209948599"/>
    <n v="-1"/>
    <n v="-1"/>
    <n v="-1"/>
    <n v="0.55300000000000005"/>
    <n v="0.46500000000000002"/>
    <n v="0.51"/>
    <n v="0.63200000000000001"/>
    <n v="0.67400000000000004"/>
    <n v="0.52"/>
    <n v="0.44600000000000001"/>
    <n v="0.58699999999999997"/>
    <n v="0.40899999999999997"/>
    <n v="0.39"/>
    <n v="0.45"/>
    <n v="0.44"/>
    <n v="0.54800000000000004"/>
    <n v="0.63400000000000001"/>
    <n v="0.54200000000000004"/>
    <n v="0.439"/>
    <n v="0.41199999999999998"/>
    <n v="0.68799999999999994"/>
    <n v="0.47199999999999998"/>
    <n v="0.4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44132942955593907"/>
    <n v="583.45172594623273"/>
    <n v="0.500665436936093"/>
    <n v="0.25160372289703198"/>
    <n v="0.36306337380979697"/>
    <n v="0.85069844849835996"/>
    <n v="1.09826875705004"/>
    <n v="0.39215893473719099"/>
    <n v="0.213200504996995"/>
    <n v="0.63448608492430103"/>
    <n v="0.151171656764609"/>
    <n v="0.125157053385726"/>
    <n v="0.220893287960822"/>
    <n v="0.20203935138497001"/>
    <n v="0.48293386103757002"/>
    <n v="0.86143635005422303"/>
    <n v="0.46228096109554601"/>
    <n v="0.20022254868470499"/>
    <n v="0.155621926611163"/>
    <n v="1.1916670736905299"/>
    <n v="0.26697990521414"/>
    <n v="0.20203935138497001"/>
    <m/>
  </r>
  <r>
    <x v="17"/>
    <s v="DIACOPE"/>
    <s v="IMM"/>
    <n v="-1"/>
    <n v="65"/>
    <n v="-1"/>
    <n v="-1"/>
    <n v="-1"/>
    <n v="-1"/>
    <n v="-1"/>
    <n v="-1"/>
    <n v="-1"/>
    <n v="8320"/>
    <n v="2963.1756677470898"/>
    <n v="-1"/>
    <n v="-1"/>
    <n v="-1"/>
    <n v="0.41599999999999998"/>
    <n v="0.51600000000000001"/>
    <n v="0.83299999999999996"/>
    <n v="0.74299999999999999"/>
    <n v="0.875"/>
    <n v="0.49"/>
    <n v="0.80800000000000005"/>
    <n v="0.47299999999999998"/>
    <n v="0.59499999999999997"/>
    <n v="0.437"/>
    <n v="0.374"/>
    <n v="0.53300000000000003"/>
    <n v="0.45200000000000001"/>
    <n v="0.41499999999999998"/>
    <n v="0.67900000000000005"/>
    <n v="0.46600000000000003"/>
    <n v="0.46400000000000002"/>
    <n v="0.39200000000000002"/>
    <n v="0.72099999999999997"/>
    <n v="0.7820000000000000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546579544999582"/>
    <n v="4014.0894888943203"/>
    <n v="0.50580131318961297"/>
    <n v="0.88367171365022601"/>
    <n v="3.0549125305680702"/>
    <n v="2.2719002213955601"/>
    <n v="3.4699968740301101"/>
    <n v="0.77292271993554296"/>
    <n v="2.8230830249015"/>
    <n v="0.70537259208184"/>
    <n v="1.2779891521828"/>
    <n v="0.57461260408737302"/>
    <n v="0.38394204692113998"/>
    <n v="0.96106264582397305"/>
    <n v="0.62709995900955096"/>
    <n v="0.50265822893265399"/>
    <n v="1.79916478307432"/>
    <n v="0.67865296439029199"/>
    <n v="0.671134857517246"/>
    <n v="0.43364978939586302"/>
    <n v="2.1017476081489401"/>
    <n v="2.5937834607625501"/>
    <m/>
  </r>
  <r>
    <x v="17"/>
    <s v="EPICOPE"/>
    <s v="IMM"/>
    <n v="-1"/>
    <n v="11"/>
    <n v="-1"/>
    <n v="-1"/>
    <n v="-1"/>
    <n v="6"/>
    <n v="-1"/>
    <n v="-1"/>
    <n v="-1"/>
    <n v="725.33333333333303"/>
    <n v="258.32813513692599"/>
    <n v="-1"/>
    <n v="-1"/>
    <n v="-1"/>
    <n v="1.069"/>
    <n v="0.436"/>
    <n v="0.78700000000000003"/>
    <n v="0.51"/>
    <n v="0.66100000000000003"/>
    <n v="0.54800000000000004"/>
    <n v="1.1259999999999999"/>
    <n v="0.67700000000000005"/>
    <n v="0.86"/>
    <n v="0.7"/>
    <n v="1.04"/>
    <n v="0.70499999999999996"/>
    <n v="0.52"/>
    <n v="0.754"/>
    <n v="0.71799999999999997"/>
    <n v="0.83499999999999996"/>
    <n v="1.0209999999999999"/>
    <m/>
    <m/>
    <m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n v="2.7837974925809057"/>
    <n v="719.1332148572759"/>
    <n v="5.8288178345172197"/>
    <n v="0.57121319810948101"/>
    <n v="2.63695539147766"/>
    <n v="0.85730426108673596"/>
    <n v="1.67822430420118"/>
    <n v="1.0326897648953499"/>
    <n v="6.66826203807656"/>
    <n v="1.7854713183631301"/>
    <n v="3.31802164610263"/>
    <n v="1.9468484685673999"/>
    <n v="5.4280591931750299"/>
    <n v="1.9830699757172801"/>
    <n v="0.90152315600597699"/>
    <n v="2.36004352243418"/>
    <n v="2.0791725691415301"/>
    <n v="3.0739457434061399"/>
    <n v="5.1749349885979203"/>
    <m/>
    <m/>
    <m/>
    <m/>
  </r>
  <r>
    <x v="17"/>
    <s v="MESCOPE"/>
    <s v="IMM"/>
    <n v="-1"/>
    <n v="0"/>
    <n v="-1"/>
    <n v="-1"/>
    <n v="-1"/>
    <n v="1"/>
    <n v="-1"/>
    <n v="-1"/>
    <n v="-1"/>
    <n v="42.6666666666667"/>
    <n v="15.1957726551133"/>
    <n v="-1"/>
    <n v="-1"/>
    <n v="-1"/>
    <n v="0.51600000000000001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8031911643132399"/>
    <n v="5.7792428296839642"/>
    <n v="0.38031911643132399"/>
    <m/>
    <m/>
    <m/>
    <m/>
    <m/>
    <m/>
    <m/>
    <m/>
    <m/>
    <m/>
    <m/>
    <m/>
    <m/>
    <m/>
    <m/>
    <m/>
    <m/>
    <m/>
    <m/>
    <m/>
  </r>
  <r>
    <x v="17"/>
    <s v="DREPOLYV"/>
    <s v="MOL"/>
    <n v="-1"/>
    <n v="-1"/>
    <n v="-1"/>
    <n v="-1"/>
    <n v="-1"/>
    <n v="-1"/>
    <n v="-1"/>
    <n v="-1"/>
    <n v="-1"/>
    <n v="120704"/>
    <n v="42988.840841315498"/>
    <n v="47"/>
    <n v="35"/>
    <n v="82"/>
    <n v="0.13400000000000001"/>
    <n v="0.11799999999999999"/>
    <n v="0.17799999999999999"/>
    <n v="9.4E-2"/>
    <n v="0.115"/>
    <n v="8.7999999999999995E-2"/>
    <n v="9.9000000000000005E-2"/>
    <n v="0.17899999999999999"/>
    <n v="0.109"/>
    <n v="0.1"/>
    <n v="0.121"/>
    <n v="0.10199999999999999"/>
    <n v="0.111"/>
    <n v="8.5000000000000006E-2"/>
    <n v="0.187"/>
    <n v="0.11"/>
    <n v="0.09"/>
    <n v="0.09"/>
    <n v="0.1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344748189347374"/>
    <n v="9605.7482355112697"/>
    <n v="0.26083181818872297"/>
    <n v="0.19713244744137251"/>
    <n v="0.56333575883736597"/>
    <n v="0.12952524767371265"/>
    <n v="0.18704997457505201"/>
    <n v="0.11661475677470312"/>
    <n v="0.1413693296235311"/>
    <n v="0.57328090080219707"/>
    <n v="0.16840567905905679"/>
    <n v="0.14386506690014328"/>
    <n v="0.20775839142727506"/>
    <n v="0.14898949868956468"/>
    <n v="0.17440424030734322"/>
    <n v="0.11065041586454837"/>
    <n v="0.65942999957803661"/>
    <n v="0.17137871664747947"/>
    <n v="0.12076854045275696"/>
    <n v="0.12076854045275696"/>
    <n v="0.14386506690014328"/>
    <n v="0.12952524767371265"/>
    <m/>
  </r>
  <r>
    <x v="17"/>
    <s v="COPNAUP"/>
    <s v="NAU"/>
    <n v="-1"/>
    <n v="-1"/>
    <n v="-1"/>
    <n v="-1"/>
    <n v="-1"/>
    <n v="-1"/>
    <n v="-1"/>
    <n v="-1"/>
    <n v="-1"/>
    <n v="26496"/>
    <n v="9436.5748188253601"/>
    <n v="6"/>
    <n v="12"/>
    <n v="18"/>
    <n v="0.16"/>
    <n v="0.123"/>
    <n v="0.16700000000000001"/>
    <n v="0.185"/>
    <n v="0.19600000000000001"/>
    <n v="0.16600000000000001"/>
    <n v="0.14899999999999999"/>
    <n v="0.109"/>
    <n v="0.189"/>
    <n v="0.27400000000000002"/>
    <n v="0.20399999999999999"/>
    <n v="0.245"/>
    <n v="0.29699999999999999"/>
    <n v="0.23899999999999999"/>
    <n v="0.121"/>
    <n v="0.186"/>
    <n v="0.28399999999999997"/>
    <n v="0.16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73626363331205"/>
    <n v="1441.307179323584"/>
    <n v="8.6709180472729408E-2"/>
    <n v="4.6126381923769305E-2"/>
    <n v="9.6094084578295394E-2"/>
    <n v="0.12285399154068005"/>
    <n v="0.14112101597166293"/>
    <n v="9.4718875712952413E-2"/>
    <n v="7.3084312737679707E-2"/>
    <n v="3.4514431011782545E-2"/>
    <n v="0.12932588325119743"/>
    <n v="0.31533957206721042"/>
    <n v="0.15534222629595956"/>
    <n v="0.24108807296837464"/>
    <n v="0.38264196799124395"/>
    <n v="0.22716011790774707"/>
    <n v="4.4346771885494372E-2"/>
    <n v="0.12445380792000475"/>
    <n v="0.34366961728553552"/>
    <n v="9.0662433877297763E-2"/>
    <s v=""/>
    <s v=""/>
    <m/>
  </r>
  <r>
    <x v="17"/>
    <s v="ASCOVAL"/>
    <s v="ROT"/>
    <n v="-1"/>
    <n v="-1"/>
    <n v="-1"/>
    <n v="-1"/>
    <n v="-1"/>
    <n v="-1"/>
    <n v="-1"/>
    <n v="-1"/>
    <n v="-1"/>
    <n v="22080"/>
    <n v="7863.8123490211301"/>
    <n v="7"/>
    <n v="8"/>
    <n v="15"/>
    <n v="9.4E-2"/>
    <n v="9.6000000000000002E-2"/>
    <n v="9.4E-2"/>
    <n v="0.109"/>
    <n v="0.09"/>
    <n v="8.8999999999999996E-2"/>
    <n v="0.13600000000000001"/>
    <n v="9.9000000000000005E-2"/>
    <n v="0.108"/>
    <n v="0.1"/>
    <n v="0.11799999999999999"/>
    <n v="9.7000000000000003E-2"/>
    <n v="0.13700000000000001"/>
    <n v="8.1000000000000003E-2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986580000000002E-2"/>
    <n v="109.98784052457198"/>
    <n v="9.9670079999999994E-3"/>
    <n v="1.0616832E-2"/>
    <n v="9.9670079999999994E-3"/>
    <n v="1.5540348000000001E-2"/>
    <n v="8.7480000000000006E-3"/>
    <n v="8.4596280000000003E-3"/>
    <n v="3.0185472000000001E-2"/>
    <n v="1.1643588E-2"/>
    <n v="1.5116544000000001E-2"/>
    <n v="1.2E-2"/>
    <n v="1.9716384E-2"/>
    <n v="1.0952076E-2"/>
    <n v="3.0856235999999999E-2"/>
    <n v="6.3772919999999997E-3"/>
    <n v="9.6522840000000006E-3"/>
    <m/>
    <m/>
    <m/>
    <m/>
    <m/>
    <m/>
  </r>
  <r>
    <x v="17"/>
    <s v="ASPPRIO"/>
    <s v="ROT"/>
    <n v="-1"/>
    <n v="-1"/>
    <n v="-1"/>
    <n v="-1"/>
    <n v="-1"/>
    <n v="-1"/>
    <n v="-1"/>
    <n v="-1"/>
    <n v="-1"/>
    <n v="8832"/>
    <n v="3145.52493960845"/>
    <n v="3"/>
    <n v="3"/>
    <n v="6"/>
    <n v="0.505"/>
    <n v="0.69199999999999995"/>
    <n v="0.625"/>
    <n v="0.106"/>
    <n v="0.70799999999999996"/>
    <n v="0.561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492350877649999"/>
    <n v="5816.8150877638282"/>
    <n v="1.1552249962500001"/>
    <n v="2.9724237753599998"/>
    <n v="2.18994140625"/>
    <n v="1.0683413520000001E-2"/>
    <n v="3.18340736064"/>
    <n v="1.58372957457"/>
    <m/>
    <m/>
    <m/>
    <m/>
    <m/>
    <m/>
    <m/>
    <m/>
    <m/>
    <m/>
    <m/>
    <m/>
    <m/>
    <m/>
    <m/>
  </r>
  <r>
    <x v="17"/>
    <s v="COLSP"/>
    <s v="ROT"/>
    <n v="-1"/>
    <n v="-1"/>
    <n v="-1"/>
    <n v="-1"/>
    <n v="-1"/>
    <n v="-1"/>
    <n v="-1"/>
    <n v="-1"/>
    <n v="-1"/>
    <n v="13248"/>
    <n v="4718.2874094126801"/>
    <n v="6"/>
    <n v="3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4"/>
    <n v="0.03"/>
    <n v="2.9000000000000001E-2"/>
    <n v="3.1E-2"/>
    <n v="3.3000000000000002E-2"/>
    <n v="4.8000000000000001E-2"/>
    <n v="5.8000000000000003E-2"/>
    <n v="4.8000000000000001E-2"/>
    <n v="0.03"/>
    <m/>
    <m/>
    <m/>
    <m/>
    <m/>
    <m/>
    <m/>
    <m/>
    <m/>
    <m/>
    <m/>
    <n v="1.2488260000000001E-2"/>
    <n v="58.923199923471998"/>
    <n v="1.1520000000000001E-2"/>
    <n v="4.8599999999999997E-3"/>
    <n v="4.3900199999999997E-3"/>
    <n v="5.3623799999999999E-3"/>
    <n v="6.4686600000000002E-3"/>
    <n v="1.990656E-2"/>
    <n v="3.5120159999999997E-2"/>
    <n v="1.990656E-2"/>
    <n v="4.8599999999999997E-3"/>
    <m/>
    <m/>
    <m/>
    <m/>
    <m/>
    <m/>
    <m/>
    <m/>
    <m/>
    <m/>
    <m/>
    <m/>
  </r>
  <r>
    <x v="17"/>
    <s v="COOUNIC"/>
    <s v="ROT"/>
    <n v="-1"/>
    <n v="-1"/>
    <n v="-1"/>
    <n v="-1"/>
    <n v="-1"/>
    <n v="-1"/>
    <n v="-1"/>
    <n v="-1"/>
    <n v="-1"/>
    <n v="200192"/>
    <n v="71298.565297791603"/>
    <n v="68"/>
    <n v="68"/>
    <n v="136"/>
    <n v="0.17299999999999999"/>
    <n v="0.17299999999999999"/>
    <n v="0.128"/>
    <n v="0.17599999999999999"/>
    <n v="0.16300000000000001"/>
    <n v="0.14299999999999999"/>
    <n v="0.16"/>
    <n v="0.12"/>
    <n v="0.1"/>
    <n v="0.17199999999999999"/>
    <n v="0.14599999999999999"/>
    <n v="0.17699999999999999"/>
    <n v="0.14599999999999999"/>
    <n v="0.19600000000000001"/>
    <n v="0.129"/>
    <n v="0.129"/>
    <n v="0.14399999999999999"/>
    <n v="0.29899999999999999"/>
    <n v="0.17499999999999999"/>
    <n v="0.161"/>
    <m/>
    <m/>
    <m/>
    <m/>
    <m/>
    <m/>
    <m/>
    <m/>
    <m/>
    <m/>
    <m/>
    <m/>
    <m/>
    <m/>
    <m/>
    <m/>
    <m/>
    <m/>
    <m/>
    <m/>
    <n v="5.5E-2"/>
    <n v="6.8000000000000005E-2"/>
    <n v="7.3999999999999996E-2"/>
    <n v="6.0999999999999999E-2"/>
    <n v="6.4000000000000001E-2"/>
    <n v="4.2999999999999997E-2"/>
    <n v="4.4999999999999998E-2"/>
    <n v="5.7000000000000002E-2"/>
    <n v="6.2E-2"/>
    <n v="6.3E-2"/>
    <n v="7.8E-2"/>
    <n v="5.2999999999999999E-2"/>
    <n v="5.8000000000000003E-2"/>
    <n v="6.2E-2"/>
    <n v="5.8000000000000003E-2"/>
    <n v="5.3999999999999999E-2"/>
    <n v="7.0999999999999994E-2"/>
    <n v="7.4999999999999997E-2"/>
    <n v="4.8000000000000001E-2"/>
    <n v="7.1999999999999995E-2"/>
    <n v="1.6221207600000002E-2"/>
    <n v="1156.5488292776336"/>
    <n v="1.3606450000000001E-2"/>
    <n v="2.0798752E-2"/>
    <n v="1.8224127999999999E-2"/>
    <n v="1.7027296000000001E-2"/>
    <n v="1.7358848E-2"/>
    <n v="6.8745819999999997E-3"/>
    <n v="8.4239999999999992E-3"/>
    <n v="1.0136879999999999E-2"/>
    <n v="9.9944000000000005E-3"/>
    <n v="1.7749368000000001E-2"/>
    <n v="2.3094864E-2"/>
    <n v="1.2927018E-2"/>
    <n v="1.2769744E-2"/>
    <n v="1.9589024E-2"/>
    <n v="1.1282856000000001E-2"/>
    <n v="9.7802640000000003E-3"/>
    <n v="1.8873503999999999E-2"/>
    <n v="4.3728749999999997E-2"/>
    <n v="1.04832E-2"/>
    <n v="2.1700224000000001E-2"/>
    <m/>
  </r>
  <r>
    <x v="17"/>
    <s v="GASSTYL"/>
    <s v="ROT"/>
    <n v="-1"/>
    <n v="-1"/>
    <n v="-1"/>
    <n v="-1"/>
    <n v="-1"/>
    <n v="-1"/>
    <n v="-1"/>
    <n v="-1"/>
    <n v="-1"/>
    <n v="14720"/>
    <n v="5242.5415660140898"/>
    <n v="4"/>
    <n v="6"/>
    <n v="10"/>
    <n v="0.106"/>
    <n v="0.105"/>
    <n v="0.1"/>
    <n v="0.106"/>
    <n v="0.11799999999999999"/>
    <n v="0.10199999999999999"/>
    <n v="9.0999999999999998E-2"/>
    <n v="8.4000000000000005E-2"/>
    <n v="0.11700000000000001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153041999999998E-2"/>
    <n v="116.1382434986559"/>
    <n v="2.3820319999999999E-2"/>
    <n v="2.3152499999999999E-2"/>
    <n v="0.02"/>
    <n v="2.3820319999999999E-2"/>
    <n v="3.2860640000000003E-2"/>
    <n v="2.1224159999999999E-2"/>
    <n v="1.507142E-2"/>
    <n v="1.1854079999999999E-2"/>
    <n v="3.203226E-2"/>
    <n v="1.7694720000000001E-2"/>
    <m/>
    <m/>
    <m/>
    <m/>
    <m/>
    <m/>
    <m/>
    <m/>
    <m/>
    <m/>
    <m/>
  </r>
  <r>
    <x v="17"/>
    <s v="KELLONG"/>
    <s v="ROT"/>
    <n v="-1"/>
    <n v="-1"/>
    <n v="-1"/>
    <n v="-1"/>
    <n v="-1"/>
    <n v="-1"/>
    <n v="-1"/>
    <n v="-1"/>
    <n v="-1"/>
    <n v="11776"/>
    <n v="4194.0332528112704"/>
    <n v="3"/>
    <n v="5"/>
    <n v="8"/>
    <n v="0.122"/>
    <n v="0.11799999999999999"/>
    <n v="0.13900000000000001"/>
    <n v="0.11799999999999999"/>
    <n v="0.14499999999999999"/>
    <n v="0.13100000000000001"/>
    <n v="0.124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636202743749988E-3"/>
    <n v="26.689235038992724"/>
    <n v="5.5292571600000003E-3"/>
    <n v="5.0030324400000001E-3"/>
    <n v="8.1777098549999996E-3"/>
    <n v="5.0030324400000001E-3"/>
    <n v="9.2830631249999993E-3"/>
    <n v="6.8454370950000003E-3"/>
    <n v="5.8056700800000003E-3"/>
    <n v="5.2617599999999999E-3"/>
    <m/>
    <m/>
    <m/>
    <m/>
    <m/>
    <m/>
    <m/>
    <m/>
    <m/>
    <m/>
    <m/>
    <m/>
    <m/>
  </r>
  <r>
    <x v="17"/>
    <s v="KERCOCH"/>
    <s v="ROT"/>
    <n v="-1"/>
    <n v="-1"/>
    <n v="-1"/>
    <n v="-1"/>
    <n v="-1"/>
    <n v="-1"/>
    <n v="-1"/>
    <n v="-1"/>
    <n v="-1"/>
    <n v="63296"/>
    <n v="22542.928733860601"/>
    <n v="19"/>
    <n v="24"/>
    <n v="43"/>
    <n v="7.9000000000000001E-2"/>
    <n v="6.4000000000000001E-2"/>
    <n v="8.6999999999999994E-2"/>
    <n v="0.121"/>
    <n v="0.112"/>
    <n v="9.7000000000000003E-2"/>
    <n v="7.6999999999999999E-2"/>
    <n v="0.129"/>
    <n v="8.1000000000000003E-2"/>
    <n v="0.10100000000000001"/>
    <n v="8.3000000000000004E-2"/>
    <n v="0.105"/>
    <n v="0.113"/>
    <n v="8.5000000000000006E-2"/>
    <n v="9.2999999999999999E-2"/>
    <n v="8.6999999999999994E-2"/>
    <n v="9.0999999999999998E-2"/>
    <n v="0.104"/>
    <n v="8.8999999999999996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357885000000005E-3"/>
    <n v="41.384049325940865"/>
    <n v="9.8607800000000004E-4"/>
    <n v="5.2428800000000003E-4"/>
    <n v="1.3170059999999999E-3"/>
    <n v="3.5431220000000001E-3"/>
    <n v="2.8098559999999999E-3"/>
    <n v="1.825346E-3"/>
    <n v="9.1306600000000003E-4"/>
    <n v="4.2933779999999996E-3"/>
    <n v="1.062882E-3"/>
    <n v="2.0606019999999999E-3"/>
    <n v="1.1435740000000001E-3"/>
    <n v="2.31525E-3"/>
    <n v="2.8857940000000001E-3"/>
    <n v="1.22825E-3"/>
    <n v="1.608714E-3"/>
    <n v="1.3170059999999999E-3"/>
    <n v="1.5071419999999999E-3"/>
    <n v="2.2497279999999999E-3"/>
    <n v="1.4099379999999999E-3"/>
    <n v="1.7147499999999999E-3"/>
    <m/>
  </r>
  <r>
    <x v="17"/>
    <s v="KERCOCHH"/>
    <s v="ROT"/>
    <n v="-1"/>
    <n v="-1"/>
    <n v="-1"/>
    <n v="-1"/>
    <n v="-1"/>
    <n v="-1"/>
    <n v="-1"/>
    <n v="-1"/>
    <n v="-1"/>
    <n v="1472"/>
    <n v="524.25415660140902"/>
    <n v="0"/>
    <n v="1"/>
    <n v="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3226E-3"/>
    <n v="1.679304545033705"/>
    <n v="3.203226E-3"/>
    <m/>
    <m/>
    <m/>
    <m/>
    <m/>
    <m/>
    <m/>
    <m/>
    <m/>
    <m/>
    <m/>
    <m/>
    <m/>
    <m/>
    <m/>
    <m/>
    <m/>
    <m/>
    <m/>
    <m/>
  </r>
  <r>
    <x v="17"/>
    <s v="KERCRAS"/>
    <s v="ROT"/>
    <n v="-1"/>
    <n v="-1"/>
    <n v="-1"/>
    <n v="-1"/>
    <n v="-1"/>
    <n v="-1"/>
    <n v="-1"/>
    <n v="-1"/>
    <n v="-1"/>
    <n v="54464"/>
    <n v="19397.403794252099"/>
    <n v="19"/>
    <n v="18"/>
    <n v="37"/>
    <n v="0.114"/>
    <n v="0.13300000000000001"/>
    <n v="0.125"/>
    <n v="0.13600000000000001"/>
    <n v="0.13"/>
    <n v="0.11899999999999999"/>
    <n v="0.127"/>
    <n v="0.126"/>
    <n v="0.12"/>
    <n v="0.128"/>
    <n v="0.11700000000000001"/>
    <n v="0.121"/>
    <n v="0.122"/>
    <n v="0.126"/>
    <n v="0.13"/>
    <n v="0.129"/>
    <n v="0.13600000000000001"/>
    <n v="0.121"/>
    <n v="0.155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123685999999993E-3"/>
    <n v="79.769274285003178"/>
    <n v="2.963088E-3"/>
    <n v="4.7052739999999997E-3"/>
    <n v="3.90625E-3"/>
    <n v="5.0309120000000002E-3"/>
    <n v="4.3940000000000003E-3"/>
    <n v="3.3703180000000002E-3"/>
    <n v="4.0967659999999999E-3"/>
    <n v="4.0007519999999998E-3"/>
    <n v="3.4559999999999999E-3"/>
    <n v="4.1943040000000003E-3"/>
    <n v="3.203226E-3"/>
    <n v="3.5431220000000001E-3"/>
    <n v="3.6316959999999998E-3"/>
    <n v="4.0007519999999998E-3"/>
    <n v="4.3940000000000003E-3"/>
    <n v="4.2933779999999996E-3"/>
    <n v="5.0309120000000002E-3"/>
    <n v="3.5431220000000001E-3"/>
    <n v="7.4477500000000004E-3"/>
    <n v="3.0417500000000002E-3"/>
    <m/>
  </r>
  <r>
    <x v="17"/>
    <s v="KEREARL"/>
    <s v="ROT"/>
    <n v="-1"/>
    <n v="-1"/>
    <n v="-1"/>
    <n v="-1"/>
    <n v="-1"/>
    <n v="-1"/>
    <n v="-1"/>
    <n v="-1"/>
    <n v="-1"/>
    <n v="23552"/>
    <n v="8388.0665056225407"/>
    <n v="9"/>
    <n v="7"/>
    <n v="16"/>
    <n v="0.106"/>
    <n v="0.109"/>
    <n v="9.4E-2"/>
    <n v="9.6000000000000002E-2"/>
    <n v="9.5000000000000001E-2"/>
    <n v="9.7000000000000003E-2"/>
    <n v="7.8E-2"/>
    <n v="8.8999999999999996E-2"/>
    <n v="9.2999999999999999E-2"/>
    <n v="9.7000000000000003E-2"/>
    <n v="0.113"/>
    <n v="0.1"/>
    <n v="8.1000000000000003E-2"/>
    <n v="9.6000000000000002E-2"/>
    <n v="0.121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17703875E-3"/>
    <n v="16.924634292152309"/>
    <n v="2.3820320000000001E-3"/>
    <n v="2.5900580000000001E-3"/>
    <n v="1.661168E-3"/>
    <n v="1.769472E-3"/>
    <n v="1.7147499999999999E-3"/>
    <n v="1.825346E-3"/>
    <n v="9.4910399999999998E-4"/>
    <n v="1.4099379999999999E-3"/>
    <n v="1.608714E-3"/>
    <n v="1.825346E-3"/>
    <n v="2.8857940000000001E-3"/>
    <n v="2E-3"/>
    <n v="1.062882E-3"/>
    <n v="1.769472E-3"/>
    <n v="3.5431220000000001E-3"/>
    <n v="3.286064E-3"/>
    <m/>
    <m/>
    <m/>
    <m/>
    <m/>
  </r>
  <r>
    <x v="17"/>
    <s v="PLOHUDS"/>
    <s v="ROT"/>
    <n v="-1"/>
    <n v="-1"/>
    <n v="-1"/>
    <n v="-1"/>
    <n v="-1"/>
    <n v="-1"/>
    <n v="-1"/>
    <n v="-1"/>
    <n v="-1"/>
    <n v="2944"/>
    <n v="1048.5083132028201"/>
    <n v="0"/>
    <n v="2"/>
    <n v="2"/>
    <n v="0.17699999999999999"/>
    <n v="0.16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860210000000004E-2"/>
    <n v="54.375861309444026"/>
    <n v="5.5452330000000001E-2"/>
    <n v="4.826809E-2"/>
    <m/>
    <m/>
    <m/>
    <m/>
    <m/>
    <m/>
    <m/>
    <m/>
    <m/>
    <m/>
    <m/>
    <m/>
    <m/>
    <m/>
    <m/>
    <m/>
    <m/>
    <m/>
    <m/>
  </r>
  <r>
    <x v="17"/>
    <s v="PLOTRUN"/>
    <s v="ROT"/>
    <n v="-1"/>
    <n v="-1"/>
    <n v="-1"/>
    <n v="-1"/>
    <n v="-1"/>
    <n v="-1"/>
    <n v="-1"/>
    <n v="-1"/>
    <n v="-1"/>
    <n v="30912"/>
    <n v="11009.3372886296"/>
    <n v="16"/>
    <n v="5"/>
    <n v="21"/>
    <n v="0.13500000000000001"/>
    <n v="0.15"/>
    <n v="9.9000000000000005E-2"/>
    <n v="0.127"/>
    <n v="9.5000000000000001E-2"/>
    <n v="0.154"/>
    <n v="0.126"/>
    <n v="0.13400000000000001"/>
    <n v="0.14299999999999999"/>
    <n v="0.13400000000000001"/>
    <n v="0.14000000000000001"/>
    <n v="8.5000000000000006E-2"/>
    <n v="0.14000000000000001"/>
    <n v="0.13700000000000001"/>
    <n v="0.14699999999999999"/>
    <n v="0.09"/>
    <n v="0.1"/>
    <n v="0.129"/>
    <n v="0.19600000000000001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693007000000006E-2"/>
    <n v="260.84430544486219"/>
    <n v="2.4603750000000001E-2"/>
    <n v="3.3750000000000002E-2"/>
    <n v="9.7029899999999999E-3"/>
    <n v="2.0483830000000001E-2"/>
    <n v="8.5737499999999998E-3"/>
    <n v="3.6522640000000002E-2"/>
    <n v="2.0003759999999999E-2"/>
    <n v="2.4061039999999999E-2"/>
    <n v="2.9242069999999998E-2"/>
    <n v="2.4061039999999999E-2"/>
    <n v="2.7439999999999999E-2"/>
    <n v="6.14125E-3"/>
    <n v="2.7439999999999999E-2"/>
    <n v="2.5713529999999998E-2"/>
    <n v="3.1765229999999998E-2"/>
    <n v="7.2899999999999996E-3"/>
    <n v="0.01"/>
    <n v="2.1466889999999999E-2"/>
    <n v="7.5295360000000006E-2"/>
    <n v="1.030301E-2"/>
    <m/>
  </r>
  <r>
    <x v="17"/>
    <s v="POLREMA"/>
    <s v="ROT"/>
    <n v="-1"/>
    <n v="-1"/>
    <n v="-1"/>
    <n v="-1"/>
    <n v="-1"/>
    <n v="-1"/>
    <n v="-1"/>
    <n v="-1"/>
    <n v="-1"/>
    <n v="45632"/>
    <n v="16251.878854643701"/>
    <n v="18"/>
    <n v="13"/>
    <n v="31"/>
    <n v="0.107"/>
    <n v="9.5000000000000001E-2"/>
    <n v="8.2000000000000003E-2"/>
    <n v="0.123"/>
    <n v="0.09"/>
    <n v="9.8000000000000004E-2"/>
    <n v="8.3000000000000004E-2"/>
    <n v="9.5000000000000001E-2"/>
    <n v="8.4000000000000005E-2"/>
    <n v="6.7000000000000004E-2"/>
    <n v="8.7999999999999995E-2"/>
    <n v="9.8000000000000004E-2"/>
    <n v="0.09"/>
    <n v="0.1"/>
    <n v="0.09"/>
    <n v="0.11799999999999999"/>
    <n v="0.105"/>
    <n v="0.11799999999999999"/>
    <n v="0.12"/>
    <n v="8.6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873428199999996E-2"/>
    <n v="485.49933607929677"/>
    <n v="3.7731324400000002E-2"/>
    <n v="2.6407150000000001E-2"/>
    <n v="1.6982134400000001E-2"/>
    <n v="5.7314703600000003E-2"/>
    <n v="2.24532E-2"/>
    <n v="2.89887136E-2"/>
    <n v="1.76110396E-2"/>
    <n v="2.6407150000000001E-2"/>
    <n v="1.82552832E-2"/>
    <n v="9.2635003999999993E-3"/>
    <n v="2.0989337600000001E-2"/>
    <n v="2.89887136E-2"/>
    <n v="2.24532E-2"/>
    <n v="3.0800000000000001E-2"/>
    <n v="2.24532E-2"/>
    <n v="5.0605385599999997E-2"/>
    <n v="3.5654850000000002E-2"/>
    <n v="5.0605385599999997E-2"/>
    <n v="5.3222400000000003E-2"/>
    <n v="2.0281892400000001E-2"/>
    <m/>
  </r>
  <r>
    <x v="17"/>
    <s v="POLSP"/>
    <s v="ROT"/>
    <n v="-1"/>
    <n v="-1"/>
    <n v="-1"/>
    <n v="-1"/>
    <n v="-1"/>
    <n v="-1"/>
    <n v="-1"/>
    <n v="-1"/>
    <n v="-1"/>
    <n v="58880"/>
    <n v="20970.166264056399"/>
    <n v="24"/>
    <n v="16"/>
    <n v="40"/>
    <n v="7.4999999999999997E-2"/>
    <n v="9.4E-2"/>
    <n v="0.124"/>
    <n v="0.108"/>
    <n v="0.10100000000000001"/>
    <n v="0.104"/>
    <n v="0.109"/>
    <n v="9.6000000000000002E-2"/>
    <n v="9.7000000000000003E-2"/>
    <n v="0.105"/>
    <n v="9.5000000000000001E-2"/>
    <n v="0.11"/>
    <n v="0.108"/>
    <n v="8.7999999999999995E-2"/>
    <n v="0.11899999999999999"/>
    <n v="0.10199999999999999"/>
    <n v="0.10199999999999999"/>
    <n v="9.2999999999999999E-2"/>
    <n v="0.104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026771240000003E-2"/>
    <n v="713.54705033181256"/>
    <n v="1.299375E-2"/>
    <n v="2.55819872E-2"/>
    <n v="5.8724019199999998E-2"/>
    <n v="3.8799129600000003E-2"/>
    <n v="3.1733270799999998E-2"/>
    <n v="3.4645811200000001E-2"/>
    <n v="3.9886893200000002E-2"/>
    <n v="2.72498688E-2"/>
    <n v="2.8110328399999999E-2"/>
    <n v="3.5654850000000002E-2"/>
    <n v="2.6407150000000001E-2"/>
    <n v="4.0994799999999998E-2"/>
    <n v="3.8799129600000003E-2"/>
    <n v="2.0989337600000001E-2"/>
    <n v="5.1902897199999999E-2"/>
    <n v="3.26852064E-2"/>
    <n v="3.26852064E-2"/>
    <n v="2.47741956E-2"/>
    <n v="3.4645811200000001E-2"/>
    <n v="4.32717824E-2"/>
    <m/>
  </r>
  <r>
    <x v="17"/>
    <s v="SYNSP"/>
    <s v="ROT"/>
    <n v="-1"/>
    <n v="-1"/>
    <n v="-1"/>
    <n v="-1"/>
    <n v="-1"/>
    <n v="-1"/>
    <n v="-1"/>
    <n v="-1"/>
    <n v="-1"/>
    <n v="7360"/>
    <n v="2621.2707830070399"/>
    <n v="3"/>
    <n v="2"/>
    <n v="5"/>
    <n v="0.17399999999999999"/>
    <n v="0.16"/>
    <n v="8.7999999999999995E-2"/>
    <n v="0.183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161214000000004E-2"/>
    <n v="94.788333736265145"/>
    <n v="5.2680240000000003E-2"/>
    <n v="4.0960000000000003E-2"/>
    <n v="6.8147199999999998E-3"/>
    <n v="6.1284869999999998E-2"/>
    <n v="1.9066240000000002E-2"/>
    <m/>
    <m/>
    <m/>
    <m/>
    <m/>
    <m/>
    <m/>
    <m/>
    <m/>
    <m/>
    <m/>
    <m/>
    <m/>
    <m/>
    <m/>
    <m/>
  </r>
  <r>
    <x v="17"/>
    <s v="TRICYLI"/>
    <s v="ROT"/>
    <n v="-1"/>
    <n v="-1"/>
    <n v="-1"/>
    <n v="-1"/>
    <n v="-1"/>
    <n v="-1"/>
    <n v="-1"/>
    <n v="-1"/>
    <n v="-1"/>
    <n v="5888"/>
    <n v="2097.0166264056402"/>
    <n v="2"/>
    <n v="2"/>
    <n v="4"/>
    <n v="0.39900000000000002"/>
    <n v="0.36199999999999999"/>
    <n v="8.7999999999999995E-2"/>
    <n v="0.36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7000000000000003E-2"/>
    <n v="6.8000000000000005E-2"/>
    <n v="3.2000000000000001E-2"/>
    <n v="7.8E-2"/>
    <m/>
    <m/>
    <m/>
    <m/>
    <m/>
    <m/>
    <m/>
    <m/>
    <m/>
    <m/>
    <m/>
    <m/>
    <m/>
    <m/>
    <m/>
    <m/>
    <n v="0.101049560274"/>
    <n v="211.90260798555687"/>
    <n v="0.196389239592"/>
    <n v="8.7564429055999995E-2"/>
    <n v="4.7139389439999997E-3"/>
    <n v="0.115530633504"/>
    <m/>
    <m/>
    <m/>
    <m/>
    <m/>
    <m/>
    <m/>
    <m/>
    <m/>
    <m/>
    <m/>
    <m/>
    <m/>
    <m/>
    <m/>
    <m/>
    <m/>
  </r>
  <r>
    <x v="17"/>
    <s v="TRIMULT"/>
    <s v="ROT"/>
    <n v="-1"/>
    <n v="-1"/>
    <n v="-1"/>
    <n v="-1"/>
    <n v="-1"/>
    <n v="-1"/>
    <n v="-1"/>
    <n v="-1"/>
    <n v="-1"/>
    <n v="22080"/>
    <n v="7863.8123490211301"/>
    <n v="9"/>
    <n v="6"/>
    <n v="15"/>
    <n v="0.193"/>
    <n v="0.20699999999999999"/>
    <n v="0.19"/>
    <n v="0.17399999999999999"/>
    <n v="0.182"/>
    <n v="0.16700000000000001"/>
    <n v="0.153"/>
    <n v="0.189"/>
    <n v="0.13100000000000001"/>
    <n v="0.128"/>
    <n v="0.156"/>
    <n v="0.21099999999999999"/>
    <n v="0.128"/>
    <n v="0.189"/>
    <n v="0.14000000000000001"/>
    <m/>
    <m/>
    <m/>
    <m/>
    <m/>
    <m/>
    <m/>
    <m/>
    <m/>
    <m/>
    <m/>
    <m/>
    <m/>
    <m/>
    <m/>
    <m/>
    <m/>
    <m/>
    <m/>
    <m/>
    <m/>
    <m/>
    <m/>
    <m/>
    <m/>
    <n v="8.5000000000000006E-2"/>
    <n v="9.4E-2"/>
    <n v="8.5999999999999993E-2"/>
    <n v="9.7000000000000003E-2"/>
    <n v="0.09"/>
    <n v="8.2000000000000003E-2"/>
    <n v="0.1"/>
    <n v="7.5999999999999998E-2"/>
    <n v="4.5172413793103501E-2"/>
    <n v="0.107"/>
    <n v="0.11600000000000001"/>
    <n v="8.8999999999999996E-2"/>
    <n v="0.106"/>
    <n v="0.11"/>
    <n v="0.115"/>
    <m/>
    <m/>
    <m/>
    <m/>
    <m/>
    <n v="7.8692989213664993E-2"/>
    <n v="618.82690035980534"/>
    <n v="7.2945160600000003E-2"/>
    <n v="9.5681368224000002E-2"/>
    <n v="7.351091488E-2"/>
    <n v="8.5643427792000001E-2"/>
    <n v="7.7118350399999994E-2"/>
    <n v="5.8741563295999999E-2"/>
    <n v="8.0037360000000002E-2"/>
    <n v="5.7107127168000003E-2"/>
    <n v="1.3983607180974999E-2"/>
    <n v="7.6661771264000006E-2"/>
    <n v="0.109810002432"/>
    <n v="8.7430667271999996E-2"/>
    <n v="7.5235536896000002E-2"/>
    <n v="0.1196323128"/>
    <n v="9.6855668000000006E-2"/>
    <m/>
    <m/>
    <m/>
    <m/>
    <m/>
    <m/>
  </r>
  <r>
    <x v="18"/>
    <s v="BOSLONG"/>
    <s v="CLA"/>
    <n v="-1"/>
    <n v="88"/>
    <n v="-1"/>
    <n v="-1"/>
    <n v="-1"/>
    <n v="-1"/>
    <n v="-1"/>
    <n v="-1"/>
    <n v="-1"/>
    <n v="45056"/>
    <n v="14327.442789106801"/>
    <n v="-1"/>
    <n v="-1"/>
    <n v="-1"/>
    <n v="0.28499999999999998"/>
    <n v="0.376"/>
    <n v="0.47499999999999998"/>
    <n v="0.23499999999999999"/>
    <n v="0.32"/>
    <n v="0.45400000000000001"/>
    <n v="0.59099999999999997"/>
    <n v="0.52700000000000002"/>
    <n v="0.27900000000000003"/>
    <n v="0.4"/>
    <n v="0.47599999999999998"/>
    <n v="0.47299999999999998"/>
    <n v="0.245"/>
    <n v="0.47199999999999998"/>
    <n v="0.46"/>
    <n v="0.46300000000000002"/>
    <n v="0.42699999999999999"/>
    <n v="0.40799999999999997"/>
    <n v="0.47499999999999998"/>
    <n v="0.233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6989732785975815"/>
    <n v="24341.94244932806"/>
    <n v="0.628874710985174"/>
    <n v="1.26774493060577"/>
    <n v="2.29003155828766"/>
    <n v="0.386018684580413"/>
    <n v="0.84301650990673405"/>
    <n v="2.0424806115949701"/>
    <n v="3.98036557547537"/>
    <n v="2.9784306431534202"/>
    <n v="0.595916306080575"/>
    <n v="1.4825809414743101"/>
    <n v="2.3022486411234602"/>
    <n v="2.2657152144497799"/>
    <n v="0.428940277450781"/>
    <n v="2.2536158656852101"/>
    <n v="2.1114653023765402"/>
    <n v="2.1464784971809499"/>
    <n v="1.7489973793128699"/>
    <n v="1.5587513676566001"/>
    <n v="2.29003155828766"/>
    <n v="0.377760996283382"/>
    <m/>
  </r>
  <r>
    <x v="18"/>
    <s v="BYTLONG"/>
    <s v="CLA"/>
    <n v="1"/>
    <n v="-1"/>
    <n v="-1"/>
    <n v="-1"/>
    <n v="-1"/>
    <n v="-1"/>
    <n v="-1"/>
    <n v="-1"/>
    <n v="-1"/>
    <n v="1"/>
    <n v="0.31799189428947999"/>
    <n v="-1"/>
    <n v="-1"/>
    <n v="-1"/>
    <n v="1.58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.138847778588001"/>
    <n v="14.035795816868205"/>
    <n v="44.138847778588001"/>
    <m/>
    <m/>
    <m/>
    <m/>
    <m/>
    <m/>
    <m/>
    <m/>
    <m/>
    <m/>
    <m/>
    <m/>
    <m/>
    <m/>
    <m/>
    <m/>
    <m/>
    <m/>
    <m/>
    <m/>
  </r>
  <r>
    <x v="18"/>
    <s v="CECPENG"/>
    <s v="CLA"/>
    <n v="338"/>
    <n v="-1"/>
    <n v="-1"/>
    <n v="-1"/>
    <n v="-1"/>
    <n v="-1"/>
    <n v="-1"/>
    <n v="-1"/>
    <n v="-1"/>
    <n v="338"/>
    <n v="107.481260269844"/>
    <n v="-1"/>
    <n v="-1"/>
    <n v="-1"/>
    <n v="1.111"/>
    <n v="1.244"/>
    <n v="1.149"/>
    <n v="1.181"/>
    <n v="1.004"/>
    <n v="1.0609999999999999"/>
    <n v="1.175"/>
    <n v="0.79700000000000004"/>
    <n v="0.88400000000000001"/>
    <n v="0.94499999999999995"/>
    <n v="0.91700000000000004"/>
    <n v="1.508"/>
    <n v="1.034"/>
    <n v="1.7989999999999999"/>
    <n v="0.68799999999999994"/>
    <n v="0.97099999999999997"/>
    <n v="1.359"/>
    <n v="1.3979999999999999"/>
    <n v="0.95299999999999996"/>
    <n v="1.300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6757106879715407"/>
    <n v="287.5887568606725"/>
    <n v="2.2292747798709698"/>
    <n v="3.1224855742301698"/>
    <n v="2.4642762568693"/>
    <n v="2.6744864507825099"/>
    <n v="1.6485501808623599"/>
    <n v="1.9434239530961801"/>
    <n v="2.6341988126441902"/>
    <n v="0.82847900072699598"/>
    <n v="1.12814119181714"/>
    <n v="1.3763297470658"/>
    <n v="1.2583351477564499"/>
    <n v="5.5407901855872002"/>
    <n v="1.7997281626313699"/>
    <n v="9.3740782385924408"/>
    <n v="0.53450189971880402"/>
    <n v="1.4922755118356299"/>
    <n v="4.0637753179227003"/>
    <n v="4.4212704130515297"/>
    <n v="1.4113429268734901"/>
    <n v="3.5684700074955802"/>
    <m/>
  </r>
  <r>
    <x v="18"/>
    <s v="CERSP"/>
    <s v="CLA"/>
    <n v="-1"/>
    <n v="0"/>
    <n v="-1"/>
    <n v="-1"/>
    <n v="-1"/>
    <n v="1"/>
    <n v="-1"/>
    <n v="-1"/>
    <n v="-1"/>
    <n v="170.666666666667"/>
    <n v="54.2706166254046"/>
    <n v="-1"/>
    <n v="-1"/>
    <n v="-1"/>
    <n v="0.389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5754241582811"/>
    <n v="46.98501653675865"/>
    <n v="0.865754241582811"/>
    <m/>
    <m/>
    <m/>
    <m/>
    <m/>
    <m/>
    <m/>
    <m/>
    <m/>
    <m/>
    <m/>
    <m/>
    <m/>
    <m/>
    <m/>
    <m/>
    <m/>
    <m/>
    <m/>
    <m/>
  </r>
  <r>
    <x v="18"/>
    <s v="DAPGALEM"/>
    <s v="CLA"/>
    <n v="-1"/>
    <n v="20"/>
    <n v="-1"/>
    <n v="-1"/>
    <n v="-1"/>
    <n v="-1"/>
    <n v="-1"/>
    <n v="-1"/>
    <n v="-1"/>
    <n v="10240"/>
    <n v="3256.23699752428"/>
    <n v="-1"/>
    <n v="-1"/>
    <n v="-1"/>
    <n v="0.66100000000000003"/>
    <n v="0.61299999999999999"/>
    <n v="0.49399999999999999"/>
    <n v="0.56999999999999995"/>
    <n v="0.68799999999999994"/>
    <n v="0.64100000000000001"/>
    <n v="0.67200000000000004"/>
    <n v="0.59"/>
    <n v="0.56899999999999995"/>
    <n v="0.64200000000000002"/>
    <n v="0.76800000000000002"/>
    <n v="1.18"/>
    <n v="0.69199999999999995"/>
    <n v="0.65700000000000003"/>
    <n v="1.222"/>
    <n v="0.92500000000000004"/>
    <n v="0.77900000000000003"/>
    <n v="0.59299999999999997"/>
    <n v="0.76500000000000001"/>
    <n v="0.580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2982204245754869"/>
    <n v="7483.5503749686595"/>
    <n v="1.53301427686458"/>
    <n v="1.2375472861358701"/>
    <n v="0.67043794995014605"/>
    <n v="1.0066039832084499"/>
    <n v="1.7176126069537201"/>
    <n v="1.40491761681181"/>
    <n v="1.60658160456568"/>
    <n v="1.1101809415957"/>
    <n v="1.0015967140019999"/>
    <n v="1.4111511506049299"/>
    <n v="2.3474692895716802"/>
    <n v="7.9491182079566203"/>
    <n v="1.7461251302248499"/>
    <n v="1.5068141991726001"/>
    <n v="8.7792270154461303"/>
    <n v="3.9812236517275199"/>
    <n v="2.4442207927558202"/>
    <n v="1.1262878098651301"/>
    <n v="2.3215205390519702"/>
    <n v="1.0627577250445299"/>
    <m/>
  </r>
  <r>
    <x v="18"/>
    <s v="DAPRETR"/>
    <s v="CLA"/>
    <n v="-1"/>
    <n v="20"/>
    <n v="-1"/>
    <n v="-1"/>
    <n v="-1"/>
    <n v="-1"/>
    <n v="-1"/>
    <n v="-1"/>
    <n v="-1"/>
    <n v="10240"/>
    <n v="3256.23699752428"/>
    <n v="-1"/>
    <n v="-1"/>
    <n v="-1"/>
    <n v="0.81200000000000006"/>
    <n v="0.86199999999999999"/>
    <n v="0.63100000000000001"/>
    <n v="0.66600000000000004"/>
    <n v="0.97899999999999998"/>
    <n v="0.6"/>
    <n v="0.93200000000000005"/>
    <n v="0.76300000000000001"/>
    <n v="0.59499999999999997"/>
    <n v="1.0189999999999999"/>
    <n v="0.44500000000000001"/>
    <n v="1.0369999999999999"/>
    <n v="0.56200000000000006"/>
    <n v="0.64800000000000002"/>
    <n v="0.77300000000000002"/>
    <n v="0.76600000000000001"/>
    <n v="0.69"/>
    <n v="0.41099999999999998"/>
    <n v="1.0580000000000001"/>
    <n v="0.701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215812312365649"/>
    <n v="8210.8660974153299"/>
    <n v="2.7498764234730499"/>
    <n v="3.2584772218133802"/>
    <n v="1.34356114170409"/>
    <n v="1.5661770846110701"/>
    <n v="4.6773180175036702"/>
    <n v="1.1644574012292099"/>
    <n v="4.0673846525694302"/>
    <n v="2.3043250567441298"/>
    <n v="1.1371093672316099"/>
    <n v="5.2406932124914203"/>
    <n v="0.49832937203178701"/>
    <n v="5.5078958898485002"/>
    <n v="0.966997142439596"/>
    <n v="1.44892888771238"/>
    <n v="2.3911334626566698"/>
    <n v="2.3301493628582102"/>
    <n v="1.7318308519774399"/>
    <n v="0.39763520548390102"/>
    <n v="5.8306013756699198"/>
    <n v="1.8187434946818399"/>
    <m/>
  </r>
  <r>
    <x v="18"/>
    <s v="HOLGIBB"/>
    <s v="CLA"/>
    <n v="-1"/>
    <n v="20"/>
    <n v="-1"/>
    <n v="-1"/>
    <n v="-1"/>
    <n v="-1"/>
    <n v="-1"/>
    <n v="-1"/>
    <n v="-1"/>
    <n v="10240"/>
    <n v="3256.23699752428"/>
    <n v="-1"/>
    <n v="-1"/>
    <n v="-1"/>
    <n v="0.628"/>
    <n v="0.46800000000000003"/>
    <n v="0.34799999999999998"/>
    <n v="0.67900000000000005"/>
    <n v="0.25900000000000001"/>
    <n v="0.53400000000000003"/>
    <n v="0.499"/>
    <n v="0.91500000000000004"/>
    <n v="0.59299999999999997"/>
    <n v="0.46"/>
    <n v="0.53300000000000003"/>
    <n v="0.64900000000000002"/>
    <n v="0.42599999999999999"/>
    <n v="0.35099999999999998"/>
    <n v="0.34200000000000003"/>
    <n v="0.42599999999999999"/>
    <n v="0.496"/>
    <n v="0.59199999999999997"/>
    <n v="0.42599999999999999"/>
    <n v="0.62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2295119145157867"/>
    <n v="4003.5821849432145"/>
    <n v="1.80212007467405"/>
    <n v="0.705304625931365"/>
    <n v="0.274113389070681"/>
    <n v="2.3118360992265501"/>
    <n v="0.10683626788851899"/>
    <n v="1.0743581208150099"/>
    <n v="0.86543250216612"/>
    <n v="5.98722736862105"/>
    <n v="1.5008487671570201"/>
    <n v="0.66755944365915698"/>
    <n v="1.0679532894762001"/>
    <n v="2.0014882449899201"/>
    <n v="0.52252741618424003"/>
    <n v="0.28172290793110799"/>
    <n v="0.25931983661601299"/>
    <n v="0.52252741618424003"/>
    <n v="0.84894393301715798"/>
    <n v="1.49278995978344"/>
    <n v="0.52252741618424003"/>
    <n v="1.77480121073966"/>
    <m/>
  </r>
  <r>
    <x v="18"/>
    <s v="LETKIND"/>
    <s v="CLA"/>
    <n v="-1"/>
    <n v="0"/>
    <n v="-1"/>
    <n v="-1"/>
    <n v="-1"/>
    <n v="2"/>
    <n v="-1"/>
    <n v="2"/>
    <n v="-1"/>
    <n v="292.57142857142901"/>
    <n v="93.035342786407895"/>
    <n v="-1"/>
    <n v="-1"/>
    <n v="-1"/>
    <n v="1.595"/>
    <n v="2.5289999999999999"/>
    <n v="4.2130000000000001"/>
    <n v="1.7390000000000001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2845399337771806"/>
    <n v="677.71966978023704"/>
    <n v="1.5289066555728099"/>
    <n v="5.2345977025885402"/>
    <n v="20.4488614189051"/>
    <n v="1.92579395804227"/>
    <m/>
    <m/>
    <m/>
    <m/>
    <m/>
    <m/>
    <m/>
    <m/>
    <m/>
    <m/>
    <m/>
    <m/>
    <m/>
    <m/>
    <m/>
    <m/>
    <m/>
  </r>
  <r>
    <x v="18"/>
    <s v="POYPEDI"/>
    <s v="CLA"/>
    <n v="-1"/>
    <n v="4"/>
    <n v="-1"/>
    <n v="-1"/>
    <n v="-1"/>
    <n v="6"/>
    <n v="-1"/>
    <n v="4"/>
    <n v="-1"/>
    <n v="1024"/>
    <n v="325.62369975242802"/>
    <n v="-1"/>
    <n v="-1"/>
    <n v="-1"/>
    <n v="0.53700000000000003"/>
    <n v="0.56899999999999995"/>
    <n v="0.437"/>
    <n v="0.52700000000000002"/>
    <n v="0.54300000000000004"/>
    <n v="0.36899999999999999"/>
    <n v="0.624"/>
    <n v="0.56499999999999995"/>
    <n v="0.503"/>
    <n v="0.498"/>
    <n v="0.70199999999999996"/>
    <n v="0.46700000000000003"/>
    <n v="0.79100000000000004"/>
    <n v="0.90200000000000002"/>
    <m/>
    <m/>
    <m/>
    <m/>
    <m/>
    <m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n v="5.224138898011323"/>
    <n v="1701.1034359910193"/>
    <n v="4.2300848560228097"/>
    <n v="4.7906642855950397"/>
    <n v="2.7160605944932699"/>
    <n v="4.0625356766111"/>
    <n v="4.3323546273023199"/>
    <n v="1.88803939759447"/>
    <n v="5.8418611853137001"/>
    <n v="4.7185496373428704"/>
    <n v="3.6751539241232098"/>
    <n v="3.5970580958964402"/>
    <n v="7.5253925007584002"/>
    <n v="3.1328215563148301"/>
    <n v="9.7271094974704599"/>
    <n v="12.9002587373196"/>
    <m/>
    <m/>
    <m/>
    <m/>
    <m/>
    <m/>
    <m/>
  </r>
  <r>
    <x v="18"/>
    <s v="DIYTHOM"/>
    <s v="COP"/>
    <n v="-1"/>
    <n v="9"/>
    <n v="20"/>
    <n v="-1"/>
    <n v="-1"/>
    <n v="-1"/>
    <n v="-1"/>
    <n v="-1"/>
    <n v="-1"/>
    <n v="14848"/>
    <n v="4721.5436464102004"/>
    <n v="-1"/>
    <n v="-1"/>
    <n v="-1"/>
    <n v="0.83599999999999997"/>
    <n v="0.89800000000000002"/>
    <n v="0.749"/>
    <n v="0.84899999999999998"/>
    <n v="0.86399999999999999"/>
    <n v="0.83599999999999997"/>
    <n v="0.96799999999999997"/>
    <n v="0.877"/>
    <n v="0.72099999999999997"/>
    <n v="1.0529999999999999"/>
    <n v="0.89400000000000002"/>
    <n v="0.88900000000000001"/>
    <n v="0.67600000000000005"/>
    <n v="0.83"/>
    <n v="0.79900000000000004"/>
    <n v="0.85199999999999998"/>
    <n v="0.86"/>
    <n v="0.65500000000000003"/>
    <n v="1.06"/>
    <n v="0.82199999999999995"/>
    <s v="M"/>
    <s v="F"/>
    <s v="M"/>
    <s v="M"/>
    <s v="M"/>
    <s v="M"/>
    <s v="F"/>
    <s v="M"/>
    <s v="M"/>
    <s v="F"/>
    <s v="F"/>
    <s v="M"/>
    <s v="M"/>
    <s v="M"/>
    <s v="M"/>
    <s v="M"/>
    <s v="M"/>
    <s v="M"/>
    <s v="F"/>
    <s v="M"/>
    <m/>
    <m/>
    <m/>
    <m/>
    <m/>
    <m/>
    <m/>
    <m/>
    <m/>
    <m/>
    <m/>
    <m/>
    <m/>
    <m/>
    <m/>
    <m/>
    <m/>
    <m/>
    <m/>
    <m/>
    <n v="2.9869060251336603"/>
    <n v="14102.807165394181"/>
    <n v="2.5827820615271002"/>
    <n v="3.43111991459967"/>
    <n v="1.66963544635729"/>
    <n v="2.7459483887317799"/>
    <n v="2.9436650911415101"/>
    <n v="2.5827820615271002"/>
    <n v="4.62225614482601"/>
    <n v="3.1234691843475599"/>
    <n v="1.43526416225078"/>
    <n v="6.4560884777953698"/>
    <n v="3.37084505092071"/>
    <n v="3.2966195591682199"/>
    <n v="1.1112639423694799"/>
    <n v="2.5099719419613802"/>
    <n v="2.1579409369893798"/>
    <n v="2.7846718922278502"/>
    <n v="2.8899324488583402"/>
    <n v="0.98040789739012901"/>
    <n v="6.6281621605628596"/>
    <n v="2.4152937391206901"/>
    <m/>
  </r>
  <r>
    <x v="18"/>
    <s v="LEOMINU"/>
    <s v="COP"/>
    <n v="-1"/>
    <n v="2"/>
    <n v="0"/>
    <n v="-1"/>
    <n v="-1"/>
    <n v="0"/>
    <n v="2"/>
    <n v="-1"/>
    <n v="-1"/>
    <n v="682.66666666666697"/>
    <n v="217.082466501619"/>
    <n v="-1"/>
    <n v="-1"/>
    <n v="-1"/>
    <n v="0.77200000000000002"/>
    <n v="1.0229999999999999"/>
    <n v="0.9"/>
    <n v="0.95099999999999996"/>
    <m/>
    <m/>
    <m/>
    <m/>
    <m/>
    <m/>
    <m/>
    <m/>
    <m/>
    <m/>
    <m/>
    <m/>
    <m/>
    <m/>
    <m/>
    <m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70107385283974"/>
    <n v="854.65600176310511"/>
    <n v="2.5087479701010098"/>
    <n v="5.2012307030652298"/>
    <n v="3.7326418900079599"/>
    <n v="4.3054223909393903"/>
    <m/>
    <m/>
    <m/>
    <m/>
    <m/>
    <m/>
    <m/>
    <m/>
    <m/>
    <m/>
    <m/>
    <m/>
    <m/>
    <m/>
    <m/>
    <m/>
    <m/>
  </r>
  <r>
    <x v="18"/>
    <s v="SKIOREG"/>
    <s v="COP"/>
    <n v="-1"/>
    <n v="2"/>
    <n v="0"/>
    <n v="-1"/>
    <n v="-1"/>
    <n v="0"/>
    <n v="0"/>
    <n v="-1"/>
    <n v="-1"/>
    <n v="341.33333333333297"/>
    <n v="108.541233250809"/>
    <n v="-1"/>
    <n v="-1"/>
    <n v="-1"/>
    <n v="1.3220000000000001"/>
    <n v="1.0660000000000001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9455561940196704"/>
    <n v="862.42046816249922"/>
    <n v="10.104566701300101"/>
    <n v="5.78654568673924"/>
    <m/>
    <m/>
    <m/>
    <m/>
    <m/>
    <m/>
    <m/>
    <m/>
    <m/>
    <m/>
    <m/>
    <m/>
    <m/>
    <m/>
    <m/>
    <m/>
    <m/>
    <m/>
    <m/>
  </r>
  <r>
    <x v="18"/>
    <s v="CYCCOPE"/>
    <s v="IMM"/>
    <n v="-1"/>
    <n v="118"/>
    <n v="-1"/>
    <n v="-1"/>
    <n v="-1"/>
    <n v="-1"/>
    <n v="-1"/>
    <n v="-1"/>
    <n v="-1"/>
    <n v="60416"/>
    <n v="19211.798285393201"/>
    <n v="-1"/>
    <n v="-1"/>
    <n v="-1"/>
    <n v="0.38600000000000001"/>
    <n v="0.55100000000000005"/>
    <n v="0.72699999999999998"/>
    <n v="0.373"/>
    <n v="0.47099999999999997"/>
    <n v="0.71"/>
    <n v="0.55600000000000005"/>
    <n v="0.53100000000000003"/>
    <n v="0.57499999999999996"/>
    <n v="0.38100000000000001"/>
    <n v="0.51500000000000001"/>
    <n v="0.49"/>
    <n v="0.54200000000000004"/>
    <n v="0.438"/>
    <n v="0.56299999999999994"/>
    <n v="0.83599999999999997"/>
    <n v="0.90400000000000003"/>
    <n v="0.438"/>
    <n v="0.503"/>
    <n v="0.597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3347340781222548"/>
    <n v="14091.343158588421"/>
    <n v="0.120138011552454"/>
    <n v="0.493515375176036"/>
    <n v="1.48327081324704"/>
    <n v="0.104860736147531"/>
    <n v="0.26474138787200902"/>
    <n v="1.35028201884497"/>
    <n v="0.51153548102200497"/>
    <n v="0.42614175355962097"/>
    <n v="0.58453454641834102"/>
    <n v="0.114077762229817"/>
    <n v="0.377401428130962"/>
    <n v="0.30974712045328301"/>
    <n v="0.46228096109554601"/>
    <n v="0.198417995848234"/>
    <n v="0.53758503123565704"/>
    <n v="2.5827820615271002"/>
    <n v="3.5230394713450499"/>
    <n v="0.198417995848234"/>
    <n v="0.34367958924716602"/>
    <n v="0.68301861544345399"/>
    <m/>
  </r>
  <r>
    <x v="18"/>
    <s v="DIACOPE"/>
    <s v="IMM"/>
    <n v="-1"/>
    <n v="19"/>
    <n v="-1"/>
    <n v="-1"/>
    <n v="-1"/>
    <n v="18"/>
    <n v="-1"/>
    <n v="-1"/>
    <n v="-1"/>
    <n v="6314.6666666666697"/>
    <n v="2008.0128151399699"/>
    <n v="-1"/>
    <n v="-1"/>
    <n v="-1"/>
    <n v="1.196"/>
    <n v="0.74"/>
    <n v="0.627"/>
    <n v="0.65700000000000003"/>
    <n v="0.49199999999999999"/>
    <n v="0.44800000000000001"/>
    <n v="0.67300000000000004"/>
    <n v="0.68600000000000005"/>
    <n v="0.77200000000000002"/>
    <n v="0.98"/>
    <n v="1.109"/>
    <n v="0.56599999999999995"/>
    <n v="0.53500000000000003"/>
    <n v="0.70099999999999996"/>
    <n v="0.54700000000000004"/>
    <n v="0.72499999999999998"/>
    <n v="0.45400000000000001"/>
    <n v="0.503"/>
    <n v="0.53900000000000003"/>
    <n v="0.3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0909278485508471"/>
    <n v="4198.609915423147"/>
    <n v="7.7956437011095696"/>
    <n v="2.2482177915250299"/>
    <n v="1.46369691330551"/>
    <n v="1.65204751255448"/>
    <n v="0.78112015226286602"/>
    <n v="0.61282755207478401"/>
    <n v="1.75827678716059"/>
    <n v="1.8475988612727301"/>
    <n v="2.5087479701010098"/>
    <n v="4.65375764073237"/>
    <n v="6.4106332350568396"/>
    <n v="1.1228526880388501"/>
    <n v="0.97043068768626195"/>
    <n v="1.9540599911345999"/>
    <n v="1.02781606477645"/>
    <n v="2.1320808196955898"/>
    <n v="0.63431193808593"/>
    <n v="0.82715958666094402"/>
    <n v="0.989334440846659"/>
    <n v="0.42794263693587298"/>
    <m/>
  </r>
  <r>
    <x v="18"/>
    <s v="DREPOLYV"/>
    <s v="MOL"/>
    <n v="-1"/>
    <n v="-1"/>
    <n v="-1"/>
    <n v="-1"/>
    <n v="-1"/>
    <n v="-1"/>
    <n v="-1"/>
    <n v="-1"/>
    <n v="-1"/>
    <n v="228288"/>
    <n v="72593.733563556903"/>
    <n v="59"/>
    <n v="64"/>
    <n v="123"/>
    <n v="0.11"/>
    <n v="0.106"/>
    <n v="0.115"/>
    <n v="0.108"/>
    <n v="0.11"/>
    <n v="9.9000000000000005E-2"/>
    <n v="0.105"/>
    <n v="0.108"/>
    <n v="0.114"/>
    <n v="0.104"/>
    <n v="9.2999999999999999E-2"/>
    <n v="0.11"/>
    <n v="0.122"/>
    <n v="8.8999999999999996E-2"/>
    <n v="9.6000000000000002E-2"/>
    <n v="0.10199999999999999"/>
    <n v="0.11"/>
    <n v="0.11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062870523494416"/>
    <n v="11660.637430484654"/>
    <n v="0.17137871664747947"/>
    <n v="0.15979245626552249"/>
    <n v="0.18704997457505201"/>
    <n v="0.16548421702607694"/>
    <n v="0.17137871664747947"/>
    <n v="0.1413693296235311"/>
    <n v="0.15702041439172909"/>
    <n v="0.16548421702607694"/>
    <n v="0.18380507569726992"/>
    <n v="0.15429646124708882"/>
    <n v="0.12727827420164603"/>
    <n v="0.17137871664747947"/>
    <n v="0.21142616267153885"/>
    <n v="0.11867347627390945"/>
    <n v="0.13413889927804937"/>
    <n v="0.14898949868956468"/>
    <n v="0.17137871664747947"/>
    <n v="0.17748317662891583"/>
    <n v="0.13413889927804937"/>
    <s v=""/>
    <m/>
  </r>
  <r>
    <x v="18"/>
    <s v="COPNAUP"/>
    <s v="NAU"/>
    <n v="-1"/>
    <n v="-1"/>
    <n v="-1"/>
    <n v="-1"/>
    <n v="-1"/>
    <n v="-1"/>
    <n v="-1"/>
    <n v="-1"/>
    <n v="-1"/>
    <n v="222720"/>
    <n v="70823.154696152997"/>
    <n v="66"/>
    <n v="54"/>
    <n v="120"/>
    <n v="0.115"/>
    <n v="0.14499999999999999"/>
    <n v="0.17599999999999999"/>
    <n v="0.127"/>
    <n v="0.13"/>
    <n v="0.16700000000000001"/>
    <n v="0.22700000000000001"/>
    <n v="0.125"/>
    <n v="0.113"/>
    <n v="0.16800000000000001"/>
    <n v="0.126"/>
    <n v="0.121"/>
    <n v="0.20599999999999999"/>
    <n v="0.157"/>
    <n v="0.14199999999999999"/>
    <n v="0.155"/>
    <n v="0.19900000000000001"/>
    <n v="0.126"/>
    <n v="0.20599999999999999"/>
    <n v="0.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60195880778282E-2"/>
    <n v="6204.2470803296255"/>
    <n v="3.9251109741472279E-2"/>
    <n v="6.8463694073402304E-2"/>
    <n v="0.10899523847033353"/>
    <n v="4.9808797095077323E-2"/>
    <n v="5.2679442313682365E-2"/>
    <n v="9.6094084578295394E-2"/>
    <n v="0.20074243157728705"/>
    <n v="4.7946968582758688E-2"/>
    <n v="3.7632700791829184E-2"/>
    <n v="9.7480870620755999E-2"/>
    <n v="4.8872711129969722E-2"/>
    <n v="4.4346771885494372E-2"/>
    <n v="0.1590224543410409"/>
    <n v="8.2858351567382138E-2"/>
    <n v="6.5113216540746796E-2"/>
    <n v="8.0347653641320488E-2"/>
    <n v="0.14636070964468748"/>
    <n v="4.8872711129969722E-2"/>
    <n v="0.1590224543410409"/>
    <n v="0.1181268040891094"/>
    <m/>
  </r>
  <r>
    <x v="18"/>
    <s v="ASCOVAL"/>
    <s v="ROT"/>
    <n v="-1"/>
    <n v="-1"/>
    <n v="-1"/>
    <n v="-1"/>
    <n v="-1"/>
    <n v="-1"/>
    <n v="-1"/>
    <n v="-1"/>
    <n v="-1"/>
    <n v="12992"/>
    <n v="4131.3506906089297"/>
    <n v="5"/>
    <n v="2"/>
    <n v="7"/>
    <n v="0.154"/>
    <n v="9.9000000000000005E-2"/>
    <n v="0.104"/>
    <n v="0.10299999999999999"/>
    <n v="9.5000000000000001E-2"/>
    <n v="9.8000000000000004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682482285714284E-2"/>
    <n v="68.921184712156943"/>
    <n v="4.3827168E-2"/>
    <n v="1.1643588E-2"/>
    <n v="1.3498368E-2"/>
    <n v="1.3112723999999999E-2"/>
    <n v="1.0288500000000001E-2"/>
    <n v="1.1294304E-2"/>
    <n v="1.3112723999999999E-2"/>
    <m/>
    <m/>
    <m/>
    <m/>
    <m/>
    <m/>
    <m/>
    <m/>
    <m/>
    <m/>
    <m/>
    <m/>
    <m/>
    <m/>
  </r>
  <r>
    <x v="18"/>
    <s v="ASPPRIO"/>
    <s v="ROT"/>
    <n v="-1"/>
    <n v="-1"/>
    <n v="-1"/>
    <n v="-1"/>
    <n v="-1"/>
    <n v="-1"/>
    <n v="-1"/>
    <n v="-1"/>
    <n v="-1"/>
    <n v="1856"/>
    <n v="590.19295580127505"/>
    <n v="1"/>
    <n v="0"/>
    <n v="1"/>
    <n v="0.656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3223473152"/>
    <n v="1494.5071009784369"/>
    <n v="2.53223473152"/>
    <m/>
    <m/>
    <m/>
    <m/>
    <m/>
    <m/>
    <m/>
    <m/>
    <m/>
    <m/>
    <m/>
    <m/>
    <m/>
    <m/>
    <m/>
    <m/>
    <m/>
    <m/>
    <m/>
    <m/>
  </r>
  <r>
    <x v="18"/>
    <s v="COLSP"/>
    <s v="ROT"/>
    <n v="-1"/>
    <n v="-1"/>
    <n v="-1"/>
    <n v="-1"/>
    <n v="-1"/>
    <n v="-1"/>
    <n v="-1"/>
    <n v="-1"/>
    <n v="-1"/>
    <n v="7424"/>
    <n v="2360.7718232051002"/>
    <n v="3"/>
    <n v="1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3"/>
    <n v="3.4000000000000002E-2"/>
    <n v="3.5999999999999997E-2"/>
    <n v="3.5000000000000003E-2"/>
    <m/>
    <m/>
    <m/>
    <m/>
    <m/>
    <m/>
    <m/>
    <m/>
    <m/>
    <m/>
    <m/>
    <m/>
    <m/>
    <m/>
    <m/>
    <m/>
    <n v="7.0125750000000001E-3"/>
    <n v="16.555089468112506"/>
    <n v="4.8599999999999997E-3"/>
    <n v="7.0747199999999996E-3"/>
    <n v="8.3980800000000005E-3"/>
    <n v="7.7175000000000004E-3"/>
    <m/>
    <m/>
    <m/>
    <m/>
    <m/>
    <m/>
    <m/>
    <m/>
    <m/>
    <m/>
    <m/>
    <m/>
    <m/>
    <m/>
    <m/>
    <m/>
    <m/>
  </r>
  <r>
    <x v="18"/>
    <s v="COOUNIC"/>
    <s v="ROT"/>
    <n v="-1"/>
    <n v="-1"/>
    <n v="-1"/>
    <n v="-1"/>
    <n v="-1"/>
    <n v="-1"/>
    <n v="-1"/>
    <n v="-1"/>
    <n v="-1"/>
    <n v="46400"/>
    <n v="14754.823895031899"/>
    <n v="17"/>
    <n v="8"/>
    <n v="25"/>
    <n v="0.153"/>
    <n v="7.9000000000000001E-2"/>
    <n v="0.18"/>
    <n v="0.127"/>
    <n v="0.16200000000000001"/>
    <n v="0.153"/>
    <n v="0.188"/>
    <n v="0.106"/>
    <n v="0.123"/>
    <n v="0.14299999999999999"/>
    <n v="0.13300000000000001"/>
    <n v="0.12"/>
    <n v="0.14099999999999999"/>
    <n v="0.17499999999999999"/>
    <n v="0.17199999999999999"/>
    <n v="0.1"/>
    <n v="0.129"/>
    <n v="0.14299999999999999"/>
    <n v="0.155"/>
    <n v="0.17299999999999999"/>
    <m/>
    <m/>
    <m/>
    <m/>
    <m/>
    <m/>
    <m/>
    <m/>
    <m/>
    <m/>
    <m/>
    <m/>
    <m/>
    <m/>
    <m/>
    <m/>
    <m/>
    <m/>
    <m/>
    <m/>
    <n v="6.2E-2"/>
    <n v="5.3999999999999999E-2"/>
    <n v="6.5000000000000002E-2"/>
    <n v="4.2999999999999997E-2"/>
    <n v="7.5999999999999998E-2"/>
    <n v="0.05"/>
    <n v="6.6000000000000003E-2"/>
    <n v="6.6000000000000003E-2"/>
    <n v="8.1000000000000003E-2"/>
    <n v="6.4000000000000001E-2"/>
    <n v="6.5000000000000002E-2"/>
    <n v="5.8999999999999997E-2"/>
    <n v="8.3000000000000004E-2"/>
    <n v="7.4999999999999997E-2"/>
    <n v="4.9000000000000002E-2"/>
    <n v="4.5999999999999999E-2"/>
    <n v="4.4999999999999998E-2"/>
    <n v="5.8999999999999997E-2"/>
    <n v="5.3999999999999999E-2"/>
    <n v="6.4000000000000001E-2"/>
    <n v="1.4670451899999996E-2"/>
    <n v="216.45993424503607"/>
    <n v="1.5291432000000001E-2"/>
    <n v="5.9894639999999999E-3"/>
    <n v="1.9772999999999999E-2"/>
    <n v="6.1053979999999997E-3"/>
    <n v="2.4328512E-2"/>
    <n v="9.9450000000000007E-3"/>
    <n v="2.1292128E-2"/>
    <n v="1.2005136E-2"/>
    <n v="2.0982078000000001E-2"/>
    <n v="1.5228927999999999E-2"/>
    <n v="1.4610049999999999E-2"/>
    <n v="1.0860720000000001E-2"/>
    <n v="2.5255073999999999E-2"/>
    <n v="2.5593749999999998E-2"/>
    <n v="1.0737272000000001E-2"/>
    <n v="5.5015999999999997E-3"/>
    <n v="6.7918500000000003E-3"/>
    <n v="1.2942357999999999E-2"/>
    <n v="1.175148E-2"/>
    <n v="1.8423808E-2"/>
    <m/>
  </r>
  <r>
    <x v="18"/>
    <s v="GASSTYL"/>
    <s v="ROT"/>
    <n v="-1"/>
    <n v="-1"/>
    <n v="-1"/>
    <n v="-1"/>
    <n v="-1"/>
    <n v="-1"/>
    <n v="-1"/>
    <n v="-1"/>
    <n v="-1"/>
    <n v="1856"/>
    <n v="590.19295580127505"/>
    <n v="1"/>
    <n v="0"/>
    <n v="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854539999999999E-2"/>
    <n v="12.898395560277196"/>
    <n v="2.1854539999999999E-2"/>
    <m/>
    <m/>
    <m/>
    <m/>
    <m/>
    <m/>
    <m/>
    <m/>
    <m/>
    <m/>
    <m/>
    <m/>
    <m/>
    <m/>
    <m/>
    <m/>
    <m/>
    <m/>
    <m/>
    <m/>
  </r>
  <r>
    <x v="18"/>
    <s v="KELLONG"/>
    <s v="ROT"/>
    <n v="-1"/>
    <n v="-1"/>
    <n v="-1"/>
    <n v="-1"/>
    <n v="-1"/>
    <n v="-1"/>
    <n v="-1"/>
    <n v="-1"/>
    <n v="-1"/>
    <n v="50112"/>
    <n v="15935.209806634401"/>
    <n v="9"/>
    <n v="18"/>
    <n v="27"/>
    <n v="0.13900000000000001"/>
    <n v="0.14499999999999999"/>
    <n v="0.13"/>
    <n v="0.13"/>
    <n v="0.159"/>
    <n v="0.14099999999999999"/>
    <n v="0.13400000000000001"/>
    <n v="0.13400000000000001"/>
    <n v="0.154"/>
    <n v="0.16400000000000001"/>
    <n v="0.122"/>
    <n v="0.122"/>
    <n v="0.14299999999999999"/>
    <n v="0.13300000000000001"/>
    <n v="0.151"/>
    <n v="0.14399999999999999"/>
    <n v="0.156"/>
    <n v="0.157"/>
    <n v="0.125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8343459872499992E-3"/>
    <n v="140.77715681122746"/>
    <n v="8.1777098549999996E-3"/>
    <n v="9.2830631249999993E-3"/>
    <n v="6.6898649999999997E-3"/>
    <n v="6.6898649999999997E-3"/>
    <n v="1.2239922554999999E-2"/>
    <n v="8.5358079449999995E-3"/>
    <n v="7.3265866800000003E-3"/>
    <n v="7.3265866800000003E-3"/>
    <n v="1.112114388E-2"/>
    <n v="1.343132448E-2"/>
    <n v="5.5292571600000003E-3"/>
    <n v="5.5292571600000003E-3"/>
    <n v="8.9042103149999993E-3"/>
    <n v="7.1637796649999998E-3"/>
    <n v="1.0483785795000001E-2"/>
    <n v="9.0923212799999993E-3"/>
    <n v="1.156008672E-2"/>
    <n v="1.1783824185E-2"/>
    <n v="5.9472656249999999E-3"/>
    <n v="9.8712566399999993E-3"/>
    <m/>
  </r>
  <r>
    <x v="18"/>
    <s v="KERCOCH"/>
    <s v="ROT"/>
    <n v="-1"/>
    <n v="-1"/>
    <n v="-1"/>
    <n v="-1"/>
    <n v="-1"/>
    <n v="-1"/>
    <n v="-1"/>
    <n v="-1"/>
    <n v="-1"/>
    <n v="193024"/>
    <n v="61380.067403332599"/>
    <n v="44"/>
    <n v="60"/>
    <n v="104"/>
    <n v="8.8999999999999996E-2"/>
    <n v="9.1999999999999998E-2"/>
    <n v="8.5999999999999993E-2"/>
    <n v="9.8000000000000004E-2"/>
    <n v="0.108"/>
    <n v="9.7000000000000003E-2"/>
    <n v="9.7000000000000003E-2"/>
    <n v="8.5999999999999993E-2"/>
    <n v="0.107"/>
    <n v="0.106"/>
    <n v="9.2999999999999999E-2"/>
    <n v="9.5000000000000001E-2"/>
    <n v="9.4E-2"/>
    <n v="0.106"/>
    <n v="8.5999999999999993E-2"/>
    <n v="8.4000000000000005E-2"/>
    <n v="5.8000000000000003E-2"/>
    <n v="8.6999999999999994E-2"/>
    <n v="8.6999999999999994E-2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652588999999998E-3"/>
    <n v="102.21370352599949"/>
    <n v="1.4099379999999999E-3"/>
    <n v="1.5573760000000001E-3"/>
    <n v="1.2721119999999999E-3"/>
    <n v="1.882384E-3"/>
    <n v="2.5194240000000001E-3"/>
    <n v="1.825346E-3"/>
    <n v="1.825346E-3"/>
    <n v="1.2721119999999999E-3"/>
    <n v="2.4500860000000002E-3"/>
    <n v="2.3820320000000001E-3"/>
    <n v="1.608714E-3"/>
    <n v="1.7147499999999999E-3"/>
    <n v="1.661168E-3"/>
    <n v="2.3820320000000001E-3"/>
    <n v="1.2721119999999999E-3"/>
    <n v="1.185408E-3"/>
    <n v="3.90224E-4"/>
    <n v="1.3170059999999999E-3"/>
    <n v="1.3170059999999999E-3"/>
    <n v="2.0606019999999999E-3"/>
    <m/>
  </r>
  <r>
    <x v="18"/>
    <s v="KERCOCHH"/>
    <s v="ROT"/>
    <n v="-1"/>
    <n v="-1"/>
    <n v="-1"/>
    <n v="-1"/>
    <n v="-1"/>
    <n v="-1"/>
    <n v="-1"/>
    <n v="-1"/>
    <n v="-1"/>
    <n v="27840"/>
    <n v="8852.89433701913"/>
    <n v="10"/>
    <n v="5"/>
    <n v="15"/>
    <n v="9.5000000000000001E-2"/>
    <n v="0.10299999999999999"/>
    <n v="0.10100000000000001"/>
    <n v="0.10100000000000001"/>
    <n v="0.09"/>
    <n v="0.106"/>
    <n v="9.9000000000000005E-2"/>
    <n v="0.106"/>
    <n v="0.104"/>
    <n v="9.8000000000000004E-2"/>
    <n v="0.10199999999999999"/>
    <n v="9.9000000000000005E-2"/>
    <n v="9.8000000000000004E-2"/>
    <n v="9.9000000000000005E-2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344952000000004E-3"/>
    <n v="18.011171034772605"/>
    <n v="1.7147499999999999E-3"/>
    <n v="2.1854539999999999E-3"/>
    <n v="2.0606019999999999E-3"/>
    <n v="2.0606019999999999E-3"/>
    <n v="1.4580000000000001E-3"/>
    <n v="2.3820320000000001E-3"/>
    <n v="1.940598E-3"/>
    <n v="2.3820320000000001E-3"/>
    <n v="2.2497279999999999E-3"/>
    <n v="1.882384E-3"/>
    <n v="2.1224159999999998E-3"/>
    <n v="1.940598E-3"/>
    <n v="1.882384E-3"/>
    <n v="1.940598E-3"/>
    <n v="2.31525E-3"/>
    <m/>
    <m/>
    <m/>
    <m/>
    <m/>
    <m/>
  </r>
  <r>
    <x v="18"/>
    <s v="KERCRAS"/>
    <s v="ROT"/>
    <n v="-1"/>
    <n v="-1"/>
    <n v="-1"/>
    <n v="-1"/>
    <n v="-1"/>
    <n v="-1"/>
    <n v="-1"/>
    <n v="-1"/>
    <n v="-1"/>
    <n v="22272"/>
    <n v="7082.3154696152997"/>
    <n v="8"/>
    <n v="4"/>
    <n v="12"/>
    <n v="0.121"/>
    <n v="0.125"/>
    <n v="0.11700000000000001"/>
    <n v="0.121"/>
    <n v="0.12"/>
    <n v="0.13100000000000001"/>
    <n v="0.10299999999999999"/>
    <n v="0.12"/>
    <n v="0.14000000000000001"/>
    <n v="0.123"/>
    <n v="0.107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540979999999992E-3"/>
    <n v="24.463011698967261"/>
    <n v="3.5431220000000001E-3"/>
    <n v="3.90625E-3"/>
    <n v="3.203226E-3"/>
    <n v="3.5431220000000001E-3"/>
    <n v="3.4559999999999999E-3"/>
    <n v="4.4961819999999996E-3"/>
    <n v="2.1854539999999999E-3"/>
    <n v="3.4559999999999999E-3"/>
    <n v="5.4879999999999998E-3"/>
    <n v="3.721734E-3"/>
    <n v="2.4500860000000002E-3"/>
    <n v="2E-3"/>
    <m/>
    <m/>
    <m/>
    <m/>
    <m/>
    <m/>
    <m/>
    <m/>
    <m/>
  </r>
  <r>
    <x v="18"/>
    <s v="KERQUAD"/>
    <s v="ROT"/>
    <n v="-1"/>
    <n v="-1"/>
    <n v="-1"/>
    <n v="-1"/>
    <n v="-1"/>
    <n v="-1"/>
    <n v="-1"/>
    <n v="-1"/>
    <n v="-1"/>
    <n v="1856"/>
    <n v="590.19295580127505"/>
    <n v="1"/>
    <n v="0"/>
    <n v="1"/>
    <n v="0.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113607200000002E-2"/>
    <n v="53.774609147084334"/>
    <n v="9.1113607200000002E-2"/>
    <m/>
    <m/>
    <m/>
    <m/>
    <m/>
    <m/>
    <m/>
    <m/>
    <m/>
    <m/>
    <m/>
    <m/>
    <m/>
    <m/>
    <m/>
    <m/>
    <m/>
    <m/>
    <m/>
    <m/>
  </r>
  <r>
    <x v="18"/>
    <s v="PLOHUDS"/>
    <s v="ROT"/>
    <n v="-1"/>
    <n v="-1"/>
    <n v="-1"/>
    <n v="-1"/>
    <n v="-1"/>
    <n v="-1"/>
    <n v="-1"/>
    <n v="-1"/>
    <n v="-1"/>
    <n v="1856"/>
    <n v="590.19295580127505"/>
    <n v="0"/>
    <n v="1"/>
    <n v="1"/>
    <n v="0.29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672374999999997"/>
    <n v="151.51654883688758"/>
    <n v="0.25672374999999997"/>
    <m/>
    <m/>
    <m/>
    <m/>
    <m/>
    <m/>
    <m/>
    <m/>
    <m/>
    <m/>
    <m/>
    <m/>
    <m/>
    <m/>
    <m/>
    <m/>
    <m/>
    <m/>
    <m/>
    <m/>
  </r>
  <r>
    <x v="18"/>
    <s v="PLOTRUN"/>
    <s v="ROT"/>
    <n v="-1"/>
    <n v="-1"/>
    <n v="-1"/>
    <n v="-1"/>
    <n v="-1"/>
    <n v="-1"/>
    <n v="-1"/>
    <n v="-1"/>
    <n v="-1"/>
    <n v="1856"/>
    <n v="590.19295580127505"/>
    <n v="1"/>
    <n v="0"/>
    <n v="1"/>
    <n v="0.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248640000000001E-2"/>
    <n v="6.638868090344455"/>
    <n v="1.1248640000000001E-2"/>
    <m/>
    <m/>
    <m/>
    <m/>
    <m/>
    <m/>
    <m/>
    <m/>
    <m/>
    <m/>
    <m/>
    <m/>
    <m/>
    <m/>
    <m/>
    <m/>
    <m/>
    <m/>
    <m/>
    <m/>
  </r>
  <r>
    <x v="18"/>
    <s v="POLSP"/>
    <s v="ROT"/>
    <n v="-1"/>
    <n v="-1"/>
    <n v="-1"/>
    <n v="-1"/>
    <n v="-1"/>
    <n v="-1"/>
    <n v="-1"/>
    <n v="-1"/>
    <n v="-1"/>
    <n v="1856"/>
    <n v="590.19295580127505"/>
    <n v="1"/>
    <n v="0"/>
    <n v="1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156250000000001E-2"/>
    <n v="35.503794997420449"/>
    <n v="6.0156250000000001E-2"/>
    <m/>
    <m/>
    <m/>
    <m/>
    <m/>
    <m/>
    <m/>
    <m/>
    <m/>
    <m/>
    <m/>
    <m/>
    <m/>
    <m/>
    <m/>
    <m/>
    <m/>
    <m/>
    <m/>
    <m/>
  </r>
  <r>
    <x v="18"/>
    <s v="SYNSP"/>
    <s v="ROT"/>
    <n v="-1"/>
    <n v="-1"/>
    <n v="-1"/>
    <n v="-1"/>
    <n v="-1"/>
    <n v="-1"/>
    <n v="-1"/>
    <n v="-1"/>
    <n v="-1"/>
    <n v="1856"/>
    <n v="590.19295580127505"/>
    <n v="0"/>
    <n v="1"/>
    <n v="1"/>
    <n v="0.16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15280000000003E-2"/>
    <n v="25.092218769918833"/>
    <n v="4.2515280000000003E-2"/>
    <m/>
    <m/>
    <m/>
    <m/>
    <m/>
    <m/>
    <m/>
    <m/>
    <m/>
    <m/>
    <m/>
    <m/>
    <m/>
    <m/>
    <m/>
    <m/>
    <m/>
    <m/>
    <m/>
    <m/>
  </r>
  <r>
    <x v="18"/>
    <s v="TRISP"/>
    <s v="ROT"/>
    <n v="-1"/>
    <n v="-1"/>
    <n v="-1"/>
    <n v="-1"/>
    <n v="-1"/>
    <n v="-1"/>
    <n v="-1"/>
    <n v="-1"/>
    <n v="-1"/>
    <n v="9280"/>
    <n v="2950.96477900638"/>
    <n v="2"/>
    <n v="3"/>
    <n v="5"/>
    <n v="0.19600000000000001"/>
    <n v="0.16400000000000001"/>
    <n v="0.14499999999999999"/>
    <n v="0.16800000000000001"/>
    <n v="0.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647058823529398E-2"/>
    <n v="4.8235294117647098E-2"/>
    <n v="4.2647058823529399E-2"/>
    <n v="4.9411764705882398E-2"/>
    <n v="4.4117647058823498E-2"/>
    <m/>
    <m/>
    <m/>
    <m/>
    <m/>
    <m/>
    <m/>
    <m/>
    <m/>
    <m/>
    <m/>
    <m/>
    <m/>
    <m/>
    <m/>
    <n v="2.0911891244705862E-2"/>
    <n v="61.710254525538886"/>
    <n v="3.4073104431833902E-2"/>
    <n v="1.9960666308650499E-2"/>
    <n v="1.37958192906574E-2"/>
    <n v="2.1457115327335598E-2"/>
    <n v="1.52727508650519E-2"/>
    <m/>
    <m/>
    <m/>
    <m/>
    <m/>
    <m/>
    <m/>
    <m/>
    <m/>
    <m/>
    <m/>
    <m/>
    <m/>
    <m/>
    <m/>
    <m/>
  </r>
  <r>
    <x v="19"/>
    <s v="BOSLONG"/>
    <s v="CLA"/>
    <n v="-1"/>
    <n v="22"/>
    <n v="-1"/>
    <n v="-1"/>
    <n v="-1"/>
    <n v="-1"/>
    <n v="-1"/>
    <n v="-1"/>
    <n v="-1"/>
    <n v="5632"/>
    <n v="2005.8419904749601"/>
    <n v="-1"/>
    <n v="-1"/>
    <n v="-1"/>
    <n v="0.30299999999999999"/>
    <n v="0.42899999999999999"/>
    <n v="0.42"/>
    <n v="0.25"/>
    <n v="0.23400000000000001"/>
    <n v="0.3"/>
    <n v="0.28100000000000003"/>
    <n v="0.19700000000000001"/>
    <n v="0.28699999999999998"/>
    <n v="0.28999999999999998"/>
    <n v="0.43"/>
    <n v="0.39100000000000001"/>
    <n v="0.22"/>
    <n v="0.24399999999999999"/>
    <n v="0.55000000000000004"/>
    <n v="0.36199999999999999"/>
    <n v="0.32900000000000001"/>
    <n v="0.27"/>
    <n v="0.249"/>
    <n v="0.324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9526311346128532"/>
    <n v="1910.8275312402652"/>
    <n v="0.734271184165047"/>
    <n v="1.7697975279662601"/>
    <n v="1.6773640841286701"/>
    <n v="0.45143461511491501"/>
    <n v="0.38187634232599998"/>
    <n v="0.716017124831829"/>
    <n v="0.60678330661388602"/>
    <n v="0.24706213331197199"/>
    <n v="0.64010000952546497"/>
    <n v="0.65716370524932799"/>
    <n v="1.7802534150118901"/>
    <n v="1.39963189644516"/>
    <n v="0.32669013277068698"/>
    <n v="0.42452463334503399"/>
    <n v="3.3183656515362099"/>
    <n v="1.15169987147221"/>
    <n v="0.90429942924878204"/>
    <n v="0.54847515335258601"/>
    <n v="0.44688006659235302"/>
    <n v="0.86993240924878301"/>
    <m/>
  </r>
  <r>
    <x v="19"/>
    <s v="BYTLONG"/>
    <s v="CLA"/>
    <n v="38"/>
    <n v="-1"/>
    <n v="-1"/>
    <n v="-1"/>
    <n v="-1"/>
    <n v="-1"/>
    <n v="-1"/>
    <n v="-1"/>
    <n v="-1"/>
    <n v="38"/>
    <n v="13.5337350209603"/>
    <n v="-1"/>
    <n v="-1"/>
    <n v="-1"/>
    <n v="3.2719999999999998"/>
    <n v="2.4489999999999998"/>
    <n v="2.4329999999999998"/>
    <n v="1.9039999999999999"/>
    <n v="2.9049999999999998"/>
    <n v="2.5539999999999998"/>
    <n v="2.0230000000000001"/>
    <n v="2.6589999999999998"/>
    <n v="1.8380000000000001"/>
    <n v="2.3639999999999999"/>
    <n v="1.833"/>
    <n v="1.768"/>
    <n v="2.883"/>
    <n v="2.7480000000000002"/>
    <n v="2.2189999999999999"/>
    <n v="2.6890000000000001"/>
    <n v="2.6259999999999999"/>
    <n v="2.41"/>
    <n v="2.7290000000000001"/>
    <n v="3.221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16.64744861071844"/>
    <n v="1578.6756603685471"/>
    <n v="201.84275732173899"/>
    <n v="110.164062945035"/>
    <n v="108.665176927109"/>
    <n v="65.096448748453099"/>
    <n v="157.40872803291401"/>
    <n v="120.26660459528399"/>
    <n v="73.889848954760595"/>
    <n v="130.83221943235"/>
    <n v="60.469376904359201"/>
    <n v="102.32378598944899"/>
    <n v="60.126086257306703"/>
    <n v="55.755961380210401"/>
    <n v="154.927561883202"/>
    <n v="140.15169229369201"/>
    <n v="89.644189595746695"/>
    <n v="133.936257775022"/>
    <n v="127.461596026424"/>
    <n v="106.52928269941199"/>
    <n v="138.134058940052"/>
    <n v="195.32327551184801"/>
    <m/>
  </r>
  <r>
    <x v="19"/>
    <s v="CECPENG"/>
    <s v="CLA"/>
    <n v="11"/>
    <n v="-1"/>
    <n v="-1"/>
    <n v="-1"/>
    <n v="-1"/>
    <n v="-1"/>
    <n v="-1"/>
    <n v="-1"/>
    <n v="-1"/>
    <n v="11"/>
    <n v="3.9176601376464002"/>
    <n v="-1"/>
    <n v="-1"/>
    <n v="-1"/>
    <n v="0.73899999999999999"/>
    <n v="1.119"/>
    <n v="1.486"/>
    <n v="1.44"/>
    <n v="0.96899999999999997"/>
    <n v="1.5980000000000001"/>
    <n v="0.86499999999999999"/>
    <n v="1.321"/>
    <n v="1.4039999999999999"/>
    <n v="1.6559999999999999"/>
    <n v="1.2050000000000001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3.6884913138328206"/>
    <n v="14.450255388257839"/>
    <n v="0.66144864874675202"/>
    <n v="2.2774526951099601"/>
    <n v="5.3033679444803203"/>
    <n v="4.8289858587798298"/>
    <n v="1.4831345867430801"/>
    <n v="6.5855870781950498"/>
    <n v="1.0574107162439601"/>
    <n v="3.7344453097488102"/>
    <n v="4.4780577330866702"/>
    <n v="7.3237835054498399"/>
    <n v="2.8397303755767598"/>
    <m/>
    <m/>
    <m/>
    <m/>
    <m/>
    <m/>
    <m/>
    <m/>
    <m/>
    <m/>
  </r>
  <r>
    <x v="19"/>
    <s v="CERSP"/>
    <s v="CLA"/>
    <n v="-1"/>
    <n v="0"/>
    <n v="-1"/>
    <n v="-1"/>
    <n v="-1"/>
    <n v="1"/>
    <n v="-1"/>
    <n v="-1"/>
    <n v="-1"/>
    <n v="85.3333333333333"/>
    <n v="30.391545310226601"/>
    <n v="-1"/>
    <n v="-1"/>
    <n v="-1"/>
    <n v="0.41099999999999998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295682059997999"/>
    <n v="31.290168782611634"/>
    <n v="1.0295682059997999"/>
    <m/>
    <m/>
    <m/>
    <m/>
    <m/>
    <m/>
    <m/>
    <m/>
    <m/>
    <m/>
    <m/>
    <m/>
    <m/>
    <m/>
    <m/>
    <m/>
    <m/>
    <m/>
    <m/>
    <m/>
  </r>
  <r>
    <x v="19"/>
    <s v="DAPGALEM"/>
    <s v="CLA"/>
    <n v="-1"/>
    <n v="14"/>
    <n v="-1"/>
    <n v="-1"/>
    <n v="-1"/>
    <n v="47"/>
    <n v="-1"/>
    <n v="-1"/>
    <n v="-1"/>
    <n v="5205.3333333333303"/>
    <n v="1853.8842639238201"/>
    <n v="-1"/>
    <n v="-1"/>
    <n v="-1"/>
    <n v="0.626"/>
    <n v="0.92800000000000005"/>
    <n v="0.63200000000000001"/>
    <n v="1.0369999999999999"/>
    <n v="0.80300000000000005"/>
    <n v="0.81499999999999995"/>
    <n v="0.67500000000000004"/>
    <n v="0.874"/>
    <n v="0.57699999999999996"/>
    <n v="0.97399999999999998"/>
    <n v="0.94499999999999995"/>
    <n v="0.66200000000000003"/>
    <n v="0.70399999999999996"/>
    <n v="1.216"/>
    <n v="0.51"/>
    <n v="0.90200000000000002"/>
    <n v="1.099"/>
    <n v="1.702"/>
    <n v="1.077"/>
    <n v="0.514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2437957651678788"/>
    <n v="7867.5061883512781"/>
    <n v="1.3135456205801199"/>
    <n v="4.0180034651680803"/>
    <n v="1.3496170520583499"/>
    <n v="5.5078958898485002"/>
    <n v="2.66419619116731"/>
    <n v="2.7788279811512999"/>
    <n v="1.62703452779863"/>
    <n v="3.38896062658115"/>
    <n v="1.04210952125005"/>
    <n v="4.6097937210695603"/>
    <n v="4.2305846632653399"/>
    <n v="1.53961007536686"/>
    <n v="1.8334978559986299"/>
    <n v="8.6573586066087902"/>
    <n v="0.73396162682141997"/>
    <n v="3.7064711248241702"/>
    <n v="6.4954239299779699"/>
    <n v="22.495683483531501"/>
    <n v="6.1329108524088296"/>
    <n v="0.75042848788102801"/>
    <m/>
  </r>
  <r>
    <x v="19"/>
    <s v="DIPBIRG"/>
    <s v="CLA"/>
    <n v="-1"/>
    <n v="1"/>
    <n v="-1"/>
    <n v="-1"/>
    <n v="-1"/>
    <n v="0"/>
    <n v="-1"/>
    <n v="-1"/>
    <n v="-1"/>
    <n v="85.3333333333333"/>
    <n v="30.391545310226601"/>
    <n v="-1"/>
    <n v="-1"/>
    <n v="-1"/>
    <n v="0.766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138421231075599"/>
    <n v="49.047156007975701"/>
    <n v="1.6138421231075599"/>
    <m/>
    <m/>
    <m/>
    <m/>
    <m/>
    <m/>
    <m/>
    <m/>
    <m/>
    <m/>
    <m/>
    <m/>
    <m/>
    <m/>
    <m/>
    <m/>
    <m/>
    <m/>
    <m/>
    <m/>
  </r>
  <r>
    <x v="19"/>
    <s v="HOLGIBB"/>
    <s v="CLA"/>
    <n v="-1"/>
    <n v="1"/>
    <n v="-1"/>
    <n v="-1"/>
    <n v="-1"/>
    <n v="1"/>
    <n v="-1"/>
    <n v="-1"/>
    <n v="-1"/>
    <n v="170.666666666667"/>
    <n v="60.783090620453201"/>
    <n v="-1"/>
    <n v="-1"/>
    <n v="-1"/>
    <n v="0.5"/>
    <n v="0.69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522097591244644"/>
    <n v="100.42641551285948"/>
    <n v="0.87097717673993902"/>
    <n v="2.4334423415089899"/>
    <m/>
    <m/>
    <m/>
    <m/>
    <m/>
    <m/>
    <m/>
    <m/>
    <m/>
    <m/>
    <m/>
    <m/>
    <m/>
    <m/>
    <m/>
    <m/>
    <m/>
    <m/>
    <m/>
  </r>
  <r>
    <x v="19"/>
    <s v="LETKIND"/>
    <s v="CLA"/>
    <n v="-1"/>
    <n v="8"/>
    <n v="-1"/>
    <n v="-1"/>
    <n v="-1"/>
    <n v="16"/>
    <n v="-1"/>
    <n v="-1"/>
    <n v="-1"/>
    <n v="2048"/>
    <n v="729.39708744543805"/>
    <n v="-1"/>
    <n v="-1"/>
    <n v="-1"/>
    <n v="1.571"/>
    <n v="1.151"/>
    <n v="1.5660000000000001"/>
    <n v="1.2629999999999999"/>
    <n v="1.5640000000000001"/>
    <n v="1.528"/>
    <n v="2.944"/>
    <n v="1.29"/>
    <n v="1.1970000000000001"/>
    <n v="1.6819999999999999"/>
    <n v="1.353"/>
    <n v="1.1519999999999999"/>
    <n v="1.19"/>
    <n v="0.89600000000000002"/>
    <n v="1.804"/>
    <n v="3.5430000000000001"/>
    <n v="2.9740000000000002"/>
    <n v="1.349"/>
    <n v="1.7070000000000001"/>
    <n v="2.47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936556339498424"/>
    <n v="1891.8048652394664"/>
    <n v="1.46825115087311"/>
    <n v="0.63985423678313902"/>
    <n v="1.45580742140514"/>
    <n v="0.81989243987921601"/>
    <n v="1.45084846629543"/>
    <n v="1.3633874490620299"/>
    <n v="7.8536922090127703"/>
    <n v="0.86752992078060498"/>
    <n v="0.71043004079543504"/>
    <n v="1.7618354048665601"/>
    <n v="0.98531490571873803"/>
    <n v="0.64133959771255999"/>
    <n v="0.69939145644226797"/>
    <n v="0.32784783620804703"/>
    <n v="2.1240340743314698"/>
    <n v="12.8774808466762"/>
    <n v="8.0691968488432906"/>
    <n v="0.97755644083231397"/>
    <n v="1.8326242847312899"/>
    <n v="4.94679764774724"/>
    <m/>
  </r>
  <r>
    <x v="19"/>
    <s v="DIYTHOM"/>
    <s v="COP"/>
    <n v="-1"/>
    <n v="4"/>
    <n v="6"/>
    <n v="-1"/>
    <n v="-1"/>
    <n v="12"/>
    <n v="8"/>
    <n v="-1"/>
    <n v="-1"/>
    <n v="2560"/>
    <n v="911.74635930679801"/>
    <n v="-1"/>
    <n v="-1"/>
    <n v="-1"/>
    <n v="0.93799999999999994"/>
    <n v="0.75800000000000001"/>
    <n v="0.79500000000000004"/>
    <n v="0.95899999999999996"/>
    <n v="0.77400000000000002"/>
    <n v="0.81299999999999994"/>
    <n v="0.70699999999999996"/>
    <n v="0.73899999999999999"/>
    <n v="0.83399999999999996"/>
    <n v="0.97199999999999998"/>
    <n v="1.0089999999999999"/>
    <n v="1.0009999999999999"/>
    <n v="0.94599999999999995"/>
    <n v="1.0760000000000001"/>
    <n v="0.69599999999999995"/>
    <n v="0.92200000000000004"/>
    <n v="0.99399999999999999"/>
    <n v="0.70599999999999996"/>
    <n v="0.754"/>
    <n v="0.70399999999999996"/>
    <s v="F"/>
    <s v="M"/>
    <s v="M"/>
    <s v="F"/>
    <s v="M"/>
    <s v="M"/>
    <s v="M"/>
    <s v="M"/>
    <s v="F"/>
    <s v="F"/>
    <s v="F"/>
    <s v="F"/>
    <s v="F"/>
    <s v="F"/>
    <s v="M"/>
    <s v="F"/>
    <s v="F"/>
    <s v="M"/>
    <s v="M"/>
    <s v="M"/>
    <m/>
    <m/>
    <m/>
    <m/>
    <m/>
    <m/>
    <m/>
    <m/>
    <m/>
    <m/>
    <m/>
    <m/>
    <m/>
    <m/>
    <m/>
    <m/>
    <m/>
    <m/>
    <m/>
    <m/>
    <n v="3.1648568335641878"/>
    <n v="2885.5466957293888"/>
    <n v="4.0791916345354098"/>
    <n v="1.7507155383794599"/>
    <n v="2.1153699989897001"/>
    <n v="4.4539845931640203"/>
    <n v="1.90208733512896"/>
    <n v="2.31200253519168"/>
    <n v="1.32777324343637"/>
    <n v="1.5828773344521101"/>
    <n v="2.55833882096419"/>
    <n v="4.6985506374539199"/>
    <n v="5.4497523825296099"/>
    <n v="5.2802213348690099"/>
    <n v="4.2190692277538302"/>
    <n v="7.0343432609239303"/>
    <n v="1.24763491858824"/>
    <n v="3.80987385612003"/>
    <n v="5.1351458847879599"/>
    <n v="1.3203330762874499"/>
    <n v="1.7143247022144501"/>
    <n v="1.3055463555134299"/>
    <m/>
  </r>
  <r>
    <x v="19"/>
    <s v="EPILACU"/>
    <s v="COP"/>
    <n v="-1"/>
    <n v="0"/>
    <n v="0"/>
    <n v="-1"/>
    <n v="-1"/>
    <n v="0"/>
    <n v="2"/>
    <n v="1"/>
    <n v="2"/>
    <n v="182.857142857143"/>
    <n v="65.124739950485605"/>
    <n v="-1"/>
    <n v="-1"/>
    <n v="-1"/>
    <n v="1.6240000000000001"/>
    <n v="1.274"/>
    <n v="1.506"/>
    <n v="1.546"/>
    <m/>
    <m/>
    <m/>
    <m/>
    <m/>
    <m/>
    <m/>
    <m/>
    <m/>
    <m/>
    <m/>
    <m/>
    <m/>
    <m/>
    <m/>
    <m/>
    <s v="M"/>
    <s v="M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928754444071066"/>
    <n v="907.1065110042988"/>
    <n v="17.216546136781702"/>
    <n v="9.1815720111663595"/>
    <n v="14.161031973412101"/>
    <n v="15.1558676549241"/>
    <m/>
    <m/>
    <m/>
    <m/>
    <m/>
    <m/>
    <m/>
    <m/>
    <m/>
    <m/>
    <m/>
    <m/>
    <m/>
    <m/>
    <m/>
    <m/>
    <m/>
  </r>
  <r>
    <x v="19"/>
    <s v="LEOMINU"/>
    <s v="COP"/>
    <n v="-1"/>
    <n v="7"/>
    <n v="16"/>
    <n v="-1"/>
    <n v="-1"/>
    <n v="-1"/>
    <n v="-1"/>
    <n v="-1"/>
    <n v="-1"/>
    <n v="5888"/>
    <n v="2097.0166264056402"/>
    <n v="-1"/>
    <n v="-1"/>
    <n v="-1"/>
    <n v="1.0329999999999999"/>
    <n v="0.93100000000000005"/>
    <n v="0.85299999999999998"/>
    <n v="0.86"/>
    <n v="0.879"/>
    <n v="0.81299999999999994"/>
    <n v="0.89"/>
    <n v="0.81899999999999995"/>
    <n v="0.80300000000000005"/>
    <n v="0.80700000000000005"/>
    <n v="0.81699999999999995"/>
    <n v="0.82599999999999996"/>
    <n v="0.90400000000000003"/>
    <n v="0.85599999999999998"/>
    <n v="0.85299999999999998"/>
    <n v="0.998"/>
    <n v="0.78400000000000003"/>
    <n v="0.89100000000000001"/>
    <n v="0.81899999999999995"/>
    <n v="0.86699999999999999"/>
    <s v="F"/>
    <s v="F"/>
    <s v="M"/>
    <s v="M"/>
    <s v="F"/>
    <s v="M"/>
    <s v="M"/>
    <s v="M"/>
    <s v="M"/>
    <s v="M"/>
    <s v="M"/>
    <s v="M"/>
    <s v="F"/>
    <s v="M"/>
    <s v="M"/>
    <s v="F"/>
    <s v="M"/>
    <s v="M"/>
    <s v="M"/>
    <s v="M"/>
    <m/>
    <m/>
    <m/>
    <m/>
    <m/>
    <m/>
    <m/>
    <m/>
    <m/>
    <m/>
    <m/>
    <m/>
    <m/>
    <m/>
    <m/>
    <m/>
    <m/>
    <m/>
    <m/>
    <m/>
    <n v="3.4065955971286583"/>
    <n v="7143.6876066190462"/>
    <n v="5.3339391751249003"/>
    <n v="4.0748150354289097"/>
    <n v="3.2485250268693702"/>
    <n v="3.31802164610263"/>
    <n v="3.5112310849632"/>
    <n v="2.86855208126086"/>
    <n v="3.6261715267814898"/>
    <n v="2.9237048743120502"/>
    <n v="2.7780591504341801"/>
    <n v="2.81404268747472"/>
    <n v="2.9052489483079"/>
    <n v="2.9888667161500502"/>
    <n v="3.77576069440296"/>
    <n v="3.2781987227160201"/>
    <n v="3.2485250268693702"/>
    <n v="4.8783878812455104"/>
    <n v="2.6109997400144702"/>
    <n v="3.6367335216111498"/>
    <n v="2.9237048743120502"/>
    <n v="3.3884235281913799"/>
    <m/>
  </r>
  <r>
    <x v="19"/>
    <s v="SKIOREG"/>
    <s v="COP"/>
    <n v="-1"/>
    <n v="1"/>
    <n v="2"/>
    <n v="-1"/>
    <n v="-1"/>
    <n v="3"/>
    <n v="0"/>
    <n v="-1"/>
    <n v="-1"/>
    <n v="512"/>
    <n v="182.34927186135999"/>
    <n v="-1"/>
    <n v="-1"/>
    <n v="-1"/>
    <n v="1.1359999999999999"/>
    <n v="1.1519999999999999"/>
    <n v="0.92300000000000004"/>
    <n v="1.2889999999999999"/>
    <n v="1.105"/>
    <n v="1.0669999999999999"/>
    <m/>
    <m/>
    <m/>
    <m/>
    <m/>
    <m/>
    <m/>
    <m/>
    <m/>
    <m/>
    <m/>
    <m/>
    <m/>
    <m/>
    <s v="M"/>
    <s v="M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5829339001693192"/>
    <n v="1200.393203407338"/>
    <n v="6.8227287347915198"/>
    <n v="7.0744087157333304"/>
    <n v="3.9847458948394499"/>
    <n v="9.4641863325932807"/>
    <n v="6.35091830602929"/>
    <n v="5.8006154170290403"/>
    <m/>
    <m/>
    <m/>
    <m/>
    <m/>
    <m/>
    <m/>
    <m/>
    <m/>
    <m/>
    <m/>
    <m/>
    <m/>
    <m/>
    <m/>
  </r>
  <r>
    <x v="19"/>
    <s v="CYCCOPE"/>
    <s v="IMM"/>
    <n v="-1"/>
    <n v="42"/>
    <n v="-1"/>
    <n v="-1"/>
    <n v="-1"/>
    <n v="-1"/>
    <n v="-1"/>
    <n v="-1"/>
    <n v="-1"/>
    <n v="10752"/>
    <n v="3829.33470908855"/>
    <n v="-1"/>
    <n v="-1"/>
    <n v="-1"/>
    <n v="0.68600000000000005"/>
    <n v="0.39600000000000002"/>
    <n v="0.45300000000000001"/>
    <n v="0.64400000000000002"/>
    <n v="0.44600000000000001"/>
    <n v="0.55600000000000005"/>
    <n v="0.54500000000000004"/>
    <n v="0.55800000000000005"/>
    <n v="0.48499999999999999"/>
    <n v="0.66500000000000004"/>
    <n v="0.35799999999999998"/>
    <n v="0.53600000000000003"/>
    <n v="0.47699999999999998"/>
    <n v="0.48399999999999999"/>
    <n v="0.47499999999999998"/>
    <n v="0.52500000000000002"/>
    <n v="0.629"/>
    <n v="0.46300000000000002"/>
    <n v="0.70699999999999996"/>
    <n v="0.838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1623222935721145"/>
    <n v="2359.7594647365859"/>
    <n v="1.1779736593702099"/>
    <n v="0.132977672754543"/>
    <n v="0.22679772923014199"/>
    <n v="0.916654623638538"/>
    <n v="0.213200504996995"/>
    <n v="0.51153548102200497"/>
    <n v="0.47252300153019799"/>
    <n v="0.51887961577876396"/>
    <n v="0.29738806986544702"/>
    <n v="1.0411918783659599"/>
    <n v="8.9093179028574901E-2"/>
    <n v="0.44229604408642698"/>
    <n v="0.27838562429336899"/>
    <n v="0.29496122324949597"/>
    <n v="0.27378047344082901"/>
    <n v="0.40734395381202099"/>
    <n v="0.83477974409152"/>
    <n v="0.247334884525341"/>
    <n v="1.32777324343637"/>
    <n v="2.61977398062748"/>
    <m/>
  </r>
  <r>
    <x v="19"/>
    <s v="DIACOPE"/>
    <s v="IMM"/>
    <n v="-1"/>
    <n v="52"/>
    <n v="-1"/>
    <n v="-1"/>
    <n v="-1"/>
    <n v="-1"/>
    <n v="-1"/>
    <n v="-1"/>
    <n v="-1"/>
    <n v="13312"/>
    <n v="4741.0810683953496"/>
    <n v="-1"/>
    <n v="-1"/>
    <n v="-1"/>
    <n v="0.437"/>
    <n v="0.56999999999999995"/>
    <n v="0.753"/>
    <n v="0.48899999999999999"/>
    <n v="0.61699999999999999"/>
    <n v="0.441"/>
    <n v="0.748"/>
    <n v="0.34499999999999997"/>
    <n v="0.35"/>
    <n v="0.42399999999999999"/>
    <n v="0.38600000000000001"/>
    <n v="0.46500000000000002"/>
    <n v="0.53100000000000003"/>
    <n v="0.94"/>
    <n v="0.47599999999999998"/>
    <n v="0.53900000000000003"/>
    <n v="0.58099999999999996"/>
    <n v="0.435"/>
    <n v="0.80800000000000005"/>
    <n v="0.546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1925955386713953"/>
    <n v="5654.1921306477061"/>
    <n v="0.57461260408737302"/>
    <n v="1.1435208890789099"/>
    <n v="2.3519452870049702"/>
    <n v="0.76884389704409295"/>
    <n v="1.40399900842198"/>
    <n v="0.58833430592352998"/>
    <n v="2.31171006928958"/>
    <n v="0.31151551567251101"/>
    <n v="0.32334374279762701"/>
    <n v="0.53138072229671396"/>
    <n v="0.41666722987707999"/>
    <n v="0.67488748419023703"/>
    <n v="0.95175032946965499"/>
    <n v="4.1776241691879799"/>
    <n v="0.71701828966870895"/>
    <n v="0.989334440846659"/>
    <n v="1.2015570864093501"/>
    <n v="0.56782616647308803"/>
    <n v="2.8230830249015"/>
    <n v="1.0229565107863601"/>
    <m/>
  </r>
  <r>
    <x v="19"/>
    <s v="EPICOPE"/>
    <s v="IMM"/>
    <n v="-1"/>
    <n v="0"/>
    <n v="-1"/>
    <n v="-1"/>
    <n v="-1"/>
    <n v="5"/>
    <n v="-1"/>
    <n v="-1"/>
    <n v="-1"/>
    <n v="426.66666666666703"/>
    <n v="151.95772655113299"/>
    <n v="-1"/>
    <n v="-1"/>
    <n v="-1"/>
    <n v="0.83899999999999997"/>
    <n v="0.67"/>
    <n v="1.2330000000000001"/>
    <n v="0.95299999999999996"/>
    <n v="0.622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097154954878123"/>
    <n v="578.91570550095116"/>
    <n v="3.1122301436175701"/>
    <n v="1.7380487961998801"/>
    <n v="8.4357285171462699"/>
    <n v="4.3289128123972498"/>
    <n v="1.4336572080780901"/>
    <m/>
    <m/>
    <m/>
    <m/>
    <m/>
    <m/>
    <m/>
    <m/>
    <m/>
    <m/>
    <m/>
    <m/>
    <m/>
    <m/>
    <m/>
    <m/>
  </r>
  <r>
    <x v="19"/>
    <s v="DREPOLYV"/>
    <s v="MOL"/>
    <n v="-1"/>
    <n v="-1"/>
    <n v="-1"/>
    <n v="-1"/>
    <n v="-1"/>
    <n v="-1"/>
    <n v="-1"/>
    <n v="-1"/>
    <n v="-1"/>
    <n v="103904"/>
    <n v="37005.505358364702"/>
    <n v="88"/>
    <n v="103"/>
    <n v="191"/>
    <n v="9.8000000000000004E-2"/>
    <n v="9.5000000000000001E-2"/>
    <n v="0.114"/>
    <n v="0.104"/>
    <n v="9.5000000000000001E-2"/>
    <n v="0.11899999999999999"/>
    <n v="0.09"/>
    <n v="9.9000000000000005E-2"/>
    <n v="9.2999999999999999E-2"/>
    <n v="0.10100000000000001"/>
    <n v="0.10100000000000001"/>
    <n v="9.6000000000000002E-2"/>
    <n v="9.9000000000000005E-2"/>
    <n v="9.4E-2"/>
    <n v="0.112"/>
    <n v="8.6999999999999994E-2"/>
    <n v="9.9000000000000005E-2"/>
    <n v="9.7000000000000003E-2"/>
    <n v="8.5999999999999993E-2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169849299560594"/>
    <n v="5243.6243418210988"/>
    <n v="0.13891688780903549"/>
    <n v="0.1318118892652273"/>
    <n v="0.18380507569726992"/>
    <n v="0.15429646124708882"/>
    <n v="0.1318118892652273"/>
    <n v="0.20061262803513641"/>
    <n v="0.12076854045275696"/>
    <n v="0.1413693296235311"/>
    <n v="0.12727827420164603"/>
    <n v="0.14640486397791924"/>
    <n v="0.14640486397791924"/>
    <n v="0.13413889927804937"/>
    <n v="0.1413693296235311"/>
    <n v="0.12952524767371265"/>
    <n v="0.17748317662891583"/>
    <n v="0.11459175145620078"/>
    <n v="0.1413693296235311"/>
    <n v="0.13650699037718286"/>
    <n v="0.11260384075721208"/>
    <n v="0.12290059094102512"/>
    <m/>
  </r>
  <r>
    <x v="19"/>
    <s v="COPNAUP"/>
    <s v="NAU"/>
    <n v="-1"/>
    <n v="-1"/>
    <n v="-1"/>
    <n v="-1"/>
    <n v="-1"/>
    <n v="-1"/>
    <n v="-1"/>
    <n v="-1"/>
    <n v="-1"/>
    <n v="17408"/>
    <n v="6199.8752432862302"/>
    <n v="14"/>
    <n v="18"/>
    <n v="32"/>
    <n v="0.127"/>
    <n v="0.221"/>
    <n v="0.125"/>
    <n v="0.29099999999999998"/>
    <n v="0.152"/>
    <n v="0.13100000000000001"/>
    <n v="0.27700000000000002"/>
    <n v="0.105"/>
    <n v="0.221"/>
    <n v="0.14399999999999999"/>
    <n v="0.123"/>
    <n v="0.13300000000000001"/>
    <n v="0.189"/>
    <n v="0.193"/>
    <n v="0.25700000000000001"/>
    <n v="0.14499999999999999"/>
    <n v="0.32"/>
    <n v="0.127"/>
    <n v="0.16"/>
    <n v="0.32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798214854539833"/>
    <n v="979.46961164778281"/>
    <n v="4.9808797095077323E-2"/>
    <n v="0.18824288925176821"/>
    <n v="4.7946968582758688E-2"/>
    <n v="0.36435127760291086"/>
    <n v="7.666581101018384E-2"/>
    <n v="5.3657228001919549E-2"/>
    <n v="0.32368946805528009"/>
    <n v="3.1552330394801202E-2"/>
    <n v="0.18824288925176821"/>
    <n v="6.7335967442926234E-2"/>
    <n v="4.6126381923769305E-2"/>
    <n v="5.564434844158727E-2"/>
    <n v="0.12932588325119743"/>
    <n v="0.1359924082921504"/>
    <n v="0.27040618384958715"/>
    <n v="6.8463694073402304E-2"/>
    <n v="0.45765379828160435"/>
    <n v="4.9808797095077323E-2"/>
    <n v="8.6709180472729408E-2"/>
    <n v="0.46801866853746771"/>
    <m/>
  </r>
  <r>
    <x v="19"/>
    <s v="ASCOVAL"/>
    <s v="ROT"/>
    <n v="-1"/>
    <n v="-1"/>
    <n v="-1"/>
    <n v="-1"/>
    <n v="-1"/>
    <n v="-1"/>
    <n v="-1"/>
    <n v="-1"/>
    <n v="-1"/>
    <n v="1088"/>
    <n v="387.49220270538899"/>
    <n v="0"/>
    <n v="2"/>
    <n v="2"/>
    <n v="9.6000000000000002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16832E-2"/>
    <n v="4.1139396174330605"/>
    <n v="1.0616832E-2"/>
    <n v="1.0616832E-2"/>
    <m/>
    <m/>
    <m/>
    <m/>
    <m/>
    <m/>
    <m/>
    <m/>
    <m/>
    <m/>
    <m/>
    <m/>
    <m/>
    <m/>
    <m/>
    <m/>
    <m/>
    <m/>
    <m/>
  </r>
  <r>
    <x v="19"/>
    <s v="ASPPRIO"/>
    <s v="ROT"/>
    <n v="-1"/>
    <n v="-1"/>
    <n v="-1"/>
    <n v="-1"/>
    <n v="-1"/>
    <n v="-1"/>
    <n v="-1"/>
    <n v="-1"/>
    <n v="-1"/>
    <n v="1088"/>
    <n v="387.49220270538899"/>
    <n v="1"/>
    <n v="1"/>
    <n v="2"/>
    <n v="0.75"/>
    <n v="0.7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798067968750002"/>
    <n v="1542.1441020629725"/>
    <n v="3.78421875"/>
    <n v="4.1753948437500004"/>
    <m/>
    <m/>
    <m/>
    <m/>
    <m/>
    <m/>
    <m/>
    <m/>
    <m/>
    <m/>
    <m/>
    <m/>
    <m/>
    <m/>
    <m/>
    <m/>
    <m/>
    <m/>
    <m/>
  </r>
  <r>
    <x v="19"/>
    <s v="COLSP"/>
    <s v="ROT"/>
    <n v="-1"/>
    <n v="-1"/>
    <n v="-1"/>
    <n v="-1"/>
    <n v="-1"/>
    <n v="-1"/>
    <n v="-1"/>
    <n v="-1"/>
    <n v="-1"/>
    <n v="6528"/>
    <n v="2324.9532162323299"/>
    <n v="8"/>
    <n v="4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000000000000001E-2"/>
    <n v="3.5000000000000003E-2"/>
    <n v="5.3999999999999999E-2"/>
    <n v="3.6999999999999998E-2"/>
    <n v="3.5000000000000003E-2"/>
    <n v="0.03"/>
    <n v="0.04"/>
    <n v="3.7999999999999999E-2"/>
    <n v="3.1E-2"/>
    <n v="3.7999999999999999E-2"/>
    <n v="3.2000000000000001E-2"/>
    <n v="3.4000000000000002E-2"/>
    <m/>
    <m/>
    <m/>
    <m/>
    <m/>
    <m/>
    <m/>
    <m/>
    <n v="9.1814850000000014E-3"/>
    <n v="21.346523080538898"/>
    <n v="2.8124999999999999E-3"/>
    <n v="7.7175000000000004E-3"/>
    <n v="2.8343520000000001E-2"/>
    <n v="9.1175400000000004E-3"/>
    <n v="7.7175000000000004E-3"/>
    <n v="4.8599999999999997E-3"/>
    <n v="1.1520000000000001E-2"/>
    <n v="9.8769600000000006E-3"/>
    <n v="5.3623799999999999E-3"/>
    <n v="9.8769600000000006E-3"/>
    <n v="5.8982399999999999E-3"/>
    <n v="7.0747199999999996E-3"/>
    <m/>
    <m/>
    <m/>
    <m/>
    <m/>
    <m/>
    <m/>
    <m/>
    <m/>
  </r>
  <r>
    <x v="19"/>
    <s v="COOUNIC"/>
    <s v="ROT"/>
    <n v="-1"/>
    <n v="-1"/>
    <n v="-1"/>
    <n v="-1"/>
    <n v="-1"/>
    <n v="-1"/>
    <n v="-1"/>
    <n v="-1"/>
    <n v="-1"/>
    <n v="70176"/>
    <n v="24993.247074497602"/>
    <n v="84"/>
    <n v="45"/>
    <n v="129"/>
    <n v="0.17199999999999999"/>
    <n v="0.161"/>
    <n v="0.161"/>
    <n v="0.153"/>
    <n v="0.17"/>
    <n v="0.19500000000000001"/>
    <n v="0.14399999999999999"/>
    <n v="0.109"/>
    <n v="0.14599999999999999"/>
    <n v="0.16800000000000001"/>
    <n v="0.15"/>
    <n v="0.17499999999999999"/>
    <n v="0.17799999999999999"/>
    <n v="0.16200000000000001"/>
    <n v="0.187"/>
    <n v="0.185"/>
    <n v="0.16200000000000001"/>
    <n v="0.183"/>
    <n v="0.13400000000000001"/>
    <n v="0.17"/>
    <m/>
    <m/>
    <m/>
    <m/>
    <m/>
    <m/>
    <m/>
    <m/>
    <m/>
    <m/>
    <m/>
    <m/>
    <m/>
    <m/>
    <m/>
    <m/>
    <m/>
    <m/>
    <m/>
    <m/>
    <n v="6.6000000000000003E-2"/>
    <n v="6.7000000000000004E-2"/>
    <n v="7.4999999999999997E-2"/>
    <n v="7.2999999999999995E-2"/>
    <n v="8.1000000000000003E-2"/>
    <n v="0.05"/>
    <n v="5.8000000000000003E-2"/>
    <n v="7.3999999999999996E-2"/>
    <n v="7.1999999999999995E-2"/>
    <n v="7.4999999999999997E-2"/>
    <n v="6.8000000000000005E-2"/>
    <n v="0.04"/>
    <n v="4.2999999999999997E-2"/>
    <n v="6.9000000000000006E-2"/>
    <n v="6.7000000000000004E-2"/>
    <n v="6.0999999999999999E-2"/>
    <n v="8.5000000000000006E-2"/>
    <n v="5.5E-2"/>
    <n v="5.8999999999999997E-2"/>
    <n v="4.2999999999999997E-2"/>
    <n v="1.7791277400000003E-2"/>
    <n v="444.66179182912538"/>
    <n v="1.9480032000000001E-2"/>
    <n v="1.8790953999999999E-2"/>
    <n v="2.3546250000000001E-2"/>
    <n v="2.1198761999999999E-2"/>
    <n v="2.899962E-2"/>
    <n v="1.2675000000000001E-2"/>
    <n v="1.2594816E-2"/>
    <n v="1.5518984E-2"/>
    <n v="1.9678464E-2"/>
    <n v="2.4570000000000002E-2"/>
    <n v="1.80336E-2"/>
    <n v="7.28E-3"/>
    <n v="8.557172E-3"/>
    <n v="2.0053332E-2"/>
    <n v="2.1825517999999999E-2"/>
    <n v="1.7898009999999999E-2"/>
    <n v="3.0431699999999999E-2"/>
    <n v="1.439295E-2"/>
    <n v="1.2127804000000001E-2"/>
    <n v="8.1725800000000005E-3"/>
    <m/>
  </r>
  <r>
    <x v="19"/>
    <s v="GASSTYL"/>
    <s v="ROT"/>
    <n v="-1"/>
    <n v="-1"/>
    <n v="-1"/>
    <n v="-1"/>
    <n v="-1"/>
    <n v="-1"/>
    <n v="-1"/>
    <n v="-1"/>
    <n v="-1"/>
    <n v="5984"/>
    <n v="2131.2071148796399"/>
    <n v="3"/>
    <n v="8"/>
    <n v="11"/>
    <n v="8.6999999999999994E-2"/>
    <n v="8.3000000000000004E-2"/>
    <n v="0.108"/>
    <n v="9.1999999999999998E-2"/>
    <n v="7.6999999999999999E-2"/>
    <n v="8.6999999999999994E-2"/>
    <n v="9.8000000000000004E-2"/>
    <n v="7.9000000000000001E-2"/>
    <n v="8.5999999999999993E-2"/>
    <n v="0.10100000000000001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66707272727275E-2"/>
    <n v="32.323394448933144"/>
    <n v="1.3170060000000001E-2"/>
    <n v="1.143574E-2"/>
    <n v="2.519424E-2"/>
    <n v="1.5573760000000001E-2"/>
    <n v="9.1306600000000005E-3"/>
    <n v="1.3170060000000001E-2"/>
    <n v="1.8823840000000001E-2"/>
    <n v="9.8607799999999995E-3"/>
    <n v="1.2721120000000001E-2"/>
    <n v="2.0606019999999999E-2"/>
    <n v="1.71475E-2"/>
    <m/>
    <m/>
    <m/>
    <m/>
    <m/>
    <m/>
    <m/>
    <m/>
    <m/>
    <m/>
  </r>
  <r>
    <x v="19"/>
    <s v="KELLONG"/>
    <s v="ROT"/>
    <n v="-1"/>
    <n v="-1"/>
    <n v="-1"/>
    <n v="-1"/>
    <n v="-1"/>
    <n v="-1"/>
    <n v="-1"/>
    <n v="-1"/>
    <n v="-1"/>
    <n v="7072"/>
    <n v="2518.6993175850298"/>
    <n v="3"/>
    <n v="10"/>
    <n v="13"/>
    <n v="0.13800000000000001"/>
    <n v="0.14299999999999999"/>
    <n v="0.115"/>
    <n v="0.14000000000000001"/>
    <n v="0.13200000000000001"/>
    <n v="0.152"/>
    <n v="0.14399999999999999"/>
    <n v="0.121"/>
    <n v="0.13600000000000001"/>
    <n v="0.191"/>
    <n v="0.14799999999999999"/>
    <n v="0.159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020374065384612E-3"/>
    <n v="22.925295404481837"/>
    <n v="8.0024792400000006E-3"/>
    <n v="8.9042103149999993E-3"/>
    <n v="4.6310643749999996E-3"/>
    <n v="8.3554800000000002E-3"/>
    <n v="7.0034025600000001E-3"/>
    <n v="1.069345536E-2"/>
    <n v="9.0923212799999993E-3"/>
    <n v="5.3944032450000002E-3"/>
    <n v="7.65956352E-3"/>
    <n v="2.1217167195000001E-2"/>
    <n v="9.8712566399999993E-3"/>
    <n v="1.2239922554999999E-2"/>
    <n v="5.2617599999999999E-3"/>
    <m/>
    <m/>
    <m/>
    <m/>
    <m/>
    <m/>
    <m/>
    <m/>
  </r>
  <r>
    <x v="19"/>
    <s v="KERCOCH"/>
    <s v="ROT"/>
    <n v="-1"/>
    <n v="-1"/>
    <n v="-1"/>
    <n v="-1"/>
    <n v="-1"/>
    <n v="-1"/>
    <n v="-1"/>
    <n v="-1"/>
    <n v="-1"/>
    <n v="42432"/>
    <n v="15112.1959055102"/>
    <n v="53"/>
    <n v="25"/>
    <n v="78"/>
    <n v="8.4000000000000005E-2"/>
    <n v="9.4E-2"/>
    <n v="8.3000000000000004E-2"/>
    <n v="8.4000000000000005E-2"/>
    <n v="9.6000000000000002E-2"/>
    <n v="9.7000000000000003E-2"/>
    <n v="8.6999999999999994E-2"/>
    <n v="8.2000000000000003E-2"/>
    <n v="8.8999999999999996E-2"/>
    <n v="8.8999999999999996E-2"/>
    <n v="8.3000000000000004E-2"/>
    <n v="8.7999999999999995E-2"/>
    <n v="0.104"/>
    <n v="8.5000000000000006E-2"/>
    <n v="0.104"/>
    <n v="9.4E-2"/>
    <n v="9.7000000000000003E-2"/>
    <n v="8.5999999999999993E-2"/>
    <n v="8.7999999999999995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911893999999999E-3"/>
    <n v="22.535146345020209"/>
    <n v="1.185408E-3"/>
    <n v="1.661168E-3"/>
    <n v="1.1435740000000001E-3"/>
    <n v="1.185408E-3"/>
    <n v="1.769472E-3"/>
    <n v="1.825346E-3"/>
    <n v="1.3170059999999999E-3"/>
    <n v="1.102736E-3"/>
    <n v="1.4099379999999999E-3"/>
    <n v="1.4099379999999999E-3"/>
    <n v="1.1435740000000001E-3"/>
    <n v="1.362944E-3"/>
    <n v="2.2497279999999999E-3"/>
    <n v="1.22825E-3"/>
    <n v="2.2497279999999999E-3"/>
    <n v="1.661168E-3"/>
    <n v="1.825346E-3"/>
    <n v="1.2721119999999999E-3"/>
    <n v="1.362944E-3"/>
    <n v="1.4580000000000001E-3"/>
    <m/>
  </r>
  <r>
    <x v="19"/>
    <s v="KERCRAS"/>
    <s v="ROT"/>
    <n v="-1"/>
    <n v="-1"/>
    <n v="-1"/>
    <n v="-1"/>
    <n v="-1"/>
    <n v="-1"/>
    <n v="-1"/>
    <n v="-1"/>
    <n v="-1"/>
    <n v="13056"/>
    <n v="4649.9064324646697"/>
    <n v="10"/>
    <n v="14"/>
    <n v="24"/>
    <n v="0.11700000000000001"/>
    <n v="0.126"/>
    <n v="0.122"/>
    <n v="0.114"/>
    <n v="0.10299999999999999"/>
    <n v="0.127"/>
    <n v="0.125"/>
    <n v="0.129"/>
    <n v="0.11700000000000001"/>
    <n v="0.13100000000000001"/>
    <n v="0.13100000000000001"/>
    <n v="0.129"/>
    <n v="0.13100000000000001"/>
    <n v="0.111"/>
    <n v="0.124"/>
    <n v="0.125"/>
    <n v="0.128"/>
    <n v="0.128"/>
    <n v="0.192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734065000000002E-3"/>
    <n v="19.870940372886331"/>
    <n v="3.203226E-3"/>
    <n v="4.0007519999999998E-3"/>
    <n v="3.6316959999999998E-3"/>
    <n v="2.963088E-3"/>
    <n v="2.1854539999999999E-3"/>
    <n v="4.0967659999999999E-3"/>
    <n v="3.90625E-3"/>
    <n v="4.2933779999999996E-3"/>
    <n v="3.203226E-3"/>
    <n v="4.4961819999999996E-3"/>
    <n v="4.4961819999999996E-3"/>
    <n v="4.2933779999999996E-3"/>
    <n v="4.4961819999999996E-3"/>
    <n v="2.735262E-3"/>
    <n v="3.813248E-3"/>
    <n v="3.90625E-3"/>
    <n v="4.1943040000000003E-3"/>
    <n v="4.1943040000000003E-3"/>
    <n v="1.4155776E-2"/>
    <n v="3.203226E-3"/>
    <m/>
  </r>
  <r>
    <x v="19"/>
    <s v="PLOHUDS"/>
    <s v="ROT"/>
    <n v="-1"/>
    <n v="-1"/>
    <n v="-1"/>
    <n v="-1"/>
    <n v="-1"/>
    <n v="-1"/>
    <n v="-1"/>
    <n v="-1"/>
    <n v="-1"/>
    <n v="544"/>
    <n v="193.74610135269501"/>
    <n v="0"/>
    <n v="1"/>
    <n v="1"/>
    <n v="0.24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997520999999999"/>
    <n v="27.119651223524766"/>
    <n v="0.13997520999999999"/>
    <m/>
    <m/>
    <m/>
    <m/>
    <m/>
    <m/>
    <m/>
    <m/>
    <m/>
    <m/>
    <m/>
    <m/>
    <m/>
    <m/>
    <m/>
    <m/>
    <m/>
    <m/>
    <m/>
    <m/>
  </r>
  <r>
    <x v="19"/>
    <s v="PLOTRUN"/>
    <s v="ROT"/>
    <n v="-1"/>
    <n v="-1"/>
    <n v="-1"/>
    <n v="-1"/>
    <n v="-1"/>
    <n v="-1"/>
    <n v="-1"/>
    <n v="-1"/>
    <n v="-1"/>
    <n v="1088"/>
    <n v="387.49220270538899"/>
    <n v="2"/>
    <n v="0"/>
    <n v="2"/>
    <n v="0.1350000000000000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66875E-2"/>
    <n v="14.285626600614238"/>
    <n v="2.4603750000000001E-2"/>
    <n v="4.913E-2"/>
    <m/>
    <m/>
    <m/>
    <m/>
    <m/>
    <m/>
    <m/>
    <m/>
    <m/>
    <m/>
    <m/>
    <m/>
    <m/>
    <m/>
    <m/>
    <m/>
    <m/>
    <m/>
    <m/>
  </r>
  <r>
    <x v="19"/>
    <s v="POLSP"/>
    <s v="ROT"/>
    <n v="-1"/>
    <n v="-1"/>
    <n v="-1"/>
    <n v="-1"/>
    <n v="-1"/>
    <n v="-1"/>
    <n v="-1"/>
    <n v="-1"/>
    <n v="-1"/>
    <n v="63648"/>
    <n v="22668.293858265301"/>
    <n v="67"/>
    <n v="50"/>
    <n v="117"/>
    <n v="8.1000000000000003E-2"/>
    <n v="0.11600000000000001"/>
    <n v="9.9000000000000005E-2"/>
    <n v="9.2999999999999999E-2"/>
    <n v="9.4E-2"/>
    <n v="0.109"/>
    <n v="9.5000000000000001E-2"/>
    <n v="7.1999999999999995E-2"/>
    <n v="9.8000000000000004E-2"/>
    <n v="0.113"/>
    <n v="0.108"/>
    <n v="0.125"/>
    <n v="9.8000000000000004E-2"/>
    <n v="0.107"/>
    <n v="0.125"/>
    <n v="7.4999999999999997E-2"/>
    <n v="0.115"/>
    <n v="0.129"/>
    <n v="9.9000000000000005E-2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15050580000008E-2"/>
    <n v="834.53438495434057"/>
    <n v="1.6368382800000001E-2"/>
    <n v="4.8075596800000002E-2"/>
    <n v="2.9885209199999999E-2"/>
    <n v="2.47741956E-2"/>
    <n v="2.55819872E-2"/>
    <n v="3.9886893200000002E-2"/>
    <n v="2.6407150000000001E-2"/>
    <n v="1.14960384E-2"/>
    <n v="2.89887136E-2"/>
    <n v="4.4441227600000001E-2"/>
    <n v="3.8799129600000003E-2"/>
    <n v="6.0156250000000001E-2"/>
    <n v="2.89887136E-2"/>
    <n v="3.7731324400000002E-2"/>
    <n v="6.0156250000000001E-2"/>
    <n v="1.299375E-2"/>
    <n v="4.6842950000000001E-2"/>
    <n v="6.6118021200000002E-2"/>
    <n v="2.9885209199999999E-2"/>
    <n v="5.8724019199999998E-2"/>
    <m/>
  </r>
  <r>
    <x v="19"/>
    <s v="SYNSP"/>
    <s v="ROT"/>
    <n v="-1"/>
    <n v="-1"/>
    <n v="-1"/>
    <n v="-1"/>
    <n v="-1"/>
    <n v="-1"/>
    <n v="-1"/>
    <n v="-1"/>
    <n v="-1"/>
    <n v="4352"/>
    <n v="1549.9688108215601"/>
    <n v="5"/>
    <n v="3"/>
    <n v="8"/>
    <n v="0.152"/>
    <n v="0.115"/>
    <n v="0.14099999999999999"/>
    <n v="0.14399999999999999"/>
    <n v="0.13500000000000001"/>
    <n v="0.16300000000000001"/>
    <n v="0.17499999999999999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33351250000001E-2"/>
    <n v="53.370620489563578"/>
    <n v="3.5118080000000003E-2"/>
    <n v="1.520875E-2"/>
    <n v="2.8032209999999998E-2"/>
    <n v="2.9859839999999999E-2"/>
    <n v="2.4603750000000001E-2"/>
    <n v="4.3307470000000001E-2"/>
    <n v="5.3593750000000002E-2"/>
    <n v="4.5742959999999999E-2"/>
    <m/>
    <m/>
    <m/>
    <m/>
    <m/>
    <m/>
    <m/>
    <m/>
    <m/>
    <m/>
    <m/>
    <m/>
    <m/>
  </r>
  <r>
    <x v="19"/>
    <s v="TRICYLI"/>
    <s v="ROT"/>
    <n v="-1"/>
    <n v="-1"/>
    <n v="-1"/>
    <n v="-1"/>
    <n v="-1"/>
    <n v="-1"/>
    <n v="-1"/>
    <n v="-1"/>
    <n v="-1"/>
    <n v="544"/>
    <n v="193.74610135269501"/>
    <n v="0"/>
    <n v="1"/>
    <n v="1"/>
    <n v="0.33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923076923076895E-2"/>
    <m/>
    <m/>
    <m/>
    <m/>
    <m/>
    <m/>
    <m/>
    <m/>
    <m/>
    <m/>
    <m/>
    <m/>
    <m/>
    <m/>
    <m/>
    <m/>
    <m/>
    <m/>
    <m/>
    <n v="0.13398963526153901"/>
    <n v="25.959969453592773"/>
    <n v="0.13398963526153901"/>
    <m/>
    <m/>
    <m/>
    <m/>
    <m/>
    <m/>
    <m/>
    <m/>
    <m/>
    <m/>
    <m/>
    <m/>
    <m/>
    <m/>
    <m/>
    <m/>
    <m/>
    <m/>
    <m/>
    <m/>
  </r>
  <r>
    <x v="19"/>
    <s v="TRISP"/>
    <s v="ROT"/>
    <n v="-1"/>
    <n v="-1"/>
    <n v="-1"/>
    <n v="-1"/>
    <n v="-1"/>
    <n v="-1"/>
    <n v="-1"/>
    <n v="-1"/>
    <n v="-1"/>
    <n v="4896"/>
    <n v="1743.71491217425"/>
    <n v="6"/>
    <n v="3"/>
    <n v="9"/>
    <n v="0.182"/>
    <n v="0.17399999999999999"/>
    <n v="0.17100000000000001"/>
    <n v="0.15"/>
    <n v="0.17"/>
    <n v="0.17299999999999999"/>
    <n v="0.16300000000000001"/>
    <n v="0.20599999999999999"/>
    <n v="0.13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529411764705902E-2"/>
    <n v="5.1176470588235302E-2"/>
    <n v="5.0294117647058802E-2"/>
    <n v="4.4117647058823498E-2"/>
    <n v="0.05"/>
    <n v="5.0882352941176497E-2"/>
    <n v="4.7941176470588202E-2"/>
    <n v="6.0588235294117603E-2"/>
    <n v="4.0882352941176502E-2"/>
    <m/>
    <m/>
    <m/>
    <m/>
    <m/>
    <m/>
    <m/>
    <m/>
    <m/>
    <m/>
    <m/>
    <n v="2.2888109986774326E-2"/>
    <n v="39.910338695422766"/>
    <n v="2.7280834707266399E-2"/>
    <n v="2.3839175734256101E-2"/>
    <n v="2.26272524076125E-2"/>
    <n v="1.52727508650519E-2"/>
    <n v="2.2232600000000002E-2"/>
    <n v="2.3430513123183401E-2"/>
    <n v="1.95977540712803E-2"/>
    <n v="3.9558986037370202E-2"/>
    <n v="1.21531229349481E-2"/>
    <m/>
    <m/>
    <m/>
    <m/>
    <m/>
    <m/>
    <m/>
    <m/>
    <m/>
    <m/>
    <m/>
    <m/>
  </r>
  <r>
    <x v="20"/>
    <s v="BOSLONG"/>
    <s v="CLA"/>
    <n v="-1"/>
    <n v="86"/>
    <n v="-1"/>
    <n v="-1"/>
    <n v="-1"/>
    <n v="-1"/>
    <n v="-1"/>
    <n v="-1"/>
    <n v="-1"/>
    <n v="22016"/>
    <n v="8910.2485114073406"/>
    <n v="-1"/>
    <n v="-1"/>
    <n v="-1"/>
    <n v="0.41499999999999998"/>
    <n v="0.55700000000000005"/>
    <n v="0.27500000000000002"/>
    <n v="0.32600000000000001"/>
    <n v="0.27700000000000002"/>
    <n v="0.45800000000000002"/>
    <n v="0.42799999999999999"/>
    <n v="0.26600000000000001"/>
    <n v="0.44500000000000001"/>
    <n v="0.24399999999999999"/>
    <n v="0.38300000000000001"/>
    <n v="0.39400000000000002"/>
    <n v="0.35499999999999998"/>
    <n v="0.36799999999999999"/>
    <n v="0.42099999999999999"/>
    <n v="0.312"/>
    <n v="0.36299999999999999"/>
    <n v="0.40100000000000002"/>
    <n v="0.29399999999999998"/>
    <n v="0.4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58929632751692"/>
    <n v="12108.400737333088"/>
    <n v="1.62730260477958"/>
    <n v="3.4262597050599899"/>
    <n v="0.57453746032460995"/>
    <n v="0.88358261663912796"/>
    <n v="0.58516784102181196"/>
    <n v="2.08831637677069"/>
    <n v="1.7593788647374899"/>
    <n v="0.52814986801842601"/>
    <n v="1.9415897146449701"/>
    <n v="0.42452463334503399"/>
    <n v="1.3283102779548199"/>
    <n v="1.42696090958891"/>
    <n v="1.09618629530351"/>
    <n v="1.20060905965011"/>
    <n v="1.68748661754875"/>
    <n v="0.790710958575773"/>
    <n v="1.1597660628987201"/>
    <n v="1.4919762079807299"/>
    <n v="0.68033902120397705"/>
    <n v="2.4774375589868098"/>
    <m/>
  </r>
  <r>
    <x v="20"/>
    <s v="CECPENG"/>
    <s v="CLA"/>
    <n v="351"/>
    <n v="-1"/>
    <n v="-1"/>
    <n v="-1"/>
    <n v="-1"/>
    <n v="-1"/>
    <n v="-1"/>
    <n v="-1"/>
    <n v="-1"/>
    <n v="351"/>
    <n v="142.05565168531899"/>
    <n v="-1"/>
    <n v="-1"/>
    <n v="-1"/>
    <n v="1.466"/>
    <n v="1.548"/>
    <n v="1.3540000000000001"/>
    <n v="1.365"/>
    <n v="0.87"/>
    <n v="0.88700000000000001"/>
    <n v="1.5289999999999999"/>
    <n v="0.90400000000000003"/>
    <n v="0.96199999999999997"/>
    <n v="0.96"/>
    <n v="0.88200000000000001"/>
    <n v="1.198"/>
    <n v="0.84599999999999997"/>
    <n v="0.90400000000000003"/>
    <n v="0.80200000000000005"/>
    <n v="0.52700000000000002"/>
    <n v="1.286"/>
    <n v="1.226"/>
    <n v="1.4710000000000001"/>
    <n v="0.79100000000000004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447407290129584"/>
    <n v="361.49480263010958"/>
    <n v="5.0934839110652597"/>
    <n v="5.9903632318653601"/>
    <n v="4.0193824039908197"/>
    <n v="4.1174753538237896"/>
    <n v="1.0757295035105101"/>
    <n v="1.1395885952527001"/>
    <n v="5.7739100479074397"/>
    <n v="1.2059175899579"/>
    <n v="1.45143443306665"/>
    <n v="1.4424606735569201"/>
    <n v="1.12055219553388"/>
    <n v="2.79085340526805"/>
    <n v="0.98969047155004197"/>
    <n v="1.2059175899579"/>
    <n v="0.84406389698422402"/>
    <n v="0.24150789939519501"/>
    <n v="3.4472580430995099"/>
    <n v="2.9897667543817099"/>
    <n v="5.1454276019428002"/>
    <n v="0.81003097814851799"/>
    <m/>
  </r>
  <r>
    <x v="20"/>
    <s v="CERSP"/>
    <s v="CLA"/>
    <n v="-1"/>
    <n v="1"/>
    <n v="-1"/>
    <n v="-1"/>
    <n v="-1"/>
    <n v="1"/>
    <n v="-1"/>
    <n v="-1"/>
    <n v="-1"/>
    <n v="170.666666666667"/>
    <n v="69.071693886878606"/>
    <n v="-1"/>
    <n v="-1"/>
    <n v="-1"/>
    <n v="0.29199999999999998"/>
    <n v="0.33600000000000002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4827254079329049"/>
    <n v="30.962943715567462"/>
    <n v="0.35075943823106898"/>
    <n v="0.54578564335551205"/>
    <m/>
    <m/>
    <m/>
    <m/>
    <m/>
    <m/>
    <m/>
    <m/>
    <m/>
    <m/>
    <m/>
    <m/>
    <m/>
    <m/>
    <m/>
    <m/>
    <m/>
    <m/>
    <m/>
  </r>
  <r>
    <x v="20"/>
    <s v="DAPGALEM"/>
    <s v="CLA"/>
    <n v="-1"/>
    <n v="28"/>
    <n v="-1"/>
    <n v="-1"/>
    <n v="-1"/>
    <n v="-1"/>
    <n v="-1"/>
    <n v="-1"/>
    <n v="-1"/>
    <n v="7168"/>
    <n v="2901.0111432489002"/>
    <n v="-1"/>
    <n v="-1"/>
    <n v="-1"/>
    <n v="1.0640000000000001"/>
    <n v="1.329"/>
    <n v="1.0409999999999999"/>
    <n v="0.80200000000000005"/>
    <n v="0.79800000000000004"/>
    <n v="0.752"/>
    <n v="0.71099999999999997"/>
    <n v="0.66800000000000004"/>
    <n v="0.90900000000000003"/>
    <n v="0.6"/>
    <n v="0.92200000000000004"/>
    <n v="0.61"/>
    <n v="1.044"/>
    <n v="0.878"/>
    <n v="0.70299999999999996"/>
    <n v="0.747"/>
    <n v="0.91300000000000003"/>
    <n v="1.0149999999999999"/>
    <n v="0.66200000000000003"/>
    <n v="0.65500000000000003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4399175692238471"/>
    <n v="9979.2392001760509"/>
    <n v="5.9249989524011397"/>
    <n v="11.142560488314899"/>
    <n v="5.5684474598144797"/>
    <n v="2.6547844209943698"/>
    <n v="2.6173527977339601"/>
    <n v="2.2112239100937199"/>
    <n v="1.8857482812911399"/>
    <n v="1.5795712043194601"/>
    <n v="3.7887459299939299"/>
    <n v="1.1644574012292099"/>
    <n v="3.9446626707413399"/>
    <n v="1.22042413021392"/>
    <n v="5.6141430023477499"/>
    <n v="3.4331950656455499"/>
    <n v="1.82611102099811"/>
    <n v="2.1697243535453898"/>
    <n v="3.8362867576989399"/>
    <n v="5.1824797579949902"/>
    <n v="1.53961007536686"/>
    <n v="1.49382370373778"/>
    <m/>
  </r>
  <r>
    <x v="20"/>
    <s v="EUBCORE"/>
    <s v="CLA"/>
    <n v="-1"/>
    <n v="2"/>
    <n v="-1"/>
    <n v="-1"/>
    <n v="-1"/>
    <n v="4"/>
    <n v="-1"/>
    <n v="-1"/>
    <n v="-1"/>
    <n v="512"/>
    <n v="207.215081660636"/>
    <n v="-1"/>
    <n v="-1"/>
    <n v="-1"/>
    <n v="0.54700000000000004"/>
    <n v="0.23899999999999999"/>
    <n v="0.39"/>
    <n v="0.58899999999999997"/>
    <n v="0.49399999999999999"/>
    <n v="0.38900000000000001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538507275073862"/>
    <n v="446.31035438526328"/>
    <n v="3.2727631048527401"/>
    <n v="0.40285923557136699"/>
    <n v="1.39059316587882"/>
    <n v="3.9463748136674699"/>
    <n v="2.5289242195816199"/>
    <n v="1.3815898254923"/>
    <m/>
    <m/>
    <m/>
    <m/>
    <m/>
    <m/>
    <m/>
    <m/>
    <m/>
    <m/>
    <m/>
    <m/>
    <m/>
    <m/>
    <m/>
  </r>
  <r>
    <x v="20"/>
    <s v="LETKIND"/>
    <s v="CLA"/>
    <n v="-1"/>
    <n v="0"/>
    <n v="-1"/>
    <n v="-1"/>
    <n v="-1"/>
    <n v="1"/>
    <n v="-1"/>
    <n v="2"/>
    <n v="-1"/>
    <n v="109.71428571428601"/>
    <n v="44.403231784421997"/>
    <n v="-1"/>
    <n v="-1"/>
    <n v="-1"/>
    <n v="1.36"/>
    <n v="2.39"/>
    <n v="1.248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81256535768784"/>
    <n v="93.16355970861602"/>
    <n v="0.998984664129691"/>
    <n v="4.5012416775924704"/>
    <n v="0.79415061900847395"/>
    <m/>
    <m/>
    <m/>
    <m/>
    <m/>
    <m/>
    <m/>
    <m/>
    <m/>
    <m/>
    <m/>
    <m/>
    <m/>
    <m/>
    <m/>
    <m/>
    <m/>
    <m/>
  </r>
  <r>
    <x v="20"/>
    <s v="DIYTHOM"/>
    <s v="COP"/>
    <n v="-1"/>
    <n v="2"/>
    <n v="10"/>
    <n v="-1"/>
    <n v="-1"/>
    <n v="4"/>
    <n v="12"/>
    <n v="-1"/>
    <n v="-1"/>
    <n v="2389.3333333333298"/>
    <n v="967.00371441630102"/>
    <n v="-1"/>
    <n v="-1"/>
    <n v="-1"/>
    <n v="0.94599999999999995"/>
    <n v="1.137"/>
    <n v="0.92900000000000005"/>
    <n v="0.91600000000000004"/>
    <n v="0.74199999999999999"/>
    <n v="0.80900000000000005"/>
    <n v="0.92300000000000004"/>
    <n v="0.86"/>
    <n v="0.80300000000000005"/>
    <n v="0.86299999999999999"/>
    <n v="0.92100000000000004"/>
    <n v="0.71199999999999997"/>
    <n v="0.81100000000000005"/>
    <n v="1.121"/>
    <n v="0.74399999999999999"/>
    <n v="0.82"/>
    <n v="0.875"/>
    <n v="0.80600000000000005"/>
    <n v="1.093"/>
    <n v="0.89900000000000002"/>
    <s v="M"/>
    <s v="F"/>
    <s v="M"/>
    <s v="F"/>
    <s v="M"/>
    <s v="M"/>
    <s v="M"/>
    <s v="M"/>
    <s v="M"/>
    <s v="M"/>
    <s v="M"/>
    <s v="M"/>
    <s v="M"/>
    <s v="F"/>
    <s v="M"/>
    <s v="M"/>
    <s v="M"/>
    <s v="M"/>
    <s v="F"/>
    <s v="M"/>
    <m/>
    <m/>
    <m/>
    <m/>
    <m/>
    <m/>
    <m/>
    <m/>
    <m/>
    <m/>
    <m/>
    <m/>
    <m/>
    <m/>
    <m/>
    <m/>
    <m/>
    <m/>
    <m/>
    <m/>
    <n v="3.6170650670263074"/>
    <n v="3497.715355099886"/>
    <n v="4.2190692277538302"/>
    <n v="8.7558413687216508"/>
    <n v="3.9260084003831901"/>
    <n v="3.7123923615893499"/>
    <n v="1.6085417734779901"/>
    <n v="2.2671720075279098"/>
    <n v="3.8263050683210098"/>
    <n v="2.8899324488583402"/>
    <n v="2.2011495724197698"/>
    <n v="2.9301624525319099"/>
    <n v="3.7934954879321898"/>
    <n v="1.3654456389087599"/>
    <n v="2.2895051838095601"/>
    <n v="8.2768125953978107"/>
    <n v="1.6258234903750901"/>
    <n v="2.39204769020512"/>
    <n v="3.09528619285217"/>
    <n v="2.2339783292891302"/>
    <n v="7.4860182734945502"/>
    <n v="3.4463137766768099"/>
    <m/>
  </r>
  <r>
    <x v="20"/>
    <s v="EPILACU"/>
    <s v="COP"/>
    <n v="-1"/>
    <n v="0"/>
    <n v="0"/>
    <n v="-1"/>
    <n v="-1"/>
    <n v="0"/>
    <n v="0"/>
    <n v="1"/>
    <n v="0"/>
    <n v="36.571428571428598"/>
    <n v="14.801077261473999"/>
    <n v="-1"/>
    <n v="-1"/>
    <n v="-1"/>
    <n v="1.6870000000000001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000117649578002"/>
    <n v="281.22220930849977"/>
    <n v="19.000117649578002"/>
    <m/>
    <m/>
    <m/>
    <m/>
    <m/>
    <m/>
    <m/>
    <m/>
    <m/>
    <m/>
    <m/>
    <m/>
    <m/>
    <m/>
    <m/>
    <m/>
    <m/>
    <m/>
    <m/>
    <m/>
  </r>
  <r>
    <x v="20"/>
    <s v="LEOMINU"/>
    <s v="COP"/>
    <n v="-1"/>
    <n v="1"/>
    <n v="6"/>
    <n v="-1"/>
    <n v="-1"/>
    <n v="4"/>
    <n v="9"/>
    <n v="-1"/>
    <n v="-1"/>
    <n v="1706.6666666666699"/>
    <n v="690.71693886878597"/>
    <n v="-1"/>
    <n v="-1"/>
    <n v="-1"/>
    <n v="0.89600000000000002"/>
    <n v="1.008"/>
    <n v="0.88200000000000001"/>
    <n v="0.88700000000000001"/>
    <n v="0.96099999999999997"/>
    <n v="1.0640000000000001"/>
    <n v="0.95199999999999996"/>
    <n v="0.81499999999999995"/>
    <n v="0.88300000000000001"/>
    <n v="0.95699999999999996"/>
    <n v="0.94599999999999995"/>
    <n v="0.93300000000000005"/>
    <n v="0.93500000000000005"/>
    <n v="0.91200000000000003"/>
    <n v="1.0609999999999999"/>
    <n v="0.94599999999999995"/>
    <n v="1.1200000000000001"/>
    <n v="1.006"/>
    <n v="1.0189999999999999"/>
    <n v="0.94599999999999995"/>
    <s v="M"/>
    <s v="M"/>
    <s v="M"/>
    <s v="M"/>
    <s v="M"/>
    <s v="F"/>
    <s v="M"/>
    <s v="M"/>
    <s v="M"/>
    <s v="M"/>
    <s v="M"/>
    <s v="M"/>
    <s v="M"/>
    <s v="M"/>
    <s v="F"/>
    <s v="M"/>
    <s v="F"/>
    <s v="F"/>
    <s v="F"/>
    <s v="M"/>
    <m/>
    <m/>
    <m/>
    <m/>
    <m/>
    <m/>
    <m/>
    <m/>
    <m/>
    <m/>
    <m/>
    <m/>
    <m/>
    <m/>
    <m/>
    <m/>
    <m/>
    <m/>
    <m/>
    <m/>
    <n v="4.419593400950224"/>
    <n v="3052.6880249490259"/>
    <n v="3.6898267179378199"/>
    <n v="5.0060018341075603"/>
    <n v="3.5423532015269599"/>
    <n v="3.59459860631015"/>
    <n v="4.4236606145742297"/>
    <n v="5.7584691250474904"/>
    <n v="4.3171577934322798"/>
    <n v="2.8868647184920002"/>
    <n v="3.5527647279936199"/>
    <n v="4.3761292959926203"/>
    <n v="4.2470391997764096"/>
    <n v="4.0975256749951097"/>
    <n v="4.1203138526757197"/>
    <n v="3.86291238060014"/>
    <n v="5.7165113555332301"/>
    <n v="4.2470391997764096"/>
    <n v="6.5766223636186298"/>
    <n v="4.98031710964508"/>
    <n v="5.1487210471926002"/>
    <n v="4.2470391997764096"/>
    <m/>
  </r>
  <r>
    <x v="20"/>
    <s v="SKIOREG"/>
    <s v="COP"/>
    <n v="-1"/>
    <n v="0"/>
    <n v="0"/>
    <n v="-1"/>
    <n v="-1"/>
    <n v="1"/>
    <n v="1"/>
    <n v="-1"/>
    <n v="-1"/>
    <n v="170.666666666667"/>
    <n v="69.071693886878606"/>
    <n v="-1"/>
    <n v="-1"/>
    <n v="-1"/>
    <n v="1.1100000000000001"/>
    <n v="1.0169999999999999"/>
    <m/>
    <m/>
    <m/>
    <m/>
    <m/>
    <m/>
    <m/>
    <m/>
    <m/>
    <m/>
    <m/>
    <m/>
    <m/>
    <m/>
    <m/>
    <m/>
    <m/>
    <m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741021930152252"/>
    <n v="398.82701914750209"/>
    <n v="6.4256156017267401"/>
    <n v="5.1225887843037103"/>
    <m/>
    <m/>
    <m/>
    <m/>
    <m/>
    <m/>
    <m/>
    <m/>
    <m/>
    <m/>
    <m/>
    <m/>
    <m/>
    <m/>
    <m/>
    <m/>
    <m/>
    <m/>
    <m/>
  </r>
  <r>
    <x v="20"/>
    <s v="CYCCOPE"/>
    <s v="IMM"/>
    <n v="-1"/>
    <n v="40"/>
    <n v="-1"/>
    <n v="-1"/>
    <n v="-1"/>
    <n v="-1"/>
    <n v="-1"/>
    <n v="-1"/>
    <n v="-1"/>
    <n v="10240"/>
    <n v="4144.3016332127199"/>
    <n v="-1"/>
    <n v="-1"/>
    <n v="-1"/>
    <n v="0.36599999999999999"/>
    <n v="0.505"/>
    <n v="0.40100000000000002"/>
    <n v="0.35699999999999998"/>
    <n v="0.51100000000000001"/>
    <n v="0.52800000000000002"/>
    <n v="0.44700000000000001"/>
    <n v="0.44700000000000001"/>
    <n v="0.42599999999999999"/>
    <n v="0.65800000000000003"/>
    <n v="0.39900000000000002"/>
    <n v="0.435"/>
    <n v="0.57099999999999995"/>
    <n v="0.52600000000000002"/>
    <n v="0.623"/>
    <n v="0.92"/>
    <n v="0.46500000000000002"/>
    <n v="0.70099999999999996"/>
    <n v="0.42299999999999999"/>
    <n v="0.5350000000000000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55499954058394374"/>
    <n v="2300.0855024743473"/>
    <n v="9.7263243680032502E-2"/>
    <n v="0.34913678714107699"/>
    <n v="0.13976936730923001"/>
    <n v="8.8109281131908704E-2"/>
    <n v="0.36589781284170098"/>
    <n v="0.416663552556918"/>
    <n v="0.21510460442938301"/>
    <n v="0.21510460442938301"/>
    <n v="0.17769898550503899"/>
    <n v="0.99835647187642296"/>
    <n v="0.137022294542575"/>
    <n v="0.19307728802756799"/>
    <n v="0.56855723409808501"/>
    <n v="0.410432973736859"/>
    <n v="0.803611948068639"/>
    <n v="3.7771698509072502"/>
    <n v="0.25160372289703198"/>
    <n v="1.28359900356054"/>
    <n v="0.172782637214144"/>
    <n v="0.439029147725087"/>
    <m/>
  </r>
  <r>
    <x v="20"/>
    <s v="DIACOPE"/>
    <s v="IMM"/>
    <n v="-1"/>
    <n v="23"/>
    <n v="-1"/>
    <n v="-1"/>
    <n v="-1"/>
    <n v="-1"/>
    <n v="-1"/>
    <n v="-1"/>
    <n v="-1"/>
    <n v="5888"/>
    <n v="2382.9734390973099"/>
    <n v="-1"/>
    <n v="-1"/>
    <n v="-1"/>
    <n v="0.93200000000000005"/>
    <n v="0.85699999999999998"/>
    <n v="0.78800000000000003"/>
    <n v="0.877"/>
    <n v="0.76800000000000002"/>
    <n v="0.48599999999999999"/>
    <n v="0.93500000000000005"/>
    <n v="0.60899999999999999"/>
    <n v="0.47199999999999998"/>
    <n v="0.83199999999999996"/>
    <n v="0.53500000000000003"/>
    <n v="0.755"/>
    <n v="1.0329999999999999"/>
    <n v="0.88900000000000001"/>
    <n v="0.82599999999999996"/>
    <n v="0.95099999999999996"/>
    <n v="0.95799999999999996"/>
    <n v="0.60699999999999998"/>
    <n v="0.498"/>
    <n v="0.836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7591166879467552"/>
    <n v="6574.9017827472589"/>
    <n v="4.0861606690774703"/>
    <n v="3.2881267857863699"/>
    <n v="2.64564232327883"/>
    <n v="3.4905766007422701"/>
    <n v="2.4752198894308801"/>
    <n v="0.75668680978987102"/>
    <n v="4.1203138526757197"/>
    <n v="1.35733489457267"/>
    <n v="0.701516681547385"/>
    <n v="3.0454231260596401"/>
    <n v="0.97043068768626195"/>
    <n v="2.3681588530636799"/>
    <n v="5.3339391751249003"/>
    <n v="3.6156283842893999"/>
    <n v="2.9888667161500502"/>
    <n v="4.3054223909393903"/>
    <n v="4.3879825795333298"/>
    <n v="1.3458198702219399"/>
    <n v="0.80603188873574305"/>
    <n v="3.0930515802293002"/>
    <m/>
  </r>
  <r>
    <x v="20"/>
    <s v="EPICOPE"/>
    <s v="IMM"/>
    <n v="-1"/>
    <n v="0"/>
    <n v="-1"/>
    <n v="-1"/>
    <n v="-1"/>
    <n v="3"/>
    <n v="-1"/>
    <n v="-1"/>
    <n v="-1"/>
    <n v="256"/>
    <n v="103.607540830318"/>
    <n v="-1"/>
    <n v="-1"/>
    <n v="-1"/>
    <n v="1.1379999999999999"/>
    <n v="0.69"/>
    <n v="0.65200000000000002"/>
    <m/>
    <m/>
    <m/>
    <m/>
    <m/>
    <m/>
    <m/>
    <m/>
    <m/>
    <m/>
    <m/>
    <m/>
    <m/>
    <m/>
    <m/>
    <m/>
    <m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97316286305932"/>
    <n v="357.41821056698359"/>
    <n v="6.85388297594905"/>
    <n v="1.87563086693651"/>
    <n v="1.6196810430062201"/>
    <m/>
    <m/>
    <m/>
    <m/>
    <m/>
    <m/>
    <m/>
    <m/>
    <m/>
    <m/>
    <m/>
    <m/>
    <m/>
    <m/>
    <m/>
    <m/>
    <m/>
    <m/>
  </r>
  <r>
    <x v="20"/>
    <s v="DREPOLYV"/>
    <s v="MOL"/>
    <n v="-1"/>
    <n v="-1"/>
    <n v="-1"/>
    <n v="-1"/>
    <n v="-1"/>
    <n v="-1"/>
    <n v="-1"/>
    <n v="-1"/>
    <n v="-1"/>
    <n v="191360"/>
    <n v="77446.636770662706"/>
    <n v="92"/>
    <n v="92"/>
    <n v="184"/>
    <n v="0.184"/>
    <n v="9.1999999999999998E-2"/>
    <n v="8.8999999999999996E-2"/>
    <n v="0.1"/>
    <n v="7.6999999999999999E-2"/>
    <n v="9.7000000000000003E-2"/>
    <n v="7.9000000000000001E-2"/>
    <n v="8.4000000000000005E-2"/>
    <n v="7.0999999999999994E-2"/>
    <n v="9.5000000000000001E-2"/>
    <n v="8.2000000000000003E-2"/>
    <n v="6.9000000000000006E-2"/>
    <n v="6.2E-2"/>
    <n v="8.7999999999999995E-2"/>
    <n v="7.8E-2"/>
    <n v="8.6999999999999994E-2"/>
    <n v="9.7000000000000003E-2"/>
    <n v="0.214"/>
    <n v="7.8E-2"/>
    <n v="7.5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255700623495158"/>
    <n v="14138.426151817903"/>
    <n v="0.62570300453344518"/>
    <n v="0.12507028069583967"/>
    <n v="0.11867347627390945"/>
    <n v="0.14386506690014328"/>
    <n v="9.619485028214779E-2"/>
    <n v="0.13650699037718286"/>
    <n v="9.962128283722127E-2"/>
    <n v="0.10873087852656856"/>
    <n v="8.6606582655532005E-2"/>
    <n v="0.1318118892652273"/>
    <n v="0.10499112521969811"/>
    <n v="8.3627785295740331E-2"/>
    <n v="7.3985995468487289E-2"/>
    <n v="0.11661475677470312"/>
    <n v="9.7893076299818055E-2"/>
    <n v="0.11459175145620078"/>
    <n v="0.13650699037718286"/>
    <n v="1.0577251804709453"/>
    <n v="9.7893076299818055E-2"/>
    <n v="9.4526084689219525E-2"/>
    <m/>
  </r>
  <r>
    <x v="20"/>
    <s v="COPNAUP"/>
    <s v="NAU"/>
    <n v="-1"/>
    <n v="-1"/>
    <n v="-1"/>
    <n v="-1"/>
    <n v="-1"/>
    <n v="-1"/>
    <n v="-1"/>
    <n v="-1"/>
    <n v="-1"/>
    <n v="86320"/>
    <n v="34935.167673722797"/>
    <n v="36"/>
    <n v="47"/>
    <n v="83"/>
    <n v="0.10199999999999999"/>
    <n v="0.114"/>
    <n v="0.154"/>
    <n v="0.14299999999999999"/>
    <n v="0.154"/>
    <n v="0.19800000000000001"/>
    <n v="8.1000000000000003E-2"/>
    <n v="0.14799999999999999"/>
    <n v="0.13100000000000001"/>
    <n v="0.105"/>
    <n v="0.14000000000000001"/>
    <n v="0.08"/>
    <n v="9.7000000000000003E-2"/>
    <n v="0.14899999999999999"/>
    <n v="0.11799999999999999"/>
    <n v="0.113"/>
    <n v="0.107"/>
    <n v="0.158"/>
    <n v="0.14399999999999999"/>
    <n v="0.20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343868815147653E-2"/>
    <n v="2108.1231751383157"/>
    <n v="2.9431848234424133E-2"/>
    <n v="3.84369365105749E-2"/>
    <n v="7.9109174585155054E-2"/>
    <n v="6.6219151722577044E-2"/>
    <n v="7.9109174585155054E-2"/>
    <n v="0.14460176027961549"/>
    <n v="1.6925486801151468E-2"/>
    <n v="7.1912641255667167E-2"/>
    <n v="5.3657228001919549E-2"/>
    <n v="3.1552330394801202E-2"/>
    <n v="6.2933865666250186E-2"/>
    <n v="1.6428317663881982E-2"/>
    <n v="2.6087309181848019E-2"/>
    <n v="7.3084312737679707E-2"/>
    <n v="4.1753601378629192E-2"/>
    <n v="3.7632700791829184E-2"/>
    <n v="3.3014003242246778E-2"/>
    <n v="8.4130628211740541E-2"/>
    <n v="6.7335967442926234E-2"/>
    <n v="0.15352093761488028"/>
    <m/>
  </r>
  <r>
    <x v="20"/>
    <s v="ASCOVAL"/>
    <s v="ROT"/>
    <n v="-1"/>
    <n v="-1"/>
    <n v="-1"/>
    <n v="-1"/>
    <n v="-1"/>
    <n v="-1"/>
    <n v="-1"/>
    <n v="-1"/>
    <n v="-1"/>
    <n v="8320"/>
    <n v="3367.2450769853299"/>
    <n v="4"/>
    <n v="4"/>
    <n v="8"/>
    <n v="0.127"/>
    <n v="0.123"/>
    <n v="0.109"/>
    <n v="0.13300000000000001"/>
    <n v="9.0999999999999998E-2"/>
    <n v="9.2999999999999999E-2"/>
    <n v="0.115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3653665E-2"/>
    <n v="58.473444857170968"/>
    <n v="2.4580596E-2"/>
    <n v="2.2330404000000002E-2"/>
    <n v="1.5540348000000001E-2"/>
    <n v="2.8231644E-2"/>
    <n v="9.0428520000000005E-3"/>
    <n v="9.6522840000000006E-3"/>
    <n v="1.8250499999999999E-2"/>
    <n v="1.1294304E-2"/>
    <m/>
    <m/>
    <m/>
    <m/>
    <m/>
    <m/>
    <m/>
    <m/>
    <m/>
    <m/>
    <m/>
    <m/>
    <m/>
  </r>
  <r>
    <x v="20"/>
    <s v="ASPPRIO"/>
    <s v="ROT"/>
    <n v="-1"/>
    <n v="-1"/>
    <n v="-1"/>
    <n v="-1"/>
    <n v="-1"/>
    <n v="-1"/>
    <n v="-1"/>
    <n v="-1"/>
    <n v="-1"/>
    <n v="1040"/>
    <n v="420.90563462316697"/>
    <n v="0"/>
    <n v="1"/>
    <n v="1"/>
    <n v="0.533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823234989"/>
    <n v="571.68764919616581"/>
    <n v="1.35823234989"/>
    <m/>
    <m/>
    <m/>
    <m/>
    <m/>
    <m/>
    <m/>
    <m/>
    <m/>
    <m/>
    <m/>
    <m/>
    <m/>
    <m/>
    <m/>
    <m/>
    <m/>
    <m/>
    <m/>
    <m/>
  </r>
  <r>
    <x v="20"/>
    <s v="COLSP"/>
    <s v="ROT"/>
    <n v="-1"/>
    <n v="-1"/>
    <n v="-1"/>
    <n v="-1"/>
    <n v="-1"/>
    <n v="-1"/>
    <n v="-1"/>
    <n v="-1"/>
    <n v="-1"/>
    <n v="3120"/>
    <n v="1262.7169038694999"/>
    <n v="2"/>
    <n v="1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999999999999997E-2"/>
    <n v="0.04"/>
    <n v="4.5999999999999999E-2"/>
    <m/>
    <m/>
    <m/>
    <m/>
    <m/>
    <m/>
    <m/>
    <m/>
    <m/>
    <m/>
    <m/>
    <m/>
    <m/>
    <m/>
    <m/>
    <m/>
    <m/>
    <n v="1.2479520000000001E-2"/>
    <n v="15.758100856177503"/>
    <n v="8.3980800000000005E-3"/>
    <n v="1.1520000000000001E-2"/>
    <n v="1.7520480000000001E-2"/>
    <m/>
    <m/>
    <m/>
    <m/>
    <m/>
    <m/>
    <m/>
    <m/>
    <m/>
    <m/>
    <m/>
    <m/>
    <m/>
    <m/>
    <m/>
    <m/>
    <m/>
    <m/>
  </r>
  <r>
    <x v="20"/>
    <s v="COOUNIC"/>
    <s v="ROT"/>
    <n v="-1"/>
    <n v="-1"/>
    <n v="-1"/>
    <n v="-1"/>
    <n v="-1"/>
    <n v="-1"/>
    <n v="-1"/>
    <n v="-1"/>
    <n v="-1"/>
    <n v="36400"/>
    <n v="14731.697211810801"/>
    <n v="15"/>
    <n v="20"/>
    <n v="35"/>
    <n v="0.105"/>
    <n v="0.114"/>
    <n v="0.16600000000000001"/>
    <n v="0.11899999999999999"/>
    <n v="0.17699999999999999"/>
    <n v="0.14899999999999999"/>
    <n v="0.13300000000000001"/>
    <n v="0.161"/>
    <n v="0.125"/>
    <n v="0.11899999999999999"/>
    <n v="0.20300000000000001"/>
    <n v="0.14499999999999999"/>
    <n v="9.6000000000000002E-2"/>
    <n v="0.13700000000000001"/>
    <n v="0.153"/>
    <n v="0.14399999999999999"/>
    <n v="0.14000000000000001"/>
    <n v="0.13800000000000001"/>
    <n v="0.128"/>
    <n v="0.13200000000000001"/>
    <m/>
    <m/>
    <m/>
    <m/>
    <m/>
    <m/>
    <m/>
    <m/>
    <m/>
    <m/>
    <m/>
    <m/>
    <m/>
    <m/>
    <m/>
    <m/>
    <m/>
    <m/>
    <m/>
    <m/>
    <n v="5.6000000000000001E-2"/>
    <n v="6.5000000000000002E-2"/>
    <n v="0.09"/>
    <n v="7.1999999999999995E-2"/>
    <n v="7.3999999999999996E-2"/>
    <n v="7.0999999999999994E-2"/>
    <n v="4.9000000000000002E-2"/>
    <n v="8.2000000000000003E-2"/>
    <n v="5.6000000000000001E-2"/>
    <n v="6.6000000000000003E-2"/>
    <n v="7.6999999999999999E-2"/>
    <n v="5.7000000000000002E-2"/>
    <n v="6.7000000000000004E-2"/>
    <n v="0.11799999999999999"/>
    <n v="6.5000000000000002E-2"/>
    <n v="8.8999999999999996E-2"/>
    <n v="7.9000000000000001E-2"/>
    <n v="8.1000000000000003E-2"/>
    <n v="0.08"/>
    <n v="6.7000000000000004E-2"/>
    <n v="2.0535095099999998E-2"/>
    <n v="302.51680322893958"/>
    <n v="8.5612799999999992E-3"/>
    <n v="1.25229E-2"/>
    <n v="3.49596E-2"/>
    <n v="1.6039296000000001E-2"/>
    <n v="2.5200552000000001E-2"/>
    <n v="1.9528833999999998E-2"/>
    <n v="8.3026579999999992E-3"/>
    <n v="2.8146663999999998E-2"/>
    <n v="1.0192E-2"/>
    <n v="1.3477464E-2"/>
    <n v="3.1293262000000002E-2"/>
    <n v="1.2248729999999999E-2"/>
    <n v="1.1204544E-2"/>
    <n v="4.9597288000000003E-2"/>
    <n v="1.680705E-2"/>
    <n v="2.9656223999999998E-2"/>
    <n v="2.271724E-2"/>
    <n v="2.3540868E-2"/>
    <n v="2.1299200000000001E-2"/>
    <n v="1.5406248000000001E-2"/>
    <m/>
  </r>
  <r>
    <x v="20"/>
    <s v="GASSTYL"/>
    <s v="ROT"/>
    <n v="-1"/>
    <n v="-1"/>
    <n v="-1"/>
    <n v="-1"/>
    <n v="-1"/>
    <n v="-1"/>
    <n v="-1"/>
    <n v="-1"/>
    <n v="-1"/>
    <n v="5200"/>
    <n v="2104.5281731158302"/>
    <n v="5"/>
    <n v="0"/>
    <n v="5"/>
    <n v="0.109"/>
    <n v="8.3000000000000004E-2"/>
    <n v="9.6000000000000002E-2"/>
    <n v="8.8999999999999996E-2"/>
    <n v="0.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752260000000001E-2"/>
    <n v="41.569187652708891"/>
    <n v="2.5900579999999999E-2"/>
    <n v="1.143574E-2"/>
    <n v="1.7694720000000001E-2"/>
    <n v="1.409938E-2"/>
    <n v="2.9630879999999998E-2"/>
    <m/>
    <m/>
    <m/>
    <m/>
    <m/>
    <m/>
    <m/>
    <m/>
    <m/>
    <m/>
    <m/>
    <m/>
    <m/>
    <m/>
    <m/>
    <m/>
  </r>
  <r>
    <x v="20"/>
    <s v="KELLONG"/>
    <s v="ROT"/>
    <n v="-1"/>
    <n v="-1"/>
    <n v="-1"/>
    <n v="-1"/>
    <n v="-1"/>
    <n v="-1"/>
    <n v="-1"/>
    <n v="-1"/>
    <n v="-1"/>
    <n v="49920"/>
    <n v="20203.470461911998"/>
    <n v="22"/>
    <n v="26"/>
    <n v="48"/>
    <n v="0.159"/>
    <n v="0.17499999999999999"/>
    <n v="0.16200000000000001"/>
    <n v="0.16700000000000001"/>
    <n v="0.182"/>
    <n v="0.16400000000000001"/>
    <n v="0.14000000000000001"/>
    <n v="0.17100000000000001"/>
    <n v="0.14299999999999999"/>
    <n v="0.151"/>
    <n v="0.13500000000000001"/>
    <n v="0.14499999999999999"/>
    <n v="0.16700000000000001"/>
    <n v="0.156"/>
    <n v="0.18"/>
    <n v="0.152"/>
    <n v="0.151"/>
    <n v="0.14699999999999999"/>
    <n v="0.153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886867593999997E-2"/>
    <n v="240.15597832003789"/>
    <n v="1.2239922554999999E-2"/>
    <n v="1.6319296875E-2"/>
    <n v="1.2945902759999999E-2"/>
    <n v="1.4181974835E-2"/>
    <n v="1.8356989559999998E-2"/>
    <n v="1.343132448E-2"/>
    <n v="8.3554800000000002E-3"/>
    <n v="1.5225642495E-2"/>
    <n v="8.9042103149999993E-3"/>
    <n v="1.0483785795000001E-2"/>
    <n v="7.4918418750000004E-3"/>
    <n v="9.2830631249999993E-3"/>
    <n v="1.4181974835E-2"/>
    <n v="1.156008672E-2"/>
    <n v="1.775844E-2"/>
    <n v="1.069345536E-2"/>
    <n v="1.0483785795000001E-2"/>
    <n v="9.6725125350000003E-3"/>
    <n v="1.0905901964999999E-2"/>
    <n v="5.2617599999999999E-3"/>
    <m/>
  </r>
  <r>
    <x v="20"/>
    <s v="KERCOCH"/>
    <s v="ROT"/>
    <n v="-1"/>
    <n v="-1"/>
    <n v="-1"/>
    <n v="-1"/>
    <n v="-1"/>
    <n v="-1"/>
    <n v="-1"/>
    <n v="-1"/>
    <n v="-1"/>
    <n v="100880"/>
    <n v="40827.8465584472"/>
    <n v="46"/>
    <n v="51"/>
    <n v="97"/>
    <n v="0.107"/>
    <n v="0.10199999999999999"/>
    <n v="0.114"/>
    <n v="9.9000000000000005E-2"/>
    <n v="0.09"/>
    <n v="9.9000000000000005E-2"/>
    <n v="9.2999999999999999E-2"/>
    <n v="9.6000000000000002E-2"/>
    <n v="0.13"/>
    <n v="9.7000000000000003E-2"/>
    <n v="0.104"/>
    <n v="8.7999999999999995E-2"/>
    <n v="8.6999999999999994E-2"/>
    <n v="9.8000000000000004E-2"/>
    <n v="0.157"/>
    <n v="0.121"/>
    <n v="9.0999999999999998E-2"/>
    <n v="0.122"/>
    <n v="0.112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829778000000002E-3"/>
    <n v="101.37463662643081"/>
    <n v="2.4500860000000002E-3"/>
    <n v="2.1224159999999998E-3"/>
    <n v="2.963088E-3"/>
    <n v="1.940598E-3"/>
    <n v="1.4580000000000001E-3"/>
    <n v="1.940598E-3"/>
    <n v="1.608714E-3"/>
    <n v="1.769472E-3"/>
    <n v="4.3940000000000003E-3"/>
    <n v="1.825346E-3"/>
    <n v="2.2497279999999999E-3"/>
    <n v="1.362944E-3"/>
    <n v="1.3170059999999999E-3"/>
    <n v="1.882384E-3"/>
    <n v="7.7397860000000002E-3"/>
    <n v="3.5431220000000001E-3"/>
    <n v="1.5071419999999999E-3"/>
    <n v="3.6316959999999998E-3"/>
    <n v="2.8098559999999999E-3"/>
    <n v="1.1435740000000001E-3"/>
    <m/>
  </r>
  <r>
    <x v="20"/>
    <s v="KERCOCHH"/>
    <s v="ROT"/>
    <n v="-1"/>
    <n v="-1"/>
    <n v="-1"/>
    <n v="-1"/>
    <n v="-1"/>
    <n v="-1"/>
    <n v="-1"/>
    <n v="-1"/>
    <n v="-1"/>
    <n v="29120"/>
    <n v="11785.357769448699"/>
    <n v="10"/>
    <n v="18"/>
    <n v="28"/>
    <n v="0.10199999999999999"/>
    <n v="9.7000000000000003E-2"/>
    <n v="0.11799999999999999"/>
    <n v="9.2999999999999999E-2"/>
    <n v="0.115"/>
    <n v="0.11600000000000001"/>
    <n v="0.108"/>
    <n v="0.107"/>
    <n v="0.11799999999999999"/>
    <n v="0.104"/>
    <n v="9.8000000000000004E-2"/>
    <n v="9.0999999999999998E-2"/>
    <n v="0.106"/>
    <n v="0.127"/>
    <n v="0.108"/>
    <n v="0.109"/>
    <n v="0.106"/>
    <n v="0.11"/>
    <n v="0.114"/>
    <n v="0.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39171000000002E-3"/>
    <n v="29.980973159318406"/>
    <n v="2.1224159999999998E-3"/>
    <n v="1.825346E-3"/>
    <n v="3.286064E-3"/>
    <n v="1.608714E-3"/>
    <n v="3.0417500000000002E-3"/>
    <n v="3.121792E-3"/>
    <n v="2.5194240000000001E-3"/>
    <n v="2.4500860000000002E-3"/>
    <n v="3.286064E-3"/>
    <n v="2.2497279999999999E-3"/>
    <n v="1.882384E-3"/>
    <n v="1.5071419999999999E-3"/>
    <n v="2.3820320000000001E-3"/>
    <n v="4.0967659999999999E-3"/>
    <n v="2.5194240000000001E-3"/>
    <n v="2.5900580000000001E-3"/>
    <n v="2.3820320000000001E-3"/>
    <n v="2.6619999999999999E-3"/>
    <n v="2.963088E-3"/>
    <n v="2.3820320000000001E-3"/>
    <m/>
  </r>
  <r>
    <x v="20"/>
    <s v="KERCRAS"/>
    <s v="ROT"/>
    <n v="-1"/>
    <n v="-1"/>
    <n v="-1"/>
    <n v="-1"/>
    <n v="-1"/>
    <n v="-1"/>
    <n v="-1"/>
    <n v="-1"/>
    <n v="-1"/>
    <n v="20800"/>
    <n v="8418.1126924633299"/>
    <n v="12"/>
    <n v="8"/>
    <n v="20"/>
    <n v="0.112"/>
    <n v="0.123"/>
    <n v="0.126"/>
    <n v="0.111"/>
    <n v="0.11899999999999999"/>
    <n v="0.14099999999999999"/>
    <n v="0.11799999999999999"/>
    <n v="0.14699999999999999"/>
    <n v="0.11600000000000001"/>
    <n v="0.14099999999999999"/>
    <n v="0.15"/>
    <n v="0.122"/>
    <n v="0.10199999999999999"/>
    <n v="0.13900000000000001"/>
    <n v="0.13300000000000001"/>
    <n v="0.113"/>
    <n v="0.11700000000000001"/>
    <n v="0.13200000000000001"/>
    <n v="0.13200000000000001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193736999999998E-3"/>
    <n v="34.677352028969629"/>
    <n v="2.8098559999999999E-3"/>
    <n v="3.721734E-3"/>
    <n v="4.0007519999999998E-3"/>
    <n v="2.735262E-3"/>
    <n v="3.3703180000000002E-3"/>
    <n v="5.6064419999999997E-3"/>
    <n v="3.286064E-3"/>
    <n v="6.3530460000000002E-3"/>
    <n v="3.121792E-3"/>
    <n v="5.6064419999999997E-3"/>
    <n v="6.7499999999999999E-3"/>
    <n v="3.6316959999999998E-3"/>
    <n v="2.1224159999999998E-3"/>
    <n v="5.3712380000000004E-3"/>
    <n v="4.7052739999999997E-3"/>
    <n v="2.8857940000000001E-3"/>
    <n v="3.203226E-3"/>
    <n v="4.5999359999999998E-3"/>
    <n v="4.5999359999999998E-3"/>
    <n v="3.90625E-3"/>
    <m/>
  </r>
  <r>
    <x v="20"/>
    <s v="KEREARL"/>
    <s v="ROT"/>
    <n v="-1"/>
    <n v="-1"/>
    <n v="-1"/>
    <n v="-1"/>
    <n v="-1"/>
    <n v="-1"/>
    <n v="-1"/>
    <n v="-1"/>
    <n v="-1"/>
    <n v="9360"/>
    <n v="3788.1507116084999"/>
    <n v="0"/>
    <n v="9"/>
    <n v="9"/>
    <n v="0.104"/>
    <n v="8.7999999999999995E-2"/>
    <n v="9.4E-2"/>
    <n v="8.5999999999999993E-2"/>
    <n v="7.6999999999999999E-2"/>
    <n v="0.11899999999999999"/>
    <n v="0.10299999999999999"/>
    <n v="0.123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064795555555555E-3"/>
    <n v="8.3584770985273842"/>
    <n v="2.2497279999999999E-3"/>
    <n v="1.362944E-3"/>
    <n v="1.661168E-3"/>
    <n v="1.2721119999999999E-3"/>
    <n v="9.1306600000000003E-4"/>
    <n v="3.3703180000000002E-3"/>
    <n v="2.1854539999999999E-3"/>
    <n v="3.721734E-3"/>
    <n v="3.121792E-3"/>
    <m/>
    <m/>
    <m/>
    <m/>
    <m/>
    <m/>
    <m/>
    <m/>
    <m/>
    <m/>
    <m/>
    <m/>
  </r>
  <r>
    <x v="20"/>
    <s v="PLOLENT"/>
    <s v="ROT"/>
    <n v="-1"/>
    <n v="-1"/>
    <n v="-1"/>
    <n v="-1"/>
    <n v="-1"/>
    <n v="-1"/>
    <n v="-1"/>
    <n v="-1"/>
    <n v="-1"/>
    <n v="2080"/>
    <n v="841.81126924633304"/>
    <n v="0"/>
    <n v="2"/>
    <n v="2"/>
    <n v="0.13700000000000001"/>
    <n v="0.13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34044999999999E-2"/>
    <n v="21.410665703518351"/>
    <n v="2.5713529999999998E-2"/>
    <n v="2.5154559999999999E-2"/>
    <m/>
    <m/>
    <m/>
    <m/>
    <m/>
    <m/>
    <m/>
    <m/>
    <m/>
    <m/>
    <m/>
    <m/>
    <m/>
    <m/>
    <m/>
    <m/>
    <m/>
    <m/>
    <m/>
  </r>
  <r>
    <x v="20"/>
    <s v="PLOTRUN"/>
    <s v="ROT"/>
    <n v="-1"/>
    <n v="-1"/>
    <n v="-1"/>
    <n v="-1"/>
    <n v="-1"/>
    <n v="-1"/>
    <n v="-1"/>
    <n v="-1"/>
    <n v="-1"/>
    <n v="19760"/>
    <n v="7997.2070578401699"/>
    <n v="10"/>
    <n v="9"/>
    <n v="19"/>
    <n v="0.114"/>
    <n v="0.13100000000000001"/>
    <n v="0.108"/>
    <n v="0.126"/>
    <n v="0.13700000000000001"/>
    <n v="0.14000000000000001"/>
    <n v="0.13900000000000001"/>
    <n v="0.13500000000000001"/>
    <n v="0.13300000000000001"/>
    <n v="0.14799999999999999"/>
    <n v="0.14199999999999999"/>
    <n v="0.13800000000000001"/>
    <n v="0.13500000000000001"/>
    <n v="0.154"/>
    <n v="0.14099999999999999"/>
    <n v="0.122"/>
    <n v="0.154"/>
    <n v="0.111"/>
    <n v="0.14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981571052631574E-2"/>
    <n v="199.7827963380409"/>
    <n v="1.4815439999999999E-2"/>
    <n v="2.248091E-2"/>
    <n v="1.259712E-2"/>
    <n v="2.0003759999999999E-2"/>
    <n v="2.5713529999999998E-2"/>
    <n v="2.7439999999999999E-2"/>
    <n v="2.6856189999999999E-2"/>
    <n v="2.4603750000000001E-2"/>
    <n v="2.3526370000000001E-2"/>
    <n v="3.2417920000000003E-2"/>
    <n v="2.8632879999999999E-2"/>
    <n v="2.628072E-2"/>
    <n v="2.4603750000000001E-2"/>
    <n v="3.6522640000000002E-2"/>
    <n v="2.8032209999999998E-2"/>
    <n v="1.8158480000000001E-2"/>
    <n v="3.6522640000000002E-2"/>
    <n v="1.3676310000000001E-2"/>
    <n v="3.1765229999999998E-2"/>
    <m/>
    <m/>
  </r>
  <r>
    <x v="20"/>
    <s v="POLREMA"/>
    <s v="ROT"/>
    <n v="-1"/>
    <n v="-1"/>
    <n v="-1"/>
    <n v="-1"/>
    <n v="-1"/>
    <n v="-1"/>
    <n v="-1"/>
    <n v="-1"/>
    <n v="-1"/>
    <n v="3120"/>
    <n v="1262.7169038694999"/>
    <n v="2"/>
    <n v="1"/>
    <n v="3"/>
    <n v="0.09"/>
    <n v="6.4000000000000001E-2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703074133333334E-2"/>
    <n v="23.616687862484397"/>
    <n v="2.24532E-2"/>
    <n v="8.0740351999999994E-3"/>
    <n v="2.55819872E-2"/>
    <m/>
    <m/>
    <m/>
    <m/>
    <m/>
    <m/>
    <m/>
    <m/>
    <m/>
    <m/>
    <m/>
    <m/>
    <m/>
    <m/>
    <m/>
    <m/>
    <m/>
    <m/>
  </r>
  <r>
    <x v="20"/>
    <s v="POLSP"/>
    <s v="ROT"/>
    <n v="-1"/>
    <n v="-1"/>
    <n v="-1"/>
    <n v="-1"/>
    <n v="-1"/>
    <n v="-1"/>
    <n v="-1"/>
    <n v="-1"/>
    <n v="-1"/>
    <n v="8320"/>
    <n v="3367.2450769853299"/>
    <n v="8"/>
    <n v="0"/>
    <n v="8"/>
    <n v="9.2999999999999999E-2"/>
    <n v="8.5000000000000006E-2"/>
    <n v="0.09"/>
    <n v="8.7999999999999995E-2"/>
    <n v="9.5000000000000001E-2"/>
    <n v="8.5999999999999993E-2"/>
    <n v="0.09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046885E-2"/>
    <n v="80.492944668492825"/>
    <n v="2.47741956E-2"/>
    <n v="1.8915049999999999E-2"/>
    <n v="2.24532E-2"/>
    <n v="2.0989337600000001E-2"/>
    <n v="2.6407150000000001E-2"/>
    <n v="1.9590524799999998E-2"/>
    <n v="2.24532E-2"/>
    <n v="3.5654850000000002E-2"/>
    <m/>
    <m/>
    <m/>
    <m/>
    <m/>
    <m/>
    <m/>
    <m/>
    <m/>
    <m/>
    <m/>
    <m/>
    <m/>
  </r>
  <r>
    <x v="20"/>
    <s v="SYNSP"/>
    <s v="ROT"/>
    <n v="-1"/>
    <n v="-1"/>
    <n v="-1"/>
    <n v="-1"/>
    <n v="-1"/>
    <n v="-1"/>
    <n v="-1"/>
    <n v="-1"/>
    <n v="-1"/>
    <n v="19760"/>
    <n v="7997.2070578401699"/>
    <n v="11"/>
    <n v="8"/>
    <n v="19"/>
    <n v="0.152"/>
    <n v="0.11799999999999999"/>
    <n v="8.4000000000000005E-2"/>
    <n v="0.107"/>
    <n v="0.115"/>
    <n v="0.108"/>
    <n v="0.11700000000000001"/>
    <n v="0.104"/>
    <n v="8.5000000000000006E-2"/>
    <n v="9.8000000000000004E-2"/>
    <n v="0.106"/>
    <n v="0.121"/>
    <n v="8.6999999999999994E-2"/>
    <n v="0.191"/>
    <n v="9.6000000000000002E-2"/>
    <n v="0.09"/>
    <n v="0.10199999999999999"/>
    <n v="0.17799999999999999"/>
    <n v="9.1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745948947368424E-2"/>
    <n v="141.91802816996611"/>
    <n v="3.5118080000000003E-2"/>
    <n v="1.6430320000000002E-2"/>
    <n v="5.9270399999999997E-3"/>
    <n v="1.225043E-2"/>
    <n v="1.520875E-2"/>
    <n v="1.259712E-2"/>
    <n v="1.601613E-2"/>
    <n v="1.1248640000000001E-2"/>
    <n v="6.14125E-3"/>
    <n v="9.4119200000000007E-3"/>
    <n v="1.1910159999999999E-2"/>
    <n v="1.771561E-2"/>
    <n v="6.5850300000000004E-3"/>
    <n v="6.9678710000000005E-2"/>
    <n v="8.8473600000000003E-3"/>
    <n v="7.2899999999999996E-3"/>
    <n v="1.0612079999999999E-2"/>
    <n v="5.639752E-2"/>
    <n v="7.7868800000000004E-3"/>
    <m/>
    <m/>
  </r>
  <r>
    <x v="20"/>
    <s v="TRIMULT"/>
    <s v="ROT"/>
    <n v="-1"/>
    <n v="-1"/>
    <n v="-1"/>
    <n v="-1"/>
    <n v="-1"/>
    <n v="-1"/>
    <n v="-1"/>
    <n v="-1"/>
    <n v="-1"/>
    <n v="1040"/>
    <n v="420.90563462316697"/>
    <n v="0"/>
    <n v="1"/>
    <n v="1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068965517241397E-2"/>
    <m/>
    <m/>
    <m/>
    <m/>
    <m/>
    <m/>
    <m/>
    <m/>
    <m/>
    <m/>
    <m/>
    <m/>
    <m/>
    <m/>
    <m/>
    <m/>
    <m/>
    <m/>
    <m/>
    <n v="2.1415892117954801E-2"/>
    <n v="9.0140696629290442"/>
    <n v="2.1415892117954801E-2"/>
    <m/>
    <m/>
    <m/>
    <m/>
    <m/>
    <m/>
    <m/>
    <m/>
    <m/>
    <m/>
    <m/>
    <m/>
    <m/>
    <m/>
    <m/>
    <m/>
    <m/>
    <m/>
    <m/>
    <m/>
  </r>
  <r>
    <x v="21"/>
    <s v="BOSLONG"/>
    <s v="CLA"/>
    <n v="-1"/>
    <n v="94"/>
    <n v="-1"/>
    <n v="-1"/>
    <n v="-1"/>
    <n v="-1"/>
    <n v="-1"/>
    <n v="-1"/>
    <n v="-1"/>
    <n v="3008"/>
    <n v="1598.9581674410299"/>
    <n v="-1"/>
    <n v="-1"/>
    <n v="-1"/>
    <n v="0.38400000000000001"/>
    <n v="0.38"/>
    <n v="0.36499999999999999"/>
    <n v="0.34699999999999998"/>
    <n v="0.27700000000000002"/>
    <n v="0.40600000000000003"/>
    <n v="0.25700000000000001"/>
    <n v="0.43099999999999999"/>
    <n v="0.38900000000000001"/>
    <n v="0.33600000000000002"/>
    <n v="0.33500000000000002"/>
    <n v="0.216"/>
    <n v="0.26300000000000001"/>
    <n v="0.27600000000000002"/>
    <n v="0.42399999999999999"/>
    <n v="0.30099999999999999"/>
    <n v="0.23"/>
    <n v="0.27600000000000002"/>
    <n v="0.29599999999999999"/>
    <n v="0.237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92063424082422285"/>
    <n v="1472.0556385917632"/>
    <n v="1.33710228989757"/>
    <n v="1.3021443604449601"/>
    <n v="1.17600070473287"/>
    <n v="1.03476136761283"/>
    <n v="0.58516784102181196"/>
    <n v="1.5394922249059899"/>
    <n v="0.48410262431156198"/>
    <n v="1.7907465718366999"/>
    <n v="1.3815898254923"/>
    <n v="0.95377296206094597"/>
    <n v="0.94660762129906295"/>
    <n v="0.31187073610299199"/>
    <n v="0.51320949009263905"/>
    <n v="0.57983791838228904"/>
    <n v="1.7180755289774701"/>
    <n v="0.72207094293031304"/>
    <n v="0.36557632273868002"/>
    <n v="0.57983791838228904"/>
    <n v="0.69210926641548298"/>
    <n v="0.39860829884570198"/>
    <m/>
  </r>
  <r>
    <x v="21"/>
    <s v="BYTLONG"/>
    <s v="CLA"/>
    <n v="1"/>
    <n v="-1"/>
    <n v="-1"/>
    <n v="-1"/>
    <n v="-1"/>
    <n v="-1"/>
    <n v="-1"/>
    <n v="-1"/>
    <n v="-1"/>
    <n v="1"/>
    <n v="0.53156853970778795"/>
    <n v="-1"/>
    <n v="-1"/>
    <n v="-1"/>
    <n v="1.97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.050110863607202"/>
    <n v="37.236435138136329"/>
    <n v="70.050110863607202"/>
    <m/>
    <m/>
    <m/>
    <m/>
    <m/>
    <m/>
    <m/>
    <m/>
    <m/>
    <m/>
    <m/>
    <m/>
    <m/>
    <m/>
    <m/>
    <m/>
    <m/>
    <m/>
    <m/>
    <m/>
  </r>
  <r>
    <x v="21"/>
    <s v="CECPENG"/>
    <s v="CLA"/>
    <n v="165"/>
    <n v="-1"/>
    <n v="-1"/>
    <n v="-1"/>
    <n v="-1"/>
    <n v="-1"/>
    <n v="-1"/>
    <n v="-1"/>
    <n v="-1"/>
    <n v="165"/>
    <n v="87.708809051784996"/>
    <n v="-1"/>
    <n v="-1"/>
    <n v="-1"/>
    <n v="0.97"/>
    <n v="1.2529999999999999"/>
    <n v="1.2270000000000001"/>
    <n v="0.97399999999999998"/>
    <n v="1.379"/>
    <n v="1.466"/>
    <n v="0.499"/>
    <n v="0.93899999999999995"/>
    <n v="0.98399999999999999"/>
    <n v="0.72899999999999998"/>
    <n v="1.264"/>
    <n v="1.3520000000000001"/>
    <n v="1.274"/>
    <n v="1.1519999999999999"/>
    <n v="1.319"/>
    <n v="0.98799999999999999"/>
    <n v="1.2330000000000001"/>
    <n v="1.177"/>
    <n v="0.80500000000000005"/>
    <n v="1.13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4803311648951794"/>
    <n v="217.54689252698273"/>
    <n v="1.48770038459208"/>
    <n v="3.1902880617967901"/>
    <n v="2.9970397570787499"/>
    <n v="1.50605696418739"/>
    <n v="4.24460440435998"/>
    <n v="5.0934839110652597"/>
    <n v="0.20524629827211999"/>
    <n v="1.35045206137355"/>
    <n v="1.55260542923356"/>
    <n v="0.63513163015991103"/>
    <n v="3.2744773260767799"/>
    <n v="4.0017158566753501"/>
    <n v="3.35228244366595"/>
    <n v="2.4834996026657499"/>
    <n v="3.7176217292206202"/>
    <n v="1.5714892048793101"/>
    <n v="3.04092476466802"/>
    <n v="2.6475828939281398"/>
    <n v="0.85350767478177803"/>
    <n v="2.4009128992225"/>
    <m/>
  </r>
  <r>
    <x v="21"/>
    <s v="DAPGALEM"/>
    <s v="CLA"/>
    <n v="-1"/>
    <n v="20"/>
    <n v="-1"/>
    <n v="-1"/>
    <n v="-1"/>
    <n v="-1"/>
    <n v="-1"/>
    <n v="-1"/>
    <n v="-1"/>
    <n v="640"/>
    <n v="340.20386541298399"/>
    <n v="-1"/>
    <n v="-1"/>
    <n v="-1"/>
    <n v="0.622"/>
    <n v="0.73099999999999998"/>
    <n v="0.59199999999999997"/>
    <n v="0.72699999999999998"/>
    <n v="0.874"/>
    <n v="0.89900000000000002"/>
    <n v="0.40500000000000003"/>
    <n v="0.84299999999999997"/>
    <n v="0.93200000000000005"/>
    <n v="0.82399999999999995"/>
    <n v="0.88800000000000001"/>
    <n v="0.77300000000000002"/>
    <n v="1.0760000000000001"/>
    <n v="0.49299999999999999"/>
    <n v="0.82699999999999996"/>
    <n v="0.86799999999999999"/>
    <n v="0.79200000000000004"/>
    <n v="0.41299999999999998"/>
    <n v="0.60899999999999999"/>
    <n v="0.886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268476683632146"/>
    <n v="859.64334408695152"/>
    <n v="1.2898486308599399"/>
    <n v="2.0403252539951202"/>
    <n v="1.1209021484494699"/>
    <n v="2.0087772505184098"/>
    <n v="3.38896062658115"/>
    <n v="3.6715680250095102"/>
    <n v="0.381369818757816"/>
    <n v="3.0586118474614601"/>
    <n v="4.0673846525694302"/>
    <n v="2.86686561462442"/>
    <n v="3.5454133633147702"/>
    <n v="2.3911334626566698"/>
    <n v="6.1167524566253997"/>
    <n v="0.66659078437234298"/>
    <n v="2.8966078387124599"/>
    <n v="3.3233040283772901"/>
    <n v="2.5618492485903599"/>
    <n v="0.40315514001432001"/>
    <n v="1.21475072117659"/>
    <n v="3.5227824545973601"/>
    <m/>
  </r>
  <r>
    <x v="21"/>
    <s v="DIPBIRG"/>
    <s v="CLA"/>
    <n v="-1"/>
    <n v="0"/>
    <n v="-1"/>
    <n v="-1"/>
    <n v="-1"/>
    <n v="1"/>
    <n v="-1"/>
    <n v="-1"/>
    <n v="-1"/>
    <n v="10.6666666666667"/>
    <n v="5.6700644235497402"/>
    <n v="-1"/>
    <n v="-1"/>
    <n v="-1"/>
    <n v="0.511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7141687387345099"/>
    <n v="2.6729640452108896"/>
    <n v="0.47141687387345099"/>
    <m/>
    <m/>
    <m/>
    <m/>
    <m/>
    <m/>
    <m/>
    <m/>
    <m/>
    <m/>
    <m/>
    <m/>
    <m/>
    <m/>
    <m/>
    <m/>
    <m/>
    <m/>
    <m/>
    <m/>
  </r>
  <r>
    <x v="21"/>
    <s v="EUBCORE"/>
    <s v="CLA"/>
    <n v="-1"/>
    <n v="5"/>
    <n v="-1"/>
    <n v="-1"/>
    <n v="-1"/>
    <n v="8"/>
    <n v="-1"/>
    <n v="-1"/>
    <n v="-1"/>
    <n v="138.666666666667"/>
    <n v="73.710837506146603"/>
    <n v="-1"/>
    <n v="-1"/>
    <n v="-1"/>
    <n v="0.35199999999999998"/>
    <n v="0.379"/>
    <n v="0.33700000000000002"/>
    <n v="0.47299999999999998"/>
    <n v="0.4"/>
    <n v="0.33500000000000002"/>
    <n v="0.42899999999999999"/>
    <n v="0.35"/>
    <n v="0.35299999999999998"/>
    <n v="0.44400000000000001"/>
    <n v="0.628"/>
    <n v="0.29599999999999999"/>
    <n v="0.311"/>
    <m/>
    <m/>
    <m/>
    <m/>
    <m/>
    <m/>
    <m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n v="1.5368142788840173"/>
    <n v="113.27986758794567"/>
    <n v="1.0729008108743201"/>
    <n v="1.29349226539731"/>
    <n v="0.96097100512477096"/>
    <n v="2.2657152144497799"/>
    <n v="1.4825809414743101"/>
    <n v="0.94660762129906295"/>
    <n v="1.7697975279662601"/>
    <n v="1.0575448316324201"/>
    <n v="1.0806290531737199"/>
    <n v="1.93056998267832"/>
    <n v="4.6413522888495997"/>
    <n v="0.69210926641548298"/>
    <n v="0.78431481615687204"/>
    <m/>
    <m/>
    <m/>
    <m/>
    <m/>
    <m/>
    <m/>
    <m/>
  </r>
  <r>
    <x v="21"/>
    <s v="HOLGIBB"/>
    <s v="CLA"/>
    <n v="-1"/>
    <n v="72"/>
    <n v="-1"/>
    <n v="-1"/>
    <n v="-1"/>
    <n v="-1"/>
    <n v="-1"/>
    <n v="-1"/>
    <n v="-1"/>
    <n v="2304"/>
    <n v="1224.73391548674"/>
    <n v="-1"/>
    <n v="-1"/>
    <n v="-1"/>
    <n v="0.46800000000000003"/>
    <n v="0.88600000000000001"/>
    <n v="0.85099999999999998"/>
    <n v="0.61899999999999999"/>
    <n v="0.57099999999999995"/>
    <n v="0.68899999999999995"/>
    <n v="0.495"/>
    <n v="0.54"/>
    <n v="0.55400000000000005"/>
    <n v="0.42399999999999999"/>
    <n v="0.32500000000000001"/>
    <n v="0.55400000000000005"/>
    <n v="0.61499999999999999"/>
    <n v="0.58899999999999997"/>
    <n v="0.56399999999999995"/>
    <n v="0.69699999999999995"/>
    <n v="0.54700000000000004"/>
    <n v="0.52500000000000002"/>
    <n v="0.47899999999999998"/>
    <n v="0.39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5874181420088982"/>
    <n v="1944.1648365772437"/>
    <n v="0.705304625931365"/>
    <n v="5.4026400512457204"/>
    <n v="4.7508110469440297"/>
    <n v="1.7210188668781801"/>
    <n v="1.33033692716872"/>
    <n v="2.42220992250386"/>
    <n v="0.84349603525331196"/>
    <n v="1.1133419026011599"/>
    <n v="1.20806029430457"/>
    <n v="0.51474192636973903"/>
    <n v="0.220394312294833"/>
    <n v="1.20806029430457"/>
    <n v="1.68579235620992"/>
    <n v="1.4687918408554901"/>
    <n v="1.27900665047079"/>
    <n v="2.5130725307792301"/>
    <n v="1.16003750880602"/>
    <n v="1.0176551595978101"/>
    <n v="0.75956115947888903"/>
    <n v="0.42402942817975098"/>
    <m/>
  </r>
  <r>
    <x v="21"/>
    <s v="LETKIND"/>
    <s v="CLA"/>
    <n v="-1"/>
    <n v="0"/>
    <n v="-1"/>
    <n v="-1"/>
    <n v="-1"/>
    <n v="3"/>
    <n v="-1"/>
    <n v="7"/>
    <n v="-1"/>
    <n v="45.714285714285701"/>
    <n v="24.300276100927402"/>
    <n v="-1"/>
    <n v="-1"/>
    <n v="-1"/>
    <n v="3.9750000000000001"/>
    <n v="3.5659999999999998"/>
    <n v="3.8"/>
    <n v="1.738"/>
    <n v="3.339"/>
    <n v="3.2690000000000001"/>
    <n v="3.2669999999999999"/>
    <n v="1.298"/>
    <n v="1.6579999999999999"/>
    <n v="1.98"/>
    <m/>
    <m/>
    <m/>
    <m/>
    <m/>
    <m/>
    <m/>
    <m/>
    <m/>
    <m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107870722954129"/>
    <n v="206.81447569298211"/>
    <n v="17.508142832862799"/>
    <n v="13.101894877804099"/>
    <n v="15.5250189460354"/>
    <n v="1.9228385806646899"/>
    <n v="10.9917229862642"/>
    <n v="10.3871827798363"/>
    <n v="10.3702237025089"/>
    <n v="0.88196908978267496"/>
    <n v="1.69551103577486"/>
    <n v="2.7233658914202299"/>
    <m/>
    <m/>
    <m/>
    <m/>
    <m/>
    <m/>
    <m/>
    <m/>
    <m/>
    <m/>
    <m/>
  </r>
  <r>
    <x v="21"/>
    <s v="POYPEDI"/>
    <s v="CLA"/>
    <n v="-1"/>
    <n v="47"/>
    <n v="-1"/>
    <n v="-1"/>
    <n v="-1"/>
    <n v="-1"/>
    <n v="-1"/>
    <n v="-1"/>
    <n v="-1"/>
    <n v="1504"/>
    <n v="799.47908372051302"/>
    <n v="-1"/>
    <n v="-1"/>
    <n v="-1"/>
    <n v="0.46200000000000002"/>
    <n v="0.33400000000000002"/>
    <n v="0.59199999999999997"/>
    <n v="0.60399999999999998"/>
    <n v="0.48599999999999999"/>
    <n v="0.621"/>
    <n v="0.52"/>
    <n v="0.46800000000000003"/>
    <n v="0.69599999999999995"/>
    <n v="0.65600000000000003"/>
    <n v="0.52100000000000002"/>
    <n v="0.46600000000000003"/>
    <n v="0.58799999999999997"/>
    <n v="0.54600000000000004"/>
    <n v="0.42"/>
    <n v="0.42599999999999999"/>
    <n v="0.48799999999999999"/>
    <n v="0.32400000000000001"/>
    <n v="0.40699999999999997"/>
    <n v="0.522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9142739955386938"/>
    <n v="3129.3801873843063"/>
    <n v="3.0611500111974101"/>
    <n v="1.5239098242715301"/>
    <n v="5.2167020716303396"/>
    <n v="5.4467041125443503"/>
    <n v="3.41328336465364"/>
    <n v="5.7816434509614298"/>
    <n v="3.9474037924182199"/>
    <n v="3.14726237106817"/>
    <n v="7.3877846988674296"/>
    <n v="6.5050047776232596"/>
    <n v="3.9637428378579398"/>
    <n v="3.1184162587169699"/>
    <n v="5.1412132278959097"/>
    <n v="4.3839798266067502"/>
    <n v="2.4939649150962202"/>
    <n v="2.5711949313121498"/>
    <n v="3.4435546720916901"/>
    <n v="1.4275000665127699"/>
    <n v="2.3309467112366899"/>
    <n v="3.980117988211"/>
    <m/>
  </r>
  <r>
    <x v="21"/>
    <s v="DIYTHOM"/>
    <s v="COP"/>
    <n v="-1"/>
    <n v="2"/>
    <n v="2"/>
    <n v="-1"/>
    <n v="-1"/>
    <n v="1"/>
    <n v="9"/>
    <n v="-1"/>
    <n v="-1"/>
    <n v="149.333333333333"/>
    <n v="79.380901929696293"/>
    <n v="-1"/>
    <n v="-1"/>
    <n v="-1"/>
    <n v="1.054"/>
    <n v="1.099"/>
    <n v="0.88900000000000001"/>
    <n v="0.85599999999999998"/>
    <n v="0.85299999999999998"/>
    <n v="0.79100000000000004"/>
    <n v="0.77300000000000002"/>
    <n v="0.82599999999999996"/>
    <n v="0.82499999999999996"/>
    <n v="0.83699999999999997"/>
    <n v="0.93500000000000005"/>
    <n v="0.76800000000000002"/>
    <n v="0.874"/>
    <n v="0.83199999999999996"/>
    <m/>
    <m/>
    <m/>
    <m/>
    <m/>
    <m/>
    <s v="F"/>
    <s v="F"/>
    <s v="M"/>
    <s v="M"/>
    <s v="M"/>
    <s v="M"/>
    <s v="M"/>
    <s v="M"/>
    <s v="M"/>
    <s v="M"/>
    <s v="F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n v="3.2873576511449465"/>
    <n v="260.95341531337374"/>
    <n v="6.4804634441976097"/>
    <n v="7.6504975231017696"/>
    <n v="3.2966195591682199"/>
    <n v="2.8369369622679099"/>
    <n v="2.79767005058727"/>
    <n v="2.07343048453611"/>
    <n v="1.89234985312063"/>
    <n v="2.4622924181654402"/>
    <n v="2.4504791728531501"/>
    <n v="2.5950689907210802"/>
    <n v="4.0276426873798901"/>
    <n v="1.8442206623744499"/>
    <n v="3.0812662535889501"/>
    <n v="2.5340690539667698"/>
    <m/>
    <m/>
    <m/>
    <m/>
    <m/>
    <m/>
    <m/>
  </r>
  <r>
    <x v="21"/>
    <s v="HARSP"/>
    <s v="COP"/>
    <n v="-1"/>
    <n v="2"/>
    <n v="0"/>
    <n v="-1"/>
    <n v="-1"/>
    <n v="2"/>
    <n v="0"/>
    <n v="-1"/>
    <n v="-1"/>
    <n v="42.6666666666667"/>
    <n v="22.6802576941989"/>
    <n v="-1"/>
    <n v="-1"/>
    <n v="-1"/>
    <n v="0.48099999999999998"/>
    <n v="0.58699999999999997"/>
    <n v="0.59299999999999997"/>
    <n v="0.6089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48718971204397"/>
    <n v="26.053242285130771"/>
    <n v="0.73668864187058802"/>
    <n v="1.23395950733425"/>
    <n v="1.2668928410400799"/>
    <n v="1.35733489457267"/>
    <m/>
    <m/>
    <m/>
    <m/>
    <m/>
    <m/>
    <m/>
    <m/>
    <m/>
    <m/>
    <m/>
    <m/>
    <m/>
    <m/>
    <m/>
    <m/>
    <m/>
  </r>
  <r>
    <x v="21"/>
    <s v="LEOMINU"/>
    <s v="COP"/>
    <n v="-1"/>
    <n v="2"/>
    <n v="1"/>
    <n v="-1"/>
    <n v="-1"/>
    <n v="5"/>
    <n v="2"/>
    <n v="-1"/>
    <n v="-1"/>
    <n v="106.666666666667"/>
    <n v="56.7006442354974"/>
    <n v="-1"/>
    <n v="-1"/>
    <n v="-1"/>
    <n v="0.96199999999999997"/>
    <n v="0.88600000000000001"/>
    <n v="0.94099999999999995"/>
    <n v="1.0089999999999999"/>
    <n v="1.018"/>
    <n v="1.59"/>
    <n v="0.85699999999999998"/>
    <n v="0.873"/>
    <n v="0.91200000000000003"/>
    <n v="0.93600000000000005"/>
    <m/>
    <m/>
    <m/>
    <m/>
    <m/>
    <m/>
    <m/>
    <m/>
    <m/>
    <m/>
    <s v="F"/>
    <s v="U"/>
    <s v="M"/>
    <s v="F"/>
    <s v="U"/>
    <s v="U"/>
    <s v="M"/>
    <s v="U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394104401772022"/>
    <n v="302.7480117957881"/>
    <n v="4.4355927281215202"/>
    <n v="3.5841119458046902"/>
    <n v="4.1891445941979901"/>
    <n v="5.0188746243326703"/>
    <n v="5.1356447118456696"/>
    <n v="16.298467777945"/>
    <n v="3.2881267857863699"/>
    <n v="3.4494918041937002"/>
    <n v="3.86291238060014"/>
    <n v="4.1317370489442702"/>
    <m/>
    <m/>
    <m/>
    <m/>
    <m/>
    <m/>
    <m/>
    <m/>
    <m/>
    <m/>
    <m/>
  </r>
  <r>
    <x v="21"/>
    <s v="SKIOREG"/>
    <s v="COP"/>
    <n v="-1"/>
    <n v="3"/>
    <n v="0"/>
    <n v="-1"/>
    <n v="-1"/>
    <n v="1"/>
    <n v="0"/>
    <n v="-1"/>
    <n v="-1"/>
    <n v="42.6666666666667"/>
    <n v="22.6802576941989"/>
    <n v="-1"/>
    <n v="-1"/>
    <n v="-1"/>
    <n v="1.1759999999999999"/>
    <n v="1.0569999999999999"/>
    <n v="1.1599999999999999"/>
    <n v="1.1859999999999999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8840977594128"/>
    <n v="158.49893459100701"/>
    <n v="7.4624801604122801"/>
    <n v="5.6608603776044504"/>
    <n v="7.2023532525725997"/>
    <n v="7.6279453131757897"/>
    <m/>
    <m/>
    <m/>
    <m/>
    <m/>
    <m/>
    <m/>
    <m/>
    <m/>
    <m/>
    <m/>
    <m/>
    <m/>
    <m/>
    <m/>
    <m/>
    <m/>
  </r>
  <r>
    <x v="21"/>
    <s v="SKIREIG"/>
    <s v="COP"/>
    <n v="-1"/>
    <n v="1"/>
    <n v="0"/>
    <n v="-1"/>
    <n v="-1"/>
    <n v="0"/>
    <n v="0"/>
    <n v="-1"/>
    <n v="-1"/>
    <n v="10.6666666666667"/>
    <n v="5.6700644235497402"/>
    <n v="-1"/>
    <n v="-1"/>
    <n v="-1"/>
    <n v="1.07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429505449105203"/>
    <n v="33.12990601325771"/>
    <n v="5.8429505449105203"/>
    <m/>
    <m/>
    <m/>
    <m/>
    <m/>
    <m/>
    <m/>
    <m/>
    <m/>
    <m/>
    <m/>
    <m/>
    <m/>
    <m/>
    <m/>
    <m/>
    <m/>
    <m/>
    <m/>
    <m/>
  </r>
  <r>
    <x v="21"/>
    <s v="CYCCOPE"/>
    <s v="IMM"/>
    <n v="-1"/>
    <n v="10"/>
    <n v="-1"/>
    <n v="-1"/>
    <n v="-1"/>
    <n v="22"/>
    <n v="-1"/>
    <n v="-1"/>
    <n v="-1"/>
    <n v="341.33333333333297"/>
    <n v="181.442061553592"/>
    <n v="-1"/>
    <n v="-1"/>
    <n v="-1"/>
    <n v="0.89600000000000002"/>
    <n v="0.55500000000000005"/>
    <n v="0.56100000000000005"/>
    <n v="0.39300000000000002"/>
    <n v="0.64100000000000001"/>
    <n v="0.38200000000000001"/>
    <n v="0.70199999999999996"/>
    <n v="0.41299999999999998"/>
    <n v="0.46800000000000003"/>
    <n v="0.36399999999999999"/>
    <n v="0.44600000000000001"/>
    <n v="0.45900000000000002"/>
    <n v="0.35899999999999999"/>
    <n v="0.41799999999999998"/>
    <n v="0.314"/>
    <n v="0.86699999999999999"/>
    <n v="0.51600000000000001"/>
    <n v="0.71499999999999997"/>
    <n v="0.51600000000000001"/>
    <n v="0.284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6568845445389746"/>
    <n v="120.78388552853959"/>
    <n v="3.4008825856522802"/>
    <n v="0.50789271432284999"/>
    <n v="0.53004336096870697"/>
    <n v="0.12902303838451501"/>
    <n v="0.89981912004527898"/>
    <n v="0.115271087575072"/>
    <n v="1.29088387274873"/>
    <n v="0.15712690099898699"/>
    <n v="0.25811002724854298"/>
    <n v="9.5170276931461406E-2"/>
    <n v="0.213200504996995"/>
    <n v="0.23895999556862099"/>
    <n v="9.0085273377207398E-2"/>
    <n v="0.164815737679887"/>
    <n v="5.2934588679892799E-2"/>
    <n v="2.9844524024785399"/>
    <n v="0.38031911643132399"/>
    <n v="1.3884294787254301"/>
    <n v="0.38031911643132399"/>
    <n v="3.6029889832303701E-2"/>
    <m/>
  </r>
  <r>
    <x v="21"/>
    <s v="DIACOPE"/>
    <s v="IMM"/>
    <n v="-1"/>
    <n v="1"/>
    <n v="-1"/>
    <n v="-1"/>
    <n v="-1"/>
    <n v="7"/>
    <n v="-1"/>
    <n v="-1"/>
    <n v="-1"/>
    <n v="85.3333333333333"/>
    <n v="45.3605153883979"/>
    <n v="-1"/>
    <n v="-1"/>
    <n v="-1"/>
    <n v="0.748"/>
    <n v="0.97899999999999998"/>
    <n v="0.82099999999999995"/>
    <n v="0.92900000000000005"/>
    <n v="0.58799999999999997"/>
    <n v="0.93"/>
    <n v="0.46400000000000002"/>
    <n v="0.93799999999999994"/>
    <m/>
    <m/>
    <m/>
    <m/>
    <m/>
    <m/>
    <m/>
    <m/>
    <m/>
    <m/>
    <m/>
    <m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095337103059161"/>
    <n v="136.51400017823374"/>
    <n v="2.31171006928958"/>
    <n v="4.6414683995336796"/>
    <n v="2.94223260000398"/>
    <n v="4.0521818358685904"/>
    <n v="1.23941144088956"/>
    <n v="4.0634887617831703"/>
    <n v="0.671134857517246"/>
    <n v="4.1546417175615202"/>
    <m/>
    <m/>
    <m/>
    <m/>
    <m/>
    <m/>
    <m/>
    <m/>
    <m/>
    <m/>
    <m/>
    <m/>
    <m/>
  </r>
  <r>
    <x v="21"/>
    <s v="EPICOPE"/>
    <s v="IMM"/>
    <n v="-1"/>
    <n v="1"/>
    <n v="-1"/>
    <n v="-1"/>
    <n v="-1"/>
    <n v="0"/>
    <n v="-1"/>
    <n v="-1"/>
    <n v="-1"/>
    <n v="10.6666666666667"/>
    <n v="5.6700644235497402"/>
    <n v="-1"/>
    <n v="-1"/>
    <n v="-1"/>
    <n v="0.93799999999999994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546417175615202"/>
    <n v="23.557086195341164"/>
    <n v="4.1546417175615202"/>
    <m/>
    <m/>
    <m/>
    <m/>
    <m/>
    <m/>
    <m/>
    <m/>
    <m/>
    <m/>
    <m/>
    <m/>
    <m/>
    <m/>
    <m/>
    <m/>
    <m/>
    <m/>
    <m/>
    <m/>
  </r>
  <r>
    <x v="21"/>
    <s v="HARCOPE"/>
    <s v="IMM"/>
    <n v="-1"/>
    <n v="2"/>
    <n v="-1"/>
    <n v="-1"/>
    <n v="-1"/>
    <n v="2"/>
    <n v="-1"/>
    <n v="-1"/>
    <n v="-1"/>
    <n v="42.6666666666667"/>
    <n v="22.6802576941989"/>
    <n v="-1"/>
    <n v="-1"/>
    <n v="-1"/>
    <n v="0.315"/>
    <n v="0.23400000000000001"/>
    <n v="0.35099999999999998"/>
    <n v="0.23200000000000001"/>
    <m/>
    <m/>
    <m/>
    <m/>
    <m/>
    <m/>
    <m/>
    <m/>
    <m/>
    <m/>
    <m/>
    <m/>
    <m/>
    <m/>
    <m/>
    <m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93257050934005"/>
    <n v="4.5207583565962173"/>
    <n v="0.246123204282859"/>
    <n v="0.113971771030882"/>
    <n v="0.325741924493755"/>
    <n v="0.11146592056610601"/>
    <m/>
    <m/>
    <m/>
    <m/>
    <m/>
    <m/>
    <m/>
    <m/>
    <m/>
    <m/>
    <m/>
    <m/>
    <m/>
    <m/>
    <m/>
    <m/>
    <m/>
  </r>
  <r>
    <x v="21"/>
    <s v="DREPOLYV"/>
    <s v="MOL"/>
    <n v="-1"/>
    <n v="-1"/>
    <n v="-1"/>
    <n v="-1"/>
    <n v="-1"/>
    <n v="-1"/>
    <n v="-1"/>
    <n v="-1"/>
    <n v="-1"/>
    <n v="15624"/>
    <n v="8305.2268643944808"/>
    <n v="51"/>
    <n v="42"/>
    <n v="93"/>
    <n v="7.9000000000000001E-2"/>
    <n v="0.11600000000000001"/>
    <n v="0.108"/>
    <n v="9.8000000000000004E-2"/>
    <n v="0.107"/>
    <n v="9.4E-2"/>
    <n v="0.114"/>
    <n v="0.1"/>
    <n v="0.124"/>
    <n v="0.107"/>
    <n v="0.123"/>
    <n v="0.114"/>
    <n v="0.157"/>
    <n v="9.7000000000000003E-2"/>
    <n v="0.10100000000000001"/>
    <n v="0.11799999999999999"/>
    <n v="8.7999999999999995E-2"/>
    <n v="9.2999999999999999E-2"/>
    <n v="0.1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119940700552502"/>
    <n v="1421.8499142306912"/>
    <n v="9.962128283722127E-2"/>
    <n v="0.19035215896949942"/>
    <n v="0.16548421702607694"/>
    <n v="0.13891688780903549"/>
    <n v="0.16261343582795867"/>
    <n v="0.12952524767371265"/>
    <n v="0.18380507569726992"/>
    <n v="0.14386506690014328"/>
    <n v="0.21895710101852087"/>
    <n v="0.16261343582795867"/>
    <n v="0.21515868483059278"/>
    <n v="0.18380507569726992"/>
    <n v="0.39008935367479419"/>
    <n v="0.13650699037718286"/>
    <n v="0.14640486397791924"/>
    <n v="0.19713244744137251"/>
    <n v="0.11661475677470312"/>
    <n v="0.12727827420164603"/>
    <n v="0.17137871664747947"/>
    <n v="0.14386506690014328"/>
    <m/>
  </r>
  <r>
    <x v="21"/>
    <s v="COPNAUP"/>
    <s v="NAU"/>
    <n v="-1"/>
    <n v="-1"/>
    <n v="-1"/>
    <n v="-1"/>
    <n v="-1"/>
    <n v="-1"/>
    <n v="-1"/>
    <n v="-1"/>
    <n v="-1"/>
    <n v="1008"/>
    <n v="535.82108802544997"/>
    <n v="4"/>
    <n v="2"/>
    <n v="6"/>
    <n v="0.13500000000000001"/>
    <n v="0.22800000000000001"/>
    <n v="0.14399999999999999"/>
    <n v="0.14499999999999999"/>
    <n v="0.17399999999999999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234171616680416E-2"/>
    <n v="47.813550924699427"/>
    <n v="5.7673746944497048E-2"/>
    <n v="0.2028713671663164"/>
    <n v="6.7335967442926234E-2"/>
    <n v="6.8463694073402304E-2"/>
    <n v="0.10604625083069369"/>
    <n v="3.3014003242246778E-2"/>
    <s v=""/>
    <s v=""/>
    <s v=""/>
    <s v=""/>
    <s v=""/>
    <s v=""/>
    <s v=""/>
    <s v=""/>
    <s v=""/>
    <s v=""/>
    <s v=""/>
    <s v=""/>
    <s v=""/>
    <s v=""/>
    <m/>
  </r>
  <r>
    <x v="21"/>
    <s v="ASCOVAL"/>
    <s v="ROT"/>
    <n v="-1"/>
    <n v="-1"/>
    <n v="-1"/>
    <n v="-1"/>
    <n v="-1"/>
    <n v="-1"/>
    <n v="-1"/>
    <n v="-1"/>
    <n v="-1"/>
    <n v="1344"/>
    <n v="714.42811736726696"/>
    <n v="3"/>
    <n v="5"/>
    <n v="8"/>
    <n v="9.6000000000000002E-2"/>
    <n v="9.7000000000000003E-2"/>
    <n v="9.9000000000000005E-2"/>
    <n v="9.5000000000000001E-2"/>
    <n v="9.5000000000000001E-2"/>
    <n v="0.10299999999999999"/>
    <n v="0.105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85277499999999E-2"/>
    <n v="8.1339623700289039"/>
    <n v="1.0616832E-2"/>
    <n v="1.0952076E-2"/>
    <n v="1.1643588E-2"/>
    <n v="1.0288500000000001E-2"/>
    <n v="1.0288500000000001E-2"/>
    <n v="1.3112723999999999E-2"/>
    <n v="1.3891499999999999E-2"/>
    <n v="1.0288500000000001E-2"/>
    <m/>
    <m/>
    <m/>
    <m/>
    <m/>
    <m/>
    <m/>
    <m/>
    <m/>
    <m/>
    <m/>
    <m/>
    <m/>
  </r>
  <r>
    <x v="21"/>
    <s v="ASPPRIO"/>
    <s v="ROT"/>
    <n v="-1"/>
    <n v="-1"/>
    <n v="-1"/>
    <n v="-1"/>
    <n v="-1"/>
    <n v="-1"/>
    <n v="-1"/>
    <n v="-1"/>
    <n v="-1"/>
    <n v="504"/>
    <n v="267.91054401272498"/>
    <n v="2"/>
    <n v="1"/>
    <n v="3"/>
    <n v="0.71"/>
    <n v="0.64100000000000001"/>
    <n v="0.549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523970613"/>
    <n v="630.23197642681862"/>
    <n v="3.2104616699999999"/>
    <n v="2.3624712473699998"/>
    <n v="1.4842582665299999"/>
    <m/>
    <m/>
    <m/>
    <m/>
    <m/>
    <m/>
    <m/>
    <m/>
    <m/>
    <m/>
    <m/>
    <m/>
    <m/>
    <m/>
    <m/>
    <m/>
    <m/>
    <m/>
  </r>
  <r>
    <x v="21"/>
    <s v="COLSP"/>
    <s v="ROT"/>
    <n v="-1"/>
    <n v="-1"/>
    <n v="-1"/>
    <n v="-1"/>
    <n v="-1"/>
    <n v="-1"/>
    <n v="-1"/>
    <n v="-1"/>
    <n v="-1"/>
    <n v="1344"/>
    <n v="714.42811736726696"/>
    <n v="3"/>
    <n v="5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E-2"/>
    <n v="4.9000000000000002E-2"/>
    <n v="4.1000000000000002E-2"/>
    <n v="5.6000000000000001E-2"/>
    <n v="3.6999999999999998E-2"/>
    <n v="3.9E-2"/>
    <n v="3.5000000000000003E-2"/>
    <n v="3.9E-2"/>
    <m/>
    <m/>
    <m/>
    <m/>
    <m/>
    <m/>
    <m/>
    <m/>
    <m/>
    <m/>
    <m/>
    <m/>
    <n v="1.3593217500000001E-2"/>
    <n v="9.7113767874887884"/>
    <n v="5.3623799999999999E-3"/>
    <n v="2.1176819999999999E-2"/>
    <n v="1.240578E-2"/>
    <n v="3.1610880000000001E-2"/>
    <n v="9.1175400000000004E-3"/>
    <n v="1.067742E-2"/>
    <n v="7.7175000000000004E-3"/>
    <n v="1.067742E-2"/>
    <m/>
    <m/>
    <m/>
    <m/>
    <m/>
    <m/>
    <m/>
    <m/>
    <m/>
    <m/>
    <m/>
    <m/>
    <m/>
  </r>
  <r>
    <x v="21"/>
    <s v="COOUNIC"/>
    <s v="ROT"/>
    <n v="-1"/>
    <n v="-1"/>
    <n v="-1"/>
    <n v="-1"/>
    <n v="-1"/>
    <n v="-1"/>
    <n v="-1"/>
    <n v="-1"/>
    <n v="-1"/>
    <n v="46872"/>
    <n v="24915.680593183399"/>
    <n v="157"/>
    <n v="122"/>
    <n v="279"/>
    <n v="0.193"/>
    <n v="0.185"/>
    <n v="0.182"/>
    <n v="0.151"/>
    <n v="0.14899999999999999"/>
    <n v="0.17799999999999999"/>
    <n v="0.114"/>
    <n v="0.183"/>
    <n v="0.153"/>
    <n v="0.15"/>
    <n v="0.113"/>
    <n v="0.161"/>
    <n v="0.21099999999999999"/>
    <n v="0.16500000000000001"/>
    <n v="0.16800000000000001"/>
    <n v="0.14699999999999999"/>
    <n v="0.16300000000000001"/>
    <n v="0.222"/>
    <n v="0.189"/>
    <n v="0.153"/>
    <m/>
    <m/>
    <m/>
    <m/>
    <m/>
    <m/>
    <m/>
    <m/>
    <m/>
    <m/>
    <m/>
    <m/>
    <m/>
    <m/>
    <m/>
    <m/>
    <m/>
    <m/>
    <m/>
    <m/>
    <n v="7.3999999999999996E-2"/>
    <n v="7.6999999999999999E-2"/>
    <n v="7.2999999999999995E-2"/>
    <n v="6.4000000000000001E-2"/>
    <n v="6.0999999999999999E-2"/>
    <n v="7.2999999999999995E-2"/>
    <n v="5.6000000000000001E-2"/>
    <n v="5.8000000000000003E-2"/>
    <n v="6.5000000000000002E-2"/>
    <n v="5.0999999999999997E-2"/>
    <n v="7.0000000000000007E-2"/>
    <n v="8.4000000000000005E-2"/>
    <n v="6.4000000000000001E-2"/>
    <n v="6.8000000000000005E-2"/>
    <n v="6.6000000000000003E-2"/>
    <n v="5.5E-2"/>
    <n v="6.9000000000000006E-2"/>
    <n v="7.2999999999999995E-2"/>
    <n v="7.9000000000000001E-2"/>
    <n v="5.3999999999999999E-2"/>
    <n v="1.99328766E-2"/>
    <n v="496.6411866689395"/>
    <n v="2.7478567999999998E-2"/>
    <n v="2.8518490000000001E-2"/>
    <n v="2.5216828E-2"/>
    <n v="1.6080896000000001E-2"/>
    <n v="1.4415153999999999E-2"/>
    <n v="2.4662612E-2"/>
    <n v="9.2951040000000002E-3"/>
    <n v="1.6005912000000001E-2"/>
    <n v="1.680705E-2"/>
    <n v="1.0143900000000001E-2"/>
    <n v="1.43962E-2"/>
    <n v="2.9536415999999999E-2"/>
    <n v="2.2470655999999999E-2"/>
    <n v="1.9836960000000001E-2"/>
    <n v="1.9027008000000002E-2"/>
    <n v="1.156155E-2"/>
    <n v="2.0177118000000001E-2"/>
    <n v="3.0758988000000001E-2"/>
    <n v="3.0668273999999999E-2"/>
    <n v="1.1599847999999999E-2"/>
    <m/>
  </r>
  <r>
    <x v="21"/>
    <s v="GASSTYL"/>
    <s v="ROT"/>
    <n v="-1"/>
    <n v="-1"/>
    <n v="-1"/>
    <n v="-1"/>
    <n v="-1"/>
    <n v="-1"/>
    <n v="-1"/>
    <n v="-1"/>
    <n v="-1"/>
    <n v="8568"/>
    <n v="4554.4792482163302"/>
    <n v="23"/>
    <n v="28"/>
    <n v="51"/>
    <n v="7.8E-2"/>
    <n v="6.8000000000000005E-2"/>
    <n v="7.5999999999999998E-2"/>
    <n v="9.1999999999999998E-2"/>
    <n v="9.4E-2"/>
    <n v="0.105"/>
    <n v="9.7000000000000003E-2"/>
    <n v="8.4000000000000005E-2"/>
    <n v="9.8000000000000004E-2"/>
    <n v="7.9000000000000001E-2"/>
    <n v="9.0999999999999998E-2"/>
    <n v="0.10100000000000001"/>
    <n v="0.107"/>
    <n v="9.1999999999999998E-2"/>
    <n v="7.1999999999999995E-2"/>
    <n v="8.2000000000000003E-2"/>
    <n v="9.5000000000000001E-2"/>
    <n v="8.2000000000000003E-2"/>
    <n v="9.7000000000000003E-2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25725000000001E-2"/>
    <n v="68.889800626726952"/>
    <n v="9.4910399999999992E-3"/>
    <n v="6.2886399999999999E-3"/>
    <n v="8.7795200000000007E-3"/>
    <n v="1.5573760000000001E-2"/>
    <n v="1.661168E-2"/>
    <n v="2.3152499999999999E-2"/>
    <n v="1.8253459999999999E-2"/>
    <n v="1.1854079999999999E-2"/>
    <n v="1.8823840000000001E-2"/>
    <n v="9.8607799999999995E-3"/>
    <n v="1.507142E-2"/>
    <n v="2.0606019999999999E-2"/>
    <n v="2.4500859999999999E-2"/>
    <n v="1.5573760000000001E-2"/>
    <n v="7.4649599999999997E-3"/>
    <n v="1.102736E-2"/>
    <n v="1.71475E-2"/>
    <n v="1.102736E-2"/>
    <n v="1.8253459999999999E-2"/>
    <n v="2.3152499999999999E-2"/>
    <m/>
  </r>
  <r>
    <x v="21"/>
    <s v="KELLONG"/>
    <s v="ROT"/>
    <n v="-1"/>
    <n v="-1"/>
    <n v="-1"/>
    <n v="-1"/>
    <n v="-1"/>
    <n v="-1"/>
    <n v="-1"/>
    <n v="-1"/>
    <n v="-1"/>
    <n v="8904"/>
    <n v="4733.08627755814"/>
    <n v="27"/>
    <n v="26"/>
    <n v="53"/>
    <n v="0.152"/>
    <n v="0.157"/>
    <n v="0.16400000000000001"/>
    <n v="0.11700000000000001"/>
    <n v="0.14199999999999999"/>
    <n v="0.151"/>
    <n v="0.13300000000000001"/>
    <n v="0.123"/>
    <n v="0.153"/>
    <n v="0.152"/>
    <n v="0.14799999999999999"/>
    <n v="0.154"/>
    <n v="0.16800000000000001"/>
    <n v="0.17699999999999999"/>
    <n v="0.14699999999999999"/>
    <n v="0.14799999999999999"/>
    <n v="0.14799999999999999"/>
    <n v="0.14499999999999999"/>
    <n v="0.17799999999999999"/>
    <n v="0.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75521527999996E-2"/>
    <n v="50.528164449953287"/>
    <n v="1.069345536E-2"/>
    <n v="1.1783824185E-2"/>
    <n v="1.343132448E-2"/>
    <n v="4.8769115850000001E-3"/>
    <n v="8.7187119600000001E-3"/>
    <n v="1.0483785795000001E-2"/>
    <n v="7.1637796649999998E-3"/>
    <n v="5.6663400150000001E-3"/>
    <n v="1.0905901964999999E-2"/>
    <n v="1.069345536E-2"/>
    <n v="9.8712566399999993E-3"/>
    <n v="1.112114388E-2"/>
    <n v="1.443826944E-2"/>
    <n v="1.6885234485000001E-2"/>
    <n v="9.6725125350000003E-3"/>
    <n v="9.8712566399999993E-3"/>
    <n v="9.8712566399999993E-3"/>
    <n v="9.2830631249999993E-3"/>
    <n v="1.7173044839999999E-2"/>
    <n v="1.0905901964999999E-2"/>
    <m/>
  </r>
  <r>
    <x v="21"/>
    <s v="KERCOCH"/>
    <s v="ROT"/>
    <n v="-1"/>
    <n v="-1"/>
    <n v="-1"/>
    <n v="-1"/>
    <n v="-1"/>
    <n v="-1"/>
    <n v="-1"/>
    <n v="-1"/>
    <n v="-1"/>
    <n v="6216"/>
    <n v="3304.2300428236099"/>
    <n v="18"/>
    <n v="19"/>
    <n v="37"/>
    <n v="0.10199999999999999"/>
    <n v="9.6000000000000002E-2"/>
    <n v="9.7000000000000003E-2"/>
    <n v="0.109"/>
    <n v="8.5000000000000006E-2"/>
    <n v="0.10199999999999999"/>
    <n v="0.124"/>
    <n v="0.128"/>
    <n v="0.10100000000000001"/>
    <n v="9.5000000000000001E-2"/>
    <n v="0.111"/>
    <n v="0.105"/>
    <n v="9.4E-2"/>
    <n v="8.5999999999999993E-2"/>
    <n v="9.7000000000000003E-2"/>
    <n v="8.5999999999999993E-2"/>
    <n v="8.5000000000000006E-2"/>
    <n v="0.13200000000000001"/>
    <n v="8.7999999999999995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713995999999998E-3"/>
    <n v="7.1748037932951689"/>
    <n v="2.1224159999999998E-3"/>
    <n v="1.769472E-3"/>
    <n v="1.825346E-3"/>
    <n v="2.5900580000000001E-3"/>
    <n v="1.22825E-3"/>
    <n v="2.1224159999999998E-3"/>
    <n v="3.813248E-3"/>
    <n v="4.1943040000000003E-3"/>
    <n v="2.0606019999999999E-3"/>
    <n v="1.7147499999999999E-3"/>
    <n v="2.735262E-3"/>
    <n v="2.31525E-3"/>
    <n v="1.661168E-3"/>
    <n v="1.2721119999999999E-3"/>
    <n v="1.825346E-3"/>
    <n v="1.2721119999999999E-3"/>
    <n v="1.22825E-3"/>
    <n v="4.5999359999999998E-3"/>
    <n v="1.362944E-3"/>
    <n v="1.7147499999999999E-3"/>
    <m/>
  </r>
  <r>
    <x v="21"/>
    <s v="KERCRAS"/>
    <s v="ROT"/>
    <n v="-1"/>
    <n v="-1"/>
    <n v="-1"/>
    <n v="-1"/>
    <n v="-1"/>
    <n v="-1"/>
    <n v="-1"/>
    <n v="-1"/>
    <n v="-1"/>
    <n v="2184"/>
    <n v="1160.94569072181"/>
    <n v="6"/>
    <n v="7"/>
    <n v="13"/>
    <n v="0.125"/>
    <n v="0.11899999999999999"/>
    <n v="0.13300000000000001"/>
    <n v="0.13900000000000001"/>
    <n v="0.11"/>
    <n v="0.14000000000000001"/>
    <n v="0.127"/>
    <n v="0.13700000000000001"/>
    <n v="0.13200000000000001"/>
    <n v="0.12"/>
    <n v="0.13100000000000001"/>
    <n v="0.13800000000000001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043144615384614E-3"/>
    <n v="5.113169894706826"/>
    <n v="3.90625E-3"/>
    <n v="3.3703180000000002E-3"/>
    <n v="4.7052739999999997E-3"/>
    <n v="5.3712380000000004E-3"/>
    <n v="2.6619999999999999E-3"/>
    <n v="5.4879999999999998E-3"/>
    <n v="4.0967659999999999E-3"/>
    <n v="5.1427060000000004E-3"/>
    <n v="4.5999359999999998E-3"/>
    <n v="3.4559999999999999E-3"/>
    <n v="4.4961819999999996E-3"/>
    <n v="5.2561439999999999E-3"/>
    <n v="4.7052739999999997E-3"/>
    <m/>
    <m/>
    <m/>
    <m/>
    <m/>
    <m/>
    <m/>
    <m/>
  </r>
  <r>
    <x v="21"/>
    <s v="PLOHUDS"/>
    <s v="ROT"/>
    <n v="-1"/>
    <n v="-1"/>
    <n v="-1"/>
    <n v="-1"/>
    <n v="-1"/>
    <n v="-1"/>
    <n v="-1"/>
    <n v="-1"/>
    <n v="-1"/>
    <n v="672"/>
    <n v="357.21405868363303"/>
    <n v="1"/>
    <n v="3"/>
    <n v="4"/>
    <n v="0.28199999999999997"/>
    <n v="0.42599999999999999"/>
    <n v="0.30299999999999999"/>
    <n v="0.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9776791750000001"/>
    <n v="142.08829222431152"/>
    <n v="0.22425767999999999"/>
    <n v="0.77308776000000001"/>
    <n v="0.27818126999999998"/>
    <n v="0.31554495999999999"/>
    <m/>
    <m/>
    <m/>
    <m/>
    <m/>
    <m/>
    <m/>
    <m/>
    <m/>
    <m/>
    <m/>
    <m/>
    <m/>
    <m/>
    <m/>
    <m/>
    <m/>
  </r>
  <r>
    <x v="21"/>
    <s v="PLOTRUN"/>
    <s v="ROT"/>
    <n v="-1"/>
    <n v="-1"/>
    <n v="-1"/>
    <n v="-1"/>
    <n v="-1"/>
    <n v="-1"/>
    <n v="-1"/>
    <n v="-1"/>
    <n v="-1"/>
    <n v="672"/>
    <n v="357.21405868363303"/>
    <n v="3"/>
    <n v="1"/>
    <n v="4"/>
    <n v="0.20399999999999999"/>
    <n v="0.17499999999999999"/>
    <n v="0.13200000000000001"/>
    <n v="0.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184677499999997E-2"/>
    <n v="15.426173922718766"/>
    <n v="8.4896639999999995E-2"/>
    <n v="5.3593750000000002E-2"/>
    <n v="2.2999680000000002E-2"/>
    <n v="1.1248640000000001E-2"/>
    <m/>
    <m/>
    <m/>
    <m/>
    <m/>
    <m/>
    <m/>
    <m/>
    <m/>
    <m/>
    <m/>
    <m/>
    <m/>
    <m/>
    <m/>
    <m/>
    <m/>
  </r>
  <r>
    <x v="21"/>
    <s v="POLSP"/>
    <s v="ROT"/>
    <n v="-1"/>
    <n v="-1"/>
    <n v="-1"/>
    <n v="-1"/>
    <n v="-1"/>
    <n v="-1"/>
    <n v="-1"/>
    <n v="-1"/>
    <n v="-1"/>
    <n v="4032"/>
    <n v="2143.2843521017999"/>
    <n v="12"/>
    <n v="12"/>
    <n v="24"/>
    <n v="7.0999999999999994E-2"/>
    <n v="7.8E-2"/>
    <n v="0.122"/>
    <n v="0.121"/>
    <n v="9.1999999999999998E-2"/>
    <n v="0.08"/>
    <n v="0.11"/>
    <n v="0.115"/>
    <n v="9.1999999999999998E-2"/>
    <n v="9.9000000000000005E-2"/>
    <n v="0.111"/>
    <n v="8.2000000000000003E-2"/>
    <n v="8.5000000000000006E-2"/>
    <n v="0.09"/>
    <n v="9.4E-2"/>
    <n v="9.4E-2"/>
    <n v="7.4999999999999997E-2"/>
    <n v="0.1"/>
    <n v="0.111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161078639999998E-2"/>
    <n v="64.643767891623838"/>
    <n v="1.1023658800000001E-2"/>
    <n v="1.46162016E-2"/>
    <n v="5.5928118399999997E-2"/>
    <n v="5.4564078799999999E-2"/>
    <n v="2.3983590400000001E-2"/>
    <n v="1.5769600000000002E-2"/>
    <n v="4.0994799999999998E-2"/>
    <n v="4.6842950000000001E-2"/>
    <n v="2.3983590400000001E-2"/>
    <n v="2.9885209199999999E-2"/>
    <n v="4.21230348E-2"/>
    <n v="1.6982134400000001E-2"/>
    <n v="1.8915049999999999E-2"/>
    <n v="2.24532E-2"/>
    <n v="2.55819872E-2"/>
    <n v="2.55819872E-2"/>
    <n v="1.299375E-2"/>
    <n v="3.0800000000000001E-2"/>
    <n v="4.21230348E-2"/>
    <n v="4.8075596800000002E-2"/>
    <m/>
  </r>
  <r>
    <x v="21"/>
    <s v="POLVULG"/>
    <s v="ROT"/>
    <n v="-1"/>
    <n v="-1"/>
    <n v="-1"/>
    <n v="-1"/>
    <n v="-1"/>
    <n v="-1"/>
    <n v="-1"/>
    <n v="-1"/>
    <n v="-1"/>
    <n v="168"/>
    <n v="89.303514670908399"/>
    <n v="1"/>
    <n v="0"/>
    <n v="1"/>
    <n v="7.6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0612164E-2"/>
    <n v="1.2557160450682177"/>
    <n v="1.40612164E-2"/>
    <m/>
    <m/>
    <m/>
    <m/>
    <m/>
    <m/>
    <m/>
    <m/>
    <m/>
    <m/>
    <m/>
    <m/>
    <m/>
    <m/>
    <m/>
    <m/>
    <m/>
    <m/>
    <m/>
    <m/>
  </r>
  <r>
    <x v="21"/>
    <s v="SYNSP"/>
    <s v="ROT"/>
    <n v="-1"/>
    <n v="-1"/>
    <n v="-1"/>
    <n v="-1"/>
    <n v="-1"/>
    <n v="-1"/>
    <n v="-1"/>
    <n v="-1"/>
    <n v="-1"/>
    <n v="6720"/>
    <n v="3572.1405868363299"/>
    <n v="19"/>
    <n v="21"/>
    <n v="40"/>
    <n v="0.105"/>
    <n v="0.16500000000000001"/>
    <n v="0.113"/>
    <n v="0.122"/>
    <n v="0.18099999999999999"/>
    <n v="0.109"/>
    <n v="0.129"/>
    <n v="9.9000000000000005E-2"/>
    <n v="0.13900000000000001"/>
    <n v="9.6000000000000002E-2"/>
    <n v="0.11"/>
    <n v="0.105"/>
    <n v="0.123"/>
    <n v="0.115"/>
    <n v="0.108"/>
    <n v="0.11600000000000001"/>
    <n v="0.10299999999999999"/>
    <n v="9.4E-2"/>
    <n v="0.192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077907E-2"/>
    <n v="75.29324708026158"/>
    <n v="1.157625E-2"/>
    <n v="4.4921250000000003E-2"/>
    <n v="1.4428969999999999E-2"/>
    <n v="1.8158480000000001E-2"/>
    <n v="5.9297410000000002E-2"/>
    <n v="1.295029E-2"/>
    <n v="2.1466889999999999E-2"/>
    <n v="9.7029899999999999E-3"/>
    <n v="2.6856189999999999E-2"/>
    <n v="8.8473600000000003E-3"/>
    <n v="1.3310000000000001E-2"/>
    <n v="1.157625E-2"/>
    <n v="1.8608670000000001E-2"/>
    <n v="1.520875E-2"/>
    <n v="1.259712E-2"/>
    <n v="1.560896E-2"/>
    <n v="1.0927269999999999E-2"/>
    <n v="8.3058400000000001E-3"/>
    <n v="7.0778880000000002E-2"/>
    <n v="1.6430320000000002E-2"/>
    <m/>
  </r>
  <r>
    <x v="21"/>
    <s v="TRIMULT"/>
    <s v="ROT"/>
    <n v="-1"/>
    <n v="-1"/>
    <n v="-1"/>
    <n v="-1"/>
    <n v="-1"/>
    <n v="-1"/>
    <n v="-1"/>
    <n v="-1"/>
    <n v="-1"/>
    <n v="168"/>
    <n v="89.303514670908399"/>
    <n v="0"/>
    <n v="1"/>
    <n v="1"/>
    <n v="0.35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241379310344799"/>
    <m/>
    <m/>
    <m/>
    <m/>
    <m/>
    <m/>
    <m/>
    <m/>
    <m/>
    <m/>
    <m/>
    <m/>
    <m/>
    <m/>
    <m/>
    <m/>
    <m/>
    <m/>
    <m/>
    <n v="0.27828537800237801"/>
    <n v="24.851862337134655"/>
    <n v="0.27828537800237801"/>
    <m/>
    <m/>
    <m/>
    <m/>
    <m/>
    <m/>
    <m/>
    <m/>
    <m/>
    <m/>
    <m/>
    <m/>
    <m/>
    <m/>
    <m/>
    <m/>
    <m/>
    <m/>
    <m/>
    <m/>
  </r>
  <r>
    <x v="21"/>
    <s v="TRISP"/>
    <s v="ROT"/>
    <n v="-1"/>
    <n v="-1"/>
    <n v="-1"/>
    <n v="-1"/>
    <n v="-1"/>
    <n v="-1"/>
    <n v="-1"/>
    <n v="-1"/>
    <n v="-1"/>
    <n v="336"/>
    <n v="178.607029341817"/>
    <n v="2"/>
    <n v="0"/>
    <n v="2"/>
    <n v="0.16700000000000001"/>
    <n v="0.3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117647058823502E-2"/>
    <n v="8.8823529411764704E-2"/>
    <m/>
    <m/>
    <m/>
    <m/>
    <m/>
    <m/>
    <m/>
    <m/>
    <m/>
    <m/>
    <m/>
    <m/>
    <m/>
    <m/>
    <m/>
    <m/>
    <m/>
    <m/>
    <n v="7.2859101477162805E-2"/>
    <n v="13.013147675350039"/>
    <n v="2.1076228759169601E-2"/>
    <n v="0.12464197419515601"/>
    <m/>
    <m/>
    <m/>
    <m/>
    <m/>
    <m/>
    <m/>
    <m/>
    <m/>
    <m/>
    <m/>
    <m/>
    <m/>
    <m/>
    <m/>
    <m/>
    <m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C898B-E0BA-1B46-92FE-47A10F537BD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00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Biomass" fld="7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D241-17E9-AB46-915B-8C903B69A9E4}">
  <dimension ref="A1:L23"/>
  <sheetViews>
    <sheetView workbookViewId="0">
      <selection activeCell="B24" sqref="B24"/>
    </sheetView>
  </sheetViews>
  <sheetFormatPr defaultColWidth="11" defaultRowHeight="15.75" x14ac:dyDescent="0.25"/>
  <sheetData>
    <row r="1" spans="1:12" x14ac:dyDescent="0.25">
      <c r="A1" t="s">
        <v>244</v>
      </c>
      <c r="B1" t="s">
        <v>245</v>
      </c>
      <c r="C1" t="s">
        <v>246</v>
      </c>
    </row>
    <row r="2" spans="1:12" x14ac:dyDescent="0.25">
      <c r="A2" s="9" t="s">
        <v>112</v>
      </c>
      <c r="B2">
        <v>1571.0394006511037</v>
      </c>
      <c r="C2" s="10">
        <f>B2/1000</f>
        <v>1.5710394006511037</v>
      </c>
      <c r="D2" t="s">
        <v>113</v>
      </c>
      <c r="F2" t="s">
        <v>247</v>
      </c>
      <c r="G2" s="10">
        <f>AVERAGE(C2:C10)</f>
        <v>3.6747954011784376</v>
      </c>
      <c r="H2" s="10">
        <f>STDEV(C2:C10)</f>
        <v>1.6565924137751897</v>
      </c>
      <c r="J2" t="s">
        <v>112</v>
      </c>
      <c r="K2" t="s">
        <v>113</v>
      </c>
      <c r="L2" t="s">
        <v>247</v>
      </c>
    </row>
    <row r="3" spans="1:12" x14ac:dyDescent="0.25">
      <c r="A3" s="9" t="s">
        <v>115</v>
      </c>
      <c r="B3">
        <v>4583.1360501605222</v>
      </c>
      <c r="C3" s="10">
        <f t="shared" ref="C3:C23" si="0">B3/1000</f>
        <v>4.5831360501605225</v>
      </c>
      <c r="D3" t="s">
        <v>116</v>
      </c>
      <c r="F3" t="s">
        <v>248</v>
      </c>
      <c r="G3" s="10">
        <f>AVERAGE(C11:C23)</f>
        <v>57.440337395981153</v>
      </c>
      <c r="H3" s="10">
        <f>STDEV(C11:C23)</f>
        <v>46.762629896963453</v>
      </c>
      <c r="J3" t="s">
        <v>115</v>
      </c>
      <c r="K3" t="s">
        <v>116</v>
      </c>
      <c r="L3" t="s">
        <v>247</v>
      </c>
    </row>
    <row r="4" spans="1:12" x14ac:dyDescent="0.25">
      <c r="A4" s="9" t="s">
        <v>117</v>
      </c>
      <c r="B4">
        <v>4982.8113028628695</v>
      </c>
      <c r="C4" s="10">
        <f t="shared" si="0"/>
        <v>4.9828113028628698</v>
      </c>
      <c r="D4" t="s">
        <v>118</v>
      </c>
      <c r="J4" t="s">
        <v>117</v>
      </c>
      <c r="K4" t="s">
        <v>118</v>
      </c>
      <c r="L4" t="s">
        <v>247</v>
      </c>
    </row>
    <row r="5" spans="1:12" x14ac:dyDescent="0.25">
      <c r="A5" s="9" t="s">
        <v>119</v>
      </c>
      <c r="B5">
        <v>1711.5524497241736</v>
      </c>
      <c r="C5" s="10">
        <f t="shared" si="0"/>
        <v>1.7115524497241736</v>
      </c>
      <c r="D5" t="s">
        <v>120</v>
      </c>
      <c r="J5" t="s">
        <v>119</v>
      </c>
      <c r="K5" t="s">
        <v>120</v>
      </c>
      <c r="L5" t="s">
        <v>247</v>
      </c>
    </row>
    <row r="6" spans="1:12" x14ac:dyDescent="0.25">
      <c r="A6" s="9" t="s">
        <v>121</v>
      </c>
      <c r="B6">
        <v>3475.7373788401387</v>
      </c>
      <c r="C6" s="10">
        <f t="shared" si="0"/>
        <v>3.4757373788401389</v>
      </c>
      <c r="D6" t="s">
        <v>122</v>
      </c>
      <c r="J6" t="s">
        <v>121</v>
      </c>
      <c r="K6" t="s">
        <v>122</v>
      </c>
      <c r="L6" t="s">
        <v>247</v>
      </c>
    </row>
    <row r="7" spans="1:12" x14ac:dyDescent="0.25">
      <c r="A7" s="9" t="s">
        <v>123</v>
      </c>
      <c r="B7">
        <v>4021.0474274244466</v>
      </c>
      <c r="C7" s="10">
        <f t="shared" si="0"/>
        <v>4.0210474274244463</v>
      </c>
      <c r="D7" t="s">
        <v>124</v>
      </c>
      <c r="J7" t="s">
        <v>123</v>
      </c>
      <c r="K7" t="s">
        <v>124</v>
      </c>
      <c r="L7" t="s">
        <v>247</v>
      </c>
    </row>
    <row r="8" spans="1:12" x14ac:dyDescent="0.25">
      <c r="A8" s="9" t="s">
        <v>125</v>
      </c>
      <c r="B8">
        <v>1953.5183723495279</v>
      </c>
      <c r="C8" s="10">
        <f t="shared" si="0"/>
        <v>1.953518372349528</v>
      </c>
      <c r="D8" t="s">
        <v>126</v>
      </c>
      <c r="J8" t="s">
        <v>125</v>
      </c>
      <c r="K8" t="s">
        <v>126</v>
      </c>
      <c r="L8" t="s">
        <v>247</v>
      </c>
    </row>
    <row r="9" spans="1:12" x14ac:dyDescent="0.25">
      <c r="A9" s="9" t="s">
        <v>127</v>
      </c>
      <c r="B9">
        <v>4349.9489794755054</v>
      </c>
      <c r="C9" s="10">
        <f t="shared" si="0"/>
        <v>4.3499489794755055</v>
      </c>
      <c r="D9" t="s">
        <v>128</v>
      </c>
      <c r="J9" t="s">
        <v>127</v>
      </c>
      <c r="K9" t="s">
        <v>128</v>
      </c>
      <c r="L9" t="s">
        <v>247</v>
      </c>
    </row>
    <row r="10" spans="1:12" x14ac:dyDescent="0.25">
      <c r="A10" s="9" t="s">
        <v>129</v>
      </c>
      <c r="B10">
        <v>6424.3672491176449</v>
      </c>
      <c r="C10" s="10">
        <f t="shared" si="0"/>
        <v>6.4243672491176449</v>
      </c>
      <c r="D10" t="s">
        <v>130</v>
      </c>
      <c r="J10" t="s">
        <v>129</v>
      </c>
      <c r="K10" t="s">
        <v>130</v>
      </c>
      <c r="L10" t="s">
        <v>247</v>
      </c>
    </row>
    <row r="11" spans="1:12" x14ac:dyDescent="0.25">
      <c r="A11" s="9" t="s">
        <v>132</v>
      </c>
      <c r="B11">
        <v>46696.279135633726</v>
      </c>
      <c r="C11" s="10">
        <f t="shared" si="0"/>
        <v>46.696279135633723</v>
      </c>
      <c r="D11" t="s">
        <v>133</v>
      </c>
      <c r="J11" t="s">
        <v>132</v>
      </c>
      <c r="K11" t="s">
        <v>133</v>
      </c>
      <c r="L11" t="s">
        <v>248</v>
      </c>
    </row>
    <row r="12" spans="1:12" x14ac:dyDescent="0.25">
      <c r="A12" s="9" t="s">
        <v>135</v>
      </c>
      <c r="B12">
        <v>61755.127239252019</v>
      </c>
      <c r="C12" s="10">
        <f t="shared" si="0"/>
        <v>61.755127239252019</v>
      </c>
      <c r="D12" t="s">
        <v>126</v>
      </c>
      <c r="J12" t="s">
        <v>135</v>
      </c>
      <c r="K12" t="s">
        <v>126</v>
      </c>
      <c r="L12" t="s">
        <v>248</v>
      </c>
    </row>
    <row r="13" spans="1:12" x14ac:dyDescent="0.25">
      <c r="A13" s="9" t="s">
        <v>136</v>
      </c>
      <c r="B13">
        <v>20412.980521588292</v>
      </c>
      <c r="C13" s="10">
        <f t="shared" si="0"/>
        <v>20.412980521588292</v>
      </c>
      <c r="D13" t="s">
        <v>137</v>
      </c>
      <c r="E13" t="s">
        <v>250</v>
      </c>
      <c r="J13" t="s">
        <v>136</v>
      </c>
      <c r="K13" t="s">
        <v>137</v>
      </c>
      <c r="L13" t="s">
        <v>248</v>
      </c>
    </row>
    <row r="14" spans="1:12" x14ac:dyDescent="0.25">
      <c r="A14" s="11" t="s">
        <v>138</v>
      </c>
      <c r="B14">
        <v>195079.65751105917</v>
      </c>
      <c r="C14" s="10">
        <f t="shared" si="0"/>
        <v>195.07965751105917</v>
      </c>
      <c r="D14" s="12" t="s">
        <v>139</v>
      </c>
      <c r="E14" t="s">
        <v>249</v>
      </c>
      <c r="J14" t="s">
        <v>138</v>
      </c>
      <c r="K14" t="s">
        <v>139</v>
      </c>
      <c r="L14" t="s">
        <v>248</v>
      </c>
    </row>
    <row r="15" spans="1:12" x14ac:dyDescent="0.25">
      <c r="A15" s="9" t="s">
        <v>141</v>
      </c>
      <c r="B15">
        <v>42638.191118989678</v>
      </c>
      <c r="C15" s="10">
        <f t="shared" si="0"/>
        <v>42.638191118989681</v>
      </c>
      <c r="D15" t="s">
        <v>142</v>
      </c>
      <c r="J15" t="s">
        <v>141</v>
      </c>
      <c r="K15" t="s">
        <v>142</v>
      </c>
      <c r="L15" t="s">
        <v>248</v>
      </c>
    </row>
    <row r="16" spans="1:12" x14ac:dyDescent="0.25">
      <c r="A16" s="9" t="s">
        <v>143</v>
      </c>
      <c r="B16">
        <v>30884.017860408068</v>
      </c>
      <c r="C16" s="10">
        <f t="shared" si="0"/>
        <v>30.884017860408068</v>
      </c>
      <c r="D16" t="s">
        <v>116</v>
      </c>
      <c r="J16" t="s">
        <v>143</v>
      </c>
      <c r="K16" t="s">
        <v>116</v>
      </c>
      <c r="L16" t="s">
        <v>248</v>
      </c>
    </row>
    <row r="17" spans="1:12" x14ac:dyDescent="0.25">
      <c r="A17" s="9" t="s">
        <v>144</v>
      </c>
      <c r="B17">
        <v>54295.500575141232</v>
      </c>
      <c r="C17" s="10">
        <f t="shared" si="0"/>
        <v>54.295500575141233</v>
      </c>
      <c r="D17" t="s">
        <v>118</v>
      </c>
      <c r="J17" t="s">
        <v>144</v>
      </c>
      <c r="K17" t="s">
        <v>118</v>
      </c>
      <c r="L17" t="s">
        <v>248</v>
      </c>
    </row>
    <row r="18" spans="1:12" x14ac:dyDescent="0.25">
      <c r="A18" s="9" t="s">
        <v>145</v>
      </c>
      <c r="B18">
        <v>32920.802732009724</v>
      </c>
      <c r="C18" s="10">
        <f t="shared" si="0"/>
        <v>32.920802732009726</v>
      </c>
      <c r="D18" t="s">
        <v>122</v>
      </c>
      <c r="J18" t="s">
        <v>145</v>
      </c>
      <c r="K18" t="s">
        <v>122</v>
      </c>
      <c r="L18" t="s">
        <v>248</v>
      </c>
    </row>
    <row r="19" spans="1:12" x14ac:dyDescent="0.25">
      <c r="A19" s="9" t="s">
        <v>146</v>
      </c>
      <c r="B19">
        <v>47626.885353033569</v>
      </c>
      <c r="C19" s="10">
        <f t="shared" si="0"/>
        <v>47.626885353033572</v>
      </c>
      <c r="D19" t="s">
        <v>147</v>
      </c>
      <c r="J19" t="s">
        <v>146</v>
      </c>
      <c r="K19" t="s">
        <v>147</v>
      </c>
      <c r="L19" t="s">
        <v>248</v>
      </c>
    </row>
    <row r="20" spans="1:12" x14ac:dyDescent="0.25">
      <c r="A20" s="9" t="s">
        <v>148</v>
      </c>
      <c r="B20">
        <v>101171.13804418864</v>
      </c>
      <c r="C20" s="10">
        <f t="shared" si="0"/>
        <v>101.17113804418864</v>
      </c>
      <c r="D20" s="12" t="s">
        <v>149</v>
      </c>
      <c r="E20" t="s">
        <v>249</v>
      </c>
      <c r="J20" t="s">
        <v>148</v>
      </c>
      <c r="K20" t="s">
        <v>149</v>
      </c>
      <c r="L20" t="s">
        <v>248</v>
      </c>
    </row>
    <row r="21" spans="1:12" x14ac:dyDescent="0.25">
      <c r="A21" s="9" t="s">
        <v>150</v>
      </c>
      <c r="B21">
        <v>43501.825236583907</v>
      </c>
      <c r="C21" s="10">
        <f t="shared" si="0"/>
        <v>43.501825236583905</v>
      </c>
      <c r="D21" t="s">
        <v>124</v>
      </c>
      <c r="J21" t="s">
        <v>150</v>
      </c>
      <c r="K21" t="s">
        <v>124</v>
      </c>
      <c r="L21" t="s">
        <v>248</v>
      </c>
    </row>
    <row r="22" spans="1:12" x14ac:dyDescent="0.25">
      <c r="A22" s="9" t="s">
        <v>151</v>
      </c>
      <c r="B22">
        <v>57609.766824628285</v>
      </c>
      <c r="C22" s="10">
        <f t="shared" si="0"/>
        <v>57.609766824628288</v>
      </c>
      <c r="D22" t="s">
        <v>128</v>
      </c>
      <c r="J22" t="s">
        <v>151</v>
      </c>
      <c r="K22" t="s">
        <v>128</v>
      </c>
      <c r="L22" t="s">
        <v>248</v>
      </c>
    </row>
    <row r="23" spans="1:12" x14ac:dyDescent="0.25">
      <c r="A23" s="9" t="s">
        <v>152</v>
      </c>
      <c r="B23">
        <v>12132.213995238608</v>
      </c>
      <c r="C23" s="10">
        <f t="shared" si="0"/>
        <v>12.132213995238608</v>
      </c>
      <c r="D23" t="s">
        <v>130</v>
      </c>
      <c r="E23" t="s">
        <v>250</v>
      </c>
      <c r="J23" t="s">
        <v>152</v>
      </c>
      <c r="K23" t="s">
        <v>130</v>
      </c>
      <c r="L23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EC2A-D658-344C-9D7D-EEAB440ECD0D}">
  <dimension ref="A3:B27"/>
  <sheetViews>
    <sheetView workbookViewId="0">
      <selection activeCell="E15" sqref="E15"/>
    </sheetView>
  </sheetViews>
  <sheetFormatPr defaultColWidth="11" defaultRowHeight="15.75" x14ac:dyDescent="0.25"/>
  <cols>
    <col min="1" max="1" width="13" bestFit="1" customWidth="1"/>
    <col min="2" max="2" width="14.5" bestFit="1" customWidth="1"/>
  </cols>
  <sheetData>
    <row r="3" spans="1:2" x14ac:dyDescent="0.25">
      <c r="A3" s="8" t="s">
        <v>240</v>
      </c>
      <c r="B3" t="s">
        <v>243</v>
      </c>
    </row>
    <row r="4" spans="1:2" x14ac:dyDescent="0.25">
      <c r="A4" s="9" t="s">
        <v>112</v>
      </c>
      <c r="B4">
        <v>1571.0394006511037</v>
      </c>
    </row>
    <row r="5" spans="1:2" x14ac:dyDescent="0.25">
      <c r="A5" s="9" t="s">
        <v>115</v>
      </c>
      <c r="B5">
        <v>4583.1360501605222</v>
      </c>
    </row>
    <row r="6" spans="1:2" x14ac:dyDescent="0.25">
      <c r="A6" s="9" t="s">
        <v>117</v>
      </c>
      <c r="B6">
        <v>4982.8113028628695</v>
      </c>
    </row>
    <row r="7" spans="1:2" x14ac:dyDescent="0.25">
      <c r="A7" s="9" t="s">
        <v>119</v>
      </c>
      <c r="B7">
        <v>1711.5524497241736</v>
      </c>
    </row>
    <row r="8" spans="1:2" x14ac:dyDescent="0.25">
      <c r="A8" s="9" t="s">
        <v>121</v>
      </c>
      <c r="B8">
        <v>3475.7373788401387</v>
      </c>
    </row>
    <row r="9" spans="1:2" x14ac:dyDescent="0.25">
      <c r="A9" s="9" t="s">
        <v>123</v>
      </c>
      <c r="B9">
        <v>4021.0474274244466</v>
      </c>
    </row>
    <row r="10" spans="1:2" x14ac:dyDescent="0.25">
      <c r="A10" s="9" t="s">
        <v>125</v>
      </c>
      <c r="B10">
        <v>1953.5183723495279</v>
      </c>
    </row>
    <row r="11" spans="1:2" x14ac:dyDescent="0.25">
      <c r="A11" s="9" t="s">
        <v>127</v>
      </c>
      <c r="B11">
        <v>4349.9489794755054</v>
      </c>
    </row>
    <row r="12" spans="1:2" x14ac:dyDescent="0.25">
      <c r="A12" s="9" t="s">
        <v>129</v>
      </c>
      <c r="B12">
        <v>6424.3672491176449</v>
      </c>
    </row>
    <row r="13" spans="1:2" x14ac:dyDescent="0.25">
      <c r="A13" s="9" t="s">
        <v>132</v>
      </c>
      <c r="B13">
        <v>46696.279135633726</v>
      </c>
    </row>
    <row r="14" spans="1:2" x14ac:dyDescent="0.25">
      <c r="A14" s="9" t="s">
        <v>135</v>
      </c>
      <c r="B14">
        <v>61755.127239252019</v>
      </c>
    </row>
    <row r="15" spans="1:2" x14ac:dyDescent="0.25">
      <c r="A15" s="9" t="s">
        <v>136</v>
      </c>
      <c r="B15">
        <v>20412.980521588292</v>
      </c>
    </row>
    <row r="16" spans="1:2" x14ac:dyDescent="0.25">
      <c r="A16" s="9" t="s">
        <v>138</v>
      </c>
      <c r="B16">
        <v>195079.65751105917</v>
      </c>
    </row>
    <row r="17" spans="1:2" x14ac:dyDescent="0.25">
      <c r="A17" s="9" t="s">
        <v>141</v>
      </c>
      <c r="B17">
        <v>42638.191118989678</v>
      </c>
    </row>
    <row r="18" spans="1:2" x14ac:dyDescent="0.25">
      <c r="A18" s="9" t="s">
        <v>143</v>
      </c>
      <c r="B18">
        <v>30884.017860408068</v>
      </c>
    </row>
    <row r="19" spans="1:2" x14ac:dyDescent="0.25">
      <c r="A19" s="9" t="s">
        <v>144</v>
      </c>
      <c r="B19">
        <v>54295.500575141232</v>
      </c>
    </row>
    <row r="20" spans="1:2" x14ac:dyDescent="0.25">
      <c r="A20" s="9" t="s">
        <v>145</v>
      </c>
      <c r="B20">
        <v>32920.802732009724</v>
      </c>
    </row>
    <row r="21" spans="1:2" x14ac:dyDescent="0.25">
      <c r="A21" s="9" t="s">
        <v>146</v>
      </c>
      <c r="B21">
        <v>47626.885353033569</v>
      </c>
    </row>
    <row r="22" spans="1:2" x14ac:dyDescent="0.25">
      <c r="A22" s="9" t="s">
        <v>148</v>
      </c>
      <c r="B22">
        <v>101171.13804418864</v>
      </c>
    </row>
    <row r="23" spans="1:2" x14ac:dyDescent="0.25">
      <c r="A23" s="9" t="s">
        <v>150</v>
      </c>
      <c r="B23">
        <v>43501.825236583907</v>
      </c>
    </row>
    <row r="24" spans="1:2" x14ac:dyDescent="0.25">
      <c r="A24" s="9" t="s">
        <v>151</v>
      </c>
      <c r="B24">
        <v>57609.766824628285</v>
      </c>
    </row>
    <row r="25" spans="1:2" x14ac:dyDescent="0.25">
      <c r="A25" s="9" t="s">
        <v>152</v>
      </c>
      <c r="B25">
        <v>12132.213995238608</v>
      </c>
    </row>
    <row r="26" spans="1:2" x14ac:dyDescent="0.25">
      <c r="A26" s="9" t="s">
        <v>241</v>
      </c>
    </row>
    <row r="27" spans="1:2" x14ac:dyDescent="0.25">
      <c r="A27" s="9" t="s">
        <v>242</v>
      </c>
      <c r="B27">
        <v>779797.54475836095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B26F-74AE-AE43-BF24-79F2B99F0B00}">
  <dimension ref="A1:CV610"/>
  <sheetViews>
    <sheetView topLeftCell="BT1" workbookViewId="0">
      <selection activeCell="BX20" sqref="BX20"/>
    </sheetView>
  </sheetViews>
  <sheetFormatPr defaultColWidth="11" defaultRowHeight="15.75" x14ac:dyDescent="0.25"/>
  <cols>
    <col min="4" max="4" width="15.125" bestFit="1" customWidth="1"/>
  </cols>
  <sheetData>
    <row r="1" spans="1:100" x14ac:dyDescent="0.25">
      <c r="A1" t="s">
        <v>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</row>
    <row r="2" spans="1:100" x14ac:dyDescent="0.25">
      <c r="A2" t="s">
        <v>112</v>
      </c>
      <c r="B2" t="s">
        <v>172</v>
      </c>
      <c r="C2" t="s">
        <v>158</v>
      </c>
      <c r="D2">
        <v>-1</v>
      </c>
      <c r="E2">
        <v>8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104</v>
      </c>
      <c r="N2">
        <v>15.8053130403973</v>
      </c>
      <c r="O2">
        <v>-1</v>
      </c>
      <c r="P2">
        <v>-1</v>
      </c>
      <c r="Q2">
        <v>-1</v>
      </c>
      <c r="R2">
        <v>0.317</v>
      </c>
      <c r="S2">
        <v>0.373</v>
      </c>
      <c r="T2">
        <v>0.34699999999999998</v>
      </c>
      <c r="U2">
        <v>0.39500000000000002</v>
      </c>
      <c r="V2">
        <v>0.35799999999999998</v>
      </c>
      <c r="W2">
        <v>0.25800000000000001</v>
      </c>
      <c r="X2">
        <v>0.39500000000000002</v>
      </c>
      <c r="Y2">
        <v>0.30399999999999999</v>
      </c>
      <c r="AL2" t="s">
        <v>159</v>
      </c>
      <c r="AM2" t="s">
        <v>159</v>
      </c>
      <c r="AN2" t="s">
        <v>159</v>
      </c>
      <c r="AO2" t="s">
        <v>159</v>
      </c>
      <c r="AP2" t="s">
        <v>159</v>
      </c>
      <c r="AQ2" t="s">
        <v>159</v>
      </c>
      <c r="AR2" t="s">
        <v>159</v>
      </c>
      <c r="AS2" t="s">
        <v>159</v>
      </c>
      <c r="BZ2">
        <v>1.0401992655872574</v>
      </c>
      <c r="CA2">
        <v>16.440675016997972</v>
      </c>
      <c r="CB2">
        <v>0.82316437806424703</v>
      </c>
      <c r="CC2">
        <v>1.2423099951345</v>
      </c>
      <c r="CD2">
        <v>1.03476136761283</v>
      </c>
      <c r="CE2">
        <v>1.4361416809524801</v>
      </c>
      <c r="CF2">
        <v>1.1197748068397</v>
      </c>
      <c r="CG2">
        <v>0.488882499367434</v>
      </c>
      <c r="CH2">
        <v>1.4361416809524801</v>
      </c>
      <c r="CI2">
        <v>0.74041771577438797</v>
      </c>
    </row>
    <row r="3" spans="1:100" x14ac:dyDescent="0.25">
      <c r="A3" t="s">
        <v>112</v>
      </c>
      <c r="B3" t="s">
        <v>219</v>
      </c>
      <c r="C3" t="s">
        <v>192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103.5</v>
      </c>
      <c r="N3">
        <v>15.7293259584723</v>
      </c>
      <c r="O3">
        <v>2</v>
      </c>
      <c r="P3">
        <v>-1</v>
      </c>
      <c r="Q3">
        <v>2</v>
      </c>
      <c r="R3">
        <v>0.252</v>
      </c>
      <c r="S3">
        <v>0.32800000000000001</v>
      </c>
      <c r="BZ3">
        <v>0.33851769600000003</v>
      </c>
      <c r="CA3">
        <v>5.324655183095035</v>
      </c>
      <c r="CB3">
        <v>0.21123970559999999</v>
      </c>
      <c r="CC3">
        <v>0.46579568640000002</v>
      </c>
    </row>
    <row r="4" spans="1:100" x14ac:dyDescent="0.25">
      <c r="A4" t="s">
        <v>112</v>
      </c>
      <c r="B4" t="s">
        <v>196</v>
      </c>
      <c r="C4" t="s">
        <v>197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21269.25</v>
      </c>
      <c r="N4">
        <v>3232.37648446605</v>
      </c>
      <c r="O4">
        <v>411</v>
      </c>
      <c r="P4">
        <v>-1</v>
      </c>
      <c r="Q4">
        <v>411</v>
      </c>
      <c r="R4">
        <v>0.13300000000000001</v>
      </c>
      <c r="S4">
        <v>0.11899999999999999</v>
      </c>
      <c r="T4">
        <v>0.14599999999999999</v>
      </c>
      <c r="U4">
        <v>0.13100000000000001</v>
      </c>
      <c r="V4">
        <v>0.15</v>
      </c>
      <c r="W4">
        <v>0.45300000000000001</v>
      </c>
      <c r="X4">
        <v>0.13400000000000001</v>
      </c>
      <c r="Y4">
        <v>0.16</v>
      </c>
      <c r="Z4">
        <v>0.13400000000000001</v>
      </c>
      <c r="AA4">
        <v>0.18099999999999999</v>
      </c>
      <c r="AB4">
        <v>0.108</v>
      </c>
      <c r="AC4">
        <v>0.128</v>
      </c>
      <c r="AD4">
        <v>0.20399999999999999</v>
      </c>
      <c r="AE4">
        <v>0.13600000000000001</v>
      </c>
      <c r="AF4">
        <v>0.16400000000000001</v>
      </c>
      <c r="AG4">
        <v>0.13700000000000001</v>
      </c>
      <c r="AH4">
        <v>0.13800000000000001</v>
      </c>
      <c r="AI4">
        <v>0.20300000000000001</v>
      </c>
      <c r="AJ4">
        <v>0.13400000000000001</v>
      </c>
      <c r="AK4">
        <v>0.127</v>
      </c>
      <c r="BZ4">
        <v>0.1218697128000176</v>
      </c>
      <c r="CA4">
        <v>393.92879382340806</v>
      </c>
      <c r="CB4">
        <v>5.564434844158727E-2</v>
      </c>
      <c r="CC4">
        <v>4.2607870634685928E-2</v>
      </c>
      <c r="CD4">
        <v>6.9602361859324738E-2</v>
      </c>
      <c r="CE4">
        <v>5.3657228001919549E-2</v>
      </c>
      <c r="CF4">
        <v>7.4267045120984129E-2</v>
      </c>
      <c r="CG4">
        <v>1.0539325266428587</v>
      </c>
      <c r="CH4">
        <v>5.6653747058766961E-2</v>
      </c>
      <c r="CI4">
        <v>8.6709180472729408E-2</v>
      </c>
      <c r="CJ4">
        <v>5.6653747058766961E-2</v>
      </c>
      <c r="CK4">
        <v>0.11657507481419918</v>
      </c>
      <c r="CL4">
        <v>3.3759354676859761E-2</v>
      </c>
      <c r="CM4">
        <v>5.0755259236681539E-2</v>
      </c>
      <c r="CN4">
        <v>0.15534222629595956</v>
      </c>
      <c r="CO4">
        <v>5.8704379673962324E-2</v>
      </c>
      <c r="CP4">
        <v>9.2003078293670396E-2</v>
      </c>
      <c r="CQ4">
        <v>5.9745676682321308E-2</v>
      </c>
      <c r="CR4">
        <v>6.0797669266349663E-2</v>
      </c>
      <c r="CS4">
        <v>0.15352093761488028</v>
      </c>
      <c r="CT4">
        <v>5.6653747058766961E-2</v>
      </c>
      <c r="CU4">
        <v>4.9808797095077323E-2</v>
      </c>
    </row>
    <row r="5" spans="1:100" x14ac:dyDescent="0.25">
      <c r="A5" t="s">
        <v>112</v>
      </c>
      <c r="B5" t="s">
        <v>173</v>
      </c>
      <c r="C5" t="s">
        <v>168</v>
      </c>
      <c r="D5">
        <v>-1</v>
      </c>
      <c r="E5">
        <v>63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819</v>
      </c>
      <c r="N5">
        <v>124.46684019312799</v>
      </c>
      <c r="O5">
        <v>-1</v>
      </c>
      <c r="P5">
        <v>-1</v>
      </c>
      <c r="Q5">
        <v>-1</v>
      </c>
      <c r="R5">
        <v>0.308</v>
      </c>
      <c r="S5">
        <v>0.371</v>
      </c>
      <c r="T5">
        <v>0.48899999999999999</v>
      </c>
      <c r="U5">
        <v>0.75600000000000001</v>
      </c>
      <c r="V5">
        <v>0.81299999999999994</v>
      </c>
      <c r="W5">
        <v>0.35</v>
      </c>
      <c r="X5">
        <v>0.38400000000000001</v>
      </c>
      <c r="Y5">
        <v>0.66200000000000003</v>
      </c>
      <c r="Z5">
        <v>0.68100000000000005</v>
      </c>
      <c r="AA5">
        <v>0.498</v>
      </c>
      <c r="AB5">
        <v>0.40300000000000002</v>
      </c>
      <c r="AC5">
        <v>0.42499999999999999</v>
      </c>
      <c r="AD5">
        <v>0.36499999999999999</v>
      </c>
      <c r="AE5">
        <v>0.432</v>
      </c>
      <c r="AF5">
        <v>0.82599999999999996</v>
      </c>
      <c r="AG5">
        <v>0.441</v>
      </c>
      <c r="AH5">
        <v>0.76800000000000002</v>
      </c>
      <c r="AI5">
        <v>0.54500000000000004</v>
      </c>
      <c r="AJ5">
        <v>0.64600000000000002</v>
      </c>
      <c r="AK5">
        <v>0.72599999999999998</v>
      </c>
      <c r="AL5" t="s">
        <v>169</v>
      </c>
      <c r="AM5" t="s">
        <v>169</v>
      </c>
      <c r="AN5" t="s">
        <v>169</v>
      </c>
      <c r="AO5" t="s">
        <v>169</v>
      </c>
      <c r="AP5" t="s">
        <v>169</v>
      </c>
      <c r="AQ5" t="s">
        <v>169</v>
      </c>
      <c r="AR5" t="s">
        <v>169</v>
      </c>
      <c r="AS5" t="s">
        <v>169</v>
      </c>
      <c r="AT5" t="s">
        <v>169</v>
      </c>
      <c r="AU5" t="s">
        <v>169</v>
      </c>
      <c r="AV5" t="s">
        <v>169</v>
      </c>
      <c r="AW5" t="s">
        <v>169</v>
      </c>
      <c r="AX5" t="s">
        <v>169</v>
      </c>
      <c r="AY5" t="s">
        <v>169</v>
      </c>
      <c r="AZ5" t="s">
        <v>169</v>
      </c>
      <c r="BA5" t="s">
        <v>169</v>
      </c>
      <c r="BB5" t="s">
        <v>169</v>
      </c>
      <c r="BC5" t="s">
        <v>169</v>
      </c>
      <c r="BD5" t="s">
        <v>169</v>
      </c>
      <c r="BE5" t="s">
        <v>169</v>
      </c>
      <c r="BZ5">
        <v>0.75942557195628591</v>
      </c>
      <c r="CA5">
        <v>94.523301303257867</v>
      </c>
      <c r="CB5">
        <v>4.90315005451714E-2</v>
      </c>
      <c r="CC5">
        <v>0.10264629096422399</v>
      </c>
      <c r="CD5">
        <v>0.30724513202860199</v>
      </c>
      <c r="CE5">
        <v>1.73244863870553</v>
      </c>
      <c r="CF5">
        <v>2.31200253519168</v>
      </c>
      <c r="CG5">
        <v>8.1447728364652805E-2</v>
      </c>
      <c r="CH5">
        <v>0.11768572867275399</v>
      </c>
      <c r="CI5">
        <v>1.0226689213157001</v>
      </c>
      <c r="CJ5">
        <v>1.14425514605038</v>
      </c>
      <c r="CK5">
        <v>0.33031578700438902</v>
      </c>
      <c r="CL5">
        <v>0.14255743517320599</v>
      </c>
      <c r="CM5">
        <v>0.17604872829895499</v>
      </c>
      <c r="CN5">
        <v>9.6212502721381002E-2</v>
      </c>
      <c r="CO5">
        <v>0.187844859504778</v>
      </c>
      <c r="CP5">
        <v>2.4622924181654402</v>
      </c>
      <c r="CQ5">
        <v>0.203868458980625</v>
      </c>
      <c r="CR5">
        <v>1.8442206623744499</v>
      </c>
      <c r="CS5">
        <v>0.47252300153019799</v>
      </c>
      <c r="CT5">
        <v>0.928008462149291</v>
      </c>
      <c r="CU5">
        <v>1.4751875013843101</v>
      </c>
    </row>
    <row r="6" spans="1:100" x14ac:dyDescent="0.25">
      <c r="A6" t="s">
        <v>112</v>
      </c>
      <c r="B6" t="s">
        <v>170</v>
      </c>
      <c r="C6" t="s">
        <v>158</v>
      </c>
      <c r="D6">
        <v>-1</v>
      </c>
      <c r="E6">
        <v>3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39</v>
      </c>
      <c r="N6">
        <v>5.9269923901489703</v>
      </c>
      <c r="O6">
        <v>-1</v>
      </c>
      <c r="P6">
        <v>-1</v>
      </c>
      <c r="Q6">
        <v>-1</v>
      </c>
      <c r="R6">
        <v>0.57399999999999995</v>
      </c>
      <c r="S6">
        <v>0.48799999999999999</v>
      </c>
      <c r="T6">
        <v>0.55500000000000005</v>
      </c>
      <c r="AL6" t="s">
        <v>159</v>
      </c>
      <c r="AM6" t="s">
        <v>159</v>
      </c>
      <c r="AN6" t="s">
        <v>159</v>
      </c>
      <c r="BZ6">
        <v>0.86918205210384658</v>
      </c>
      <c r="CA6">
        <v>5.151635408473564</v>
      </c>
      <c r="CB6">
        <v>1.02679519789707</v>
      </c>
      <c r="CC6">
        <v>0.64756944532885896</v>
      </c>
      <c r="CD6">
        <v>0.93318151308561104</v>
      </c>
    </row>
    <row r="7" spans="1:100" x14ac:dyDescent="0.25">
      <c r="A7" t="s">
        <v>112</v>
      </c>
      <c r="B7" t="s">
        <v>167</v>
      </c>
      <c r="C7" t="s">
        <v>168</v>
      </c>
      <c r="D7">
        <v>-1</v>
      </c>
      <c r="E7">
        <v>23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299</v>
      </c>
      <c r="N7">
        <v>45.440274991142097</v>
      </c>
      <c r="O7">
        <v>-1</v>
      </c>
      <c r="P7">
        <v>-1</v>
      </c>
      <c r="Q7">
        <v>-1</v>
      </c>
      <c r="R7">
        <v>0.47299999999999998</v>
      </c>
      <c r="S7">
        <v>0.79900000000000004</v>
      </c>
      <c r="T7">
        <v>0.52800000000000002</v>
      </c>
      <c r="U7">
        <v>0.6</v>
      </c>
      <c r="V7">
        <v>0.74099999999999999</v>
      </c>
      <c r="W7">
        <v>0.52800000000000002</v>
      </c>
      <c r="X7">
        <v>0.67400000000000004</v>
      </c>
      <c r="Y7">
        <v>0.81699999999999995</v>
      </c>
      <c r="Z7">
        <v>0.63</v>
      </c>
      <c r="AA7">
        <v>0.47299999999999998</v>
      </c>
      <c r="AB7">
        <v>0.46200000000000002</v>
      </c>
      <c r="AC7">
        <v>0.46300000000000002</v>
      </c>
      <c r="AD7">
        <v>0.496</v>
      </c>
      <c r="AE7">
        <v>0.49299999999999999</v>
      </c>
      <c r="AF7">
        <v>0.60599999999999998</v>
      </c>
      <c r="AG7">
        <v>0.436</v>
      </c>
      <c r="AH7">
        <v>0.47</v>
      </c>
      <c r="AI7">
        <v>0.50700000000000001</v>
      </c>
      <c r="AJ7">
        <v>0.48799999999999999</v>
      </c>
      <c r="AK7">
        <v>0.45200000000000001</v>
      </c>
      <c r="AL7" t="s">
        <v>169</v>
      </c>
      <c r="AM7" t="s">
        <v>169</v>
      </c>
      <c r="AN7" t="s">
        <v>169</v>
      </c>
      <c r="AO7" t="s">
        <v>169</v>
      </c>
      <c r="AP7" t="s">
        <v>169</v>
      </c>
      <c r="AQ7" t="s">
        <v>169</v>
      </c>
      <c r="AR7" t="s">
        <v>169</v>
      </c>
      <c r="AS7" t="s">
        <v>169</v>
      </c>
      <c r="AT7" t="s">
        <v>169</v>
      </c>
      <c r="AU7" t="s">
        <v>169</v>
      </c>
      <c r="AV7" t="s">
        <v>169</v>
      </c>
      <c r="AW7" t="s">
        <v>169</v>
      </c>
      <c r="AX7" t="s">
        <v>169</v>
      </c>
      <c r="AY7" t="s">
        <v>169</v>
      </c>
      <c r="AZ7" t="s">
        <v>169</v>
      </c>
      <c r="BA7" t="s">
        <v>169</v>
      </c>
      <c r="BB7" t="s">
        <v>169</v>
      </c>
      <c r="BC7" t="s">
        <v>169</v>
      </c>
      <c r="BD7" t="s">
        <v>169</v>
      </c>
      <c r="BE7" t="s">
        <v>169</v>
      </c>
      <c r="BZ7">
        <v>1.1749233916458746</v>
      </c>
      <c r="CA7">
        <v>53.388842009913887</v>
      </c>
      <c r="CB7">
        <v>0.70537259208184</v>
      </c>
      <c r="CC7">
        <v>2.7423594883312301</v>
      </c>
      <c r="CD7">
        <v>0.93788607013383296</v>
      </c>
      <c r="CE7">
        <v>1.3059903403266699</v>
      </c>
      <c r="CF7">
        <v>2.2560950096444401</v>
      </c>
      <c r="CG7">
        <v>0.93788607013383296</v>
      </c>
      <c r="CH7">
        <v>1.7650514051625701</v>
      </c>
      <c r="CI7">
        <v>2.9052489483079</v>
      </c>
      <c r="CJ7">
        <v>1.48190461083665</v>
      </c>
      <c r="CK7">
        <v>0.70537259208184</v>
      </c>
      <c r="CL7">
        <v>0.66366809947412098</v>
      </c>
      <c r="CM7">
        <v>0.66739506805534199</v>
      </c>
      <c r="CN7">
        <v>0.79767460938884804</v>
      </c>
      <c r="CO7">
        <v>0.78523879359677495</v>
      </c>
      <c r="CP7">
        <v>1.34008492839782</v>
      </c>
      <c r="CQ7">
        <v>0.57121319810948101</v>
      </c>
      <c r="CR7">
        <v>0.69384374627834899</v>
      </c>
      <c r="CS7">
        <v>0.84430398851986499</v>
      </c>
      <c r="CT7">
        <v>0.76477831504652205</v>
      </c>
      <c r="CU7">
        <v>0.62709995900955096</v>
      </c>
    </row>
    <row r="8" spans="1:100" x14ac:dyDescent="0.25">
      <c r="A8" t="s">
        <v>112</v>
      </c>
      <c r="B8" t="s">
        <v>166</v>
      </c>
      <c r="C8" t="s">
        <v>154</v>
      </c>
      <c r="D8">
        <v>-1</v>
      </c>
      <c r="E8">
        <v>35</v>
      </c>
      <c r="F8">
        <v>46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1053</v>
      </c>
      <c r="N8">
        <v>160.02879453402201</v>
      </c>
      <c r="O8">
        <v>-1</v>
      </c>
      <c r="P8">
        <v>-1</v>
      </c>
      <c r="Q8">
        <v>-1</v>
      </c>
      <c r="R8">
        <v>0.81699999999999995</v>
      </c>
      <c r="S8">
        <v>0.92300000000000004</v>
      </c>
      <c r="T8">
        <v>0.93799999999999994</v>
      </c>
      <c r="U8">
        <v>0.78500000000000003</v>
      </c>
      <c r="V8">
        <v>0.879</v>
      </c>
      <c r="W8">
        <v>0.91300000000000003</v>
      </c>
      <c r="X8">
        <v>0.81499999999999995</v>
      </c>
      <c r="Y8">
        <v>0.79300000000000004</v>
      </c>
      <c r="Z8">
        <v>0.79100000000000004</v>
      </c>
      <c r="AA8">
        <v>0.92100000000000004</v>
      </c>
      <c r="AB8">
        <v>0.76800000000000002</v>
      </c>
      <c r="AC8">
        <v>0.78800000000000003</v>
      </c>
      <c r="AD8">
        <v>0.77200000000000002</v>
      </c>
      <c r="AE8">
        <v>0.77800000000000002</v>
      </c>
      <c r="AF8">
        <v>0.76500000000000001</v>
      </c>
      <c r="AG8">
        <v>0.83599999999999997</v>
      </c>
      <c r="AH8">
        <v>0.73099999999999998</v>
      </c>
      <c r="AI8">
        <v>1.0229999999999999</v>
      </c>
      <c r="AJ8">
        <v>0.77800000000000002</v>
      </c>
      <c r="AK8">
        <v>0.752</v>
      </c>
      <c r="AL8" t="s">
        <v>156</v>
      </c>
      <c r="AM8" t="s">
        <v>155</v>
      </c>
      <c r="AN8" t="s">
        <v>155</v>
      </c>
      <c r="AO8" t="s">
        <v>156</v>
      </c>
      <c r="AP8" t="s">
        <v>156</v>
      </c>
      <c r="AQ8" t="s">
        <v>155</v>
      </c>
      <c r="AR8" t="s">
        <v>156</v>
      </c>
      <c r="AS8" t="s">
        <v>156</v>
      </c>
      <c r="AT8" t="s">
        <v>156</v>
      </c>
      <c r="AU8" t="s">
        <v>155</v>
      </c>
      <c r="AV8" t="s">
        <v>156</v>
      </c>
      <c r="AW8" t="s">
        <v>156</v>
      </c>
      <c r="AX8" t="s">
        <v>156</v>
      </c>
      <c r="AY8" t="s">
        <v>156</v>
      </c>
      <c r="AZ8" t="s">
        <v>156</v>
      </c>
      <c r="BA8" t="s">
        <v>156</v>
      </c>
      <c r="BB8" t="s">
        <v>156</v>
      </c>
      <c r="BC8" t="s">
        <v>155</v>
      </c>
      <c r="BD8" t="s">
        <v>156</v>
      </c>
      <c r="BE8" t="s">
        <v>156</v>
      </c>
      <c r="BZ8">
        <v>2.6202956912505599</v>
      </c>
      <c r="CA8">
        <v>419.32276079351902</v>
      </c>
      <c r="CB8">
        <v>2.35749295935952</v>
      </c>
      <c r="CC8">
        <v>3.8263050683210098</v>
      </c>
      <c r="CD8">
        <v>4.0791916345354098</v>
      </c>
      <c r="CE8">
        <v>2.0116914830529402</v>
      </c>
      <c r="CF8">
        <v>3.15184370960805</v>
      </c>
      <c r="CG8">
        <v>3.6643574098205098</v>
      </c>
      <c r="CH8">
        <v>2.3346648602228699</v>
      </c>
      <c r="CI8">
        <v>2.0943217047443201</v>
      </c>
      <c r="CJ8">
        <v>2.07343048453611</v>
      </c>
      <c r="CK8">
        <v>3.7934954879321898</v>
      </c>
      <c r="CL8">
        <v>1.8442206623744499</v>
      </c>
      <c r="CM8">
        <v>2.0423864634905899</v>
      </c>
      <c r="CN8">
        <v>1.8826497124193</v>
      </c>
      <c r="CO8">
        <v>1.94141258251266</v>
      </c>
      <c r="CP8">
        <v>1.81578631033002</v>
      </c>
      <c r="CQ8">
        <v>2.5827820615271002</v>
      </c>
      <c r="CR8">
        <v>1.5159358600447499</v>
      </c>
      <c r="CS8">
        <v>5.7561898028763201</v>
      </c>
      <c r="CT8">
        <v>1.94141258251266</v>
      </c>
      <c r="CU8">
        <v>1.6963429847904099</v>
      </c>
    </row>
    <row r="9" spans="1:100" x14ac:dyDescent="0.25">
      <c r="A9" t="s">
        <v>112</v>
      </c>
      <c r="B9" t="s">
        <v>198</v>
      </c>
      <c r="C9" t="s">
        <v>199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12575.25</v>
      </c>
      <c r="N9">
        <v>1911.11310395438</v>
      </c>
      <c r="O9">
        <v>243</v>
      </c>
      <c r="P9">
        <v>-1</v>
      </c>
      <c r="Q9">
        <v>243</v>
      </c>
      <c r="R9">
        <v>6.9000000000000006E-2</v>
      </c>
      <c r="S9">
        <v>7.5999999999999998E-2</v>
      </c>
      <c r="T9">
        <v>7.1999999999999995E-2</v>
      </c>
      <c r="U9">
        <v>7.0000000000000007E-2</v>
      </c>
      <c r="V9">
        <v>7.4999999999999997E-2</v>
      </c>
      <c r="W9">
        <v>8.8999999999999996E-2</v>
      </c>
      <c r="X9">
        <v>7.3999999999999996E-2</v>
      </c>
      <c r="Y9">
        <v>8.8999999999999996E-2</v>
      </c>
      <c r="Z9">
        <v>7.1999999999999995E-2</v>
      </c>
      <c r="AA9">
        <v>6.9000000000000006E-2</v>
      </c>
      <c r="AB9">
        <v>0.08</v>
      </c>
      <c r="AC9">
        <v>6.9000000000000006E-2</v>
      </c>
      <c r="AD9">
        <v>7.0000000000000007E-2</v>
      </c>
      <c r="AE9">
        <v>7.0999999999999994E-2</v>
      </c>
      <c r="AF9">
        <v>7.0999999999999994E-2</v>
      </c>
      <c r="AG9">
        <v>7.6999999999999999E-2</v>
      </c>
      <c r="AH9">
        <v>7.2999999999999995E-2</v>
      </c>
      <c r="AI9">
        <v>8.1000000000000003E-2</v>
      </c>
      <c r="AJ9">
        <v>7.0000000000000007E-2</v>
      </c>
      <c r="AK9">
        <v>7.0999999999999994E-2</v>
      </c>
      <c r="BZ9">
        <v>9.2437846837787024E-2</v>
      </c>
      <c r="CA9">
        <v>176.65918039302272</v>
      </c>
      <c r="CB9">
        <v>8.3627785295740331E-2</v>
      </c>
      <c r="CC9">
        <v>9.4526084689219525E-2</v>
      </c>
      <c r="CD9">
        <v>8.8135537184134569E-2</v>
      </c>
      <c r="CE9">
        <v>8.5104152069770483E-2</v>
      </c>
      <c r="CF9">
        <v>9.2886268448527598E-2</v>
      </c>
      <c r="CG9">
        <v>0.11867347627390945</v>
      </c>
      <c r="CH9">
        <v>9.1274899353531794E-2</v>
      </c>
      <c r="CI9">
        <v>0.11867347627390945</v>
      </c>
      <c r="CJ9">
        <v>8.8135537184134569E-2</v>
      </c>
      <c r="CK9">
        <v>8.3627785295740331E-2</v>
      </c>
      <c r="CL9">
        <v>0.1013799991711169</v>
      </c>
      <c r="CM9">
        <v>8.3627785295740331E-2</v>
      </c>
      <c r="CN9">
        <v>8.5104152069770483E-2</v>
      </c>
      <c r="CO9">
        <v>8.6606582655532005E-2</v>
      </c>
      <c r="CP9">
        <v>8.6606582655532005E-2</v>
      </c>
      <c r="CQ9">
        <v>9.619485028214779E-2</v>
      </c>
      <c r="CR9">
        <v>8.9691483909852543E-2</v>
      </c>
      <c r="CS9">
        <v>0.10316976392212798</v>
      </c>
      <c r="CT9">
        <v>8.5104152069770483E-2</v>
      </c>
      <c r="CU9">
        <v>8.6606582655532005E-2</v>
      </c>
    </row>
    <row r="10" spans="1:100" x14ac:dyDescent="0.25">
      <c r="A10" t="s">
        <v>112</v>
      </c>
      <c r="B10" t="s">
        <v>201</v>
      </c>
      <c r="C10" t="s">
        <v>192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155.25</v>
      </c>
      <c r="N10">
        <v>23.593988937708399</v>
      </c>
      <c r="O10">
        <v>3</v>
      </c>
      <c r="P10">
        <v>-1</v>
      </c>
      <c r="Q10">
        <v>3</v>
      </c>
      <c r="R10">
        <v>0.122</v>
      </c>
      <c r="S10">
        <v>0.126</v>
      </c>
      <c r="T10">
        <v>0.115</v>
      </c>
      <c r="BZ10">
        <v>5.417155485000001E-3</v>
      </c>
      <c r="CA10">
        <v>0.1278123065869364</v>
      </c>
      <c r="CB10">
        <v>5.5292571600000003E-3</v>
      </c>
      <c r="CC10">
        <v>6.0911449200000004E-3</v>
      </c>
      <c r="CD10">
        <v>4.6310643749999996E-3</v>
      </c>
    </row>
    <row r="11" spans="1:100" x14ac:dyDescent="0.25">
      <c r="A11" t="s">
        <v>112</v>
      </c>
      <c r="B11" t="s">
        <v>202</v>
      </c>
      <c r="C11" t="s">
        <v>192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207</v>
      </c>
      <c r="N11">
        <v>31.4586519169445</v>
      </c>
      <c r="O11">
        <v>4</v>
      </c>
      <c r="P11">
        <v>-1</v>
      </c>
      <c r="Q11">
        <v>4</v>
      </c>
      <c r="R11">
        <v>0.104</v>
      </c>
      <c r="S11">
        <v>0.127</v>
      </c>
      <c r="T11">
        <v>0.105</v>
      </c>
      <c r="U11">
        <v>0.105</v>
      </c>
      <c r="BZ11">
        <v>2.7442484999999996E-3</v>
      </c>
      <c r="CA11">
        <v>8.6330358335097057E-2</v>
      </c>
      <c r="CB11">
        <v>2.2497279999999999E-3</v>
      </c>
      <c r="CC11">
        <v>4.0967659999999999E-3</v>
      </c>
      <c r="CD11">
        <v>2.31525E-3</v>
      </c>
      <c r="CE11">
        <v>2.31525E-3</v>
      </c>
    </row>
    <row r="12" spans="1:100" x14ac:dyDescent="0.25">
      <c r="A12" t="s">
        <v>112</v>
      </c>
      <c r="B12" t="s">
        <v>204</v>
      </c>
      <c r="C12" t="s">
        <v>192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51.75</v>
      </c>
      <c r="N12">
        <v>7.8646629792361296</v>
      </c>
      <c r="O12">
        <v>1</v>
      </c>
      <c r="P12">
        <v>-1</v>
      </c>
      <c r="Q12">
        <v>1</v>
      </c>
      <c r="R12">
        <v>0.123</v>
      </c>
      <c r="BZ12">
        <v>3.721734E-3</v>
      </c>
      <c r="CA12">
        <v>2.9270183608364399E-2</v>
      </c>
      <c r="CB12">
        <v>3.721734E-3</v>
      </c>
    </row>
    <row r="13" spans="1:100" x14ac:dyDescent="0.25">
      <c r="A13" t="s">
        <v>112</v>
      </c>
      <c r="B13" t="s">
        <v>216</v>
      </c>
      <c r="C13" t="s">
        <v>192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51.75</v>
      </c>
      <c r="N13">
        <v>7.8646629792361296</v>
      </c>
      <c r="O13">
        <v>1</v>
      </c>
      <c r="P13">
        <v>-1</v>
      </c>
      <c r="Q13">
        <v>1</v>
      </c>
      <c r="R13">
        <v>0.14499999999999999</v>
      </c>
      <c r="BZ13">
        <v>7.0423237499999999E-2</v>
      </c>
      <c r="CA13">
        <v>0.55385502884420357</v>
      </c>
      <c r="CB13">
        <v>7.0423237499999999E-2</v>
      </c>
    </row>
    <row r="14" spans="1:100" x14ac:dyDescent="0.25">
      <c r="A14" t="s">
        <v>112</v>
      </c>
      <c r="B14" t="s">
        <v>162</v>
      </c>
      <c r="C14" t="s">
        <v>154</v>
      </c>
      <c r="D14">
        <v>-1</v>
      </c>
      <c r="E14">
        <v>0</v>
      </c>
      <c r="F14">
        <v>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13</v>
      </c>
      <c r="N14">
        <v>1.97566413004966</v>
      </c>
      <c r="O14">
        <v>-1</v>
      </c>
      <c r="P14">
        <v>-1</v>
      </c>
      <c r="Q14">
        <v>-1</v>
      </c>
      <c r="R14">
        <v>0.92300000000000004</v>
      </c>
      <c r="AL14" t="s">
        <v>156</v>
      </c>
      <c r="BZ14">
        <v>3.9847458948394499</v>
      </c>
      <c r="CA14">
        <v>7.8725195317969359</v>
      </c>
      <c r="CB14">
        <v>3.9847458948394499</v>
      </c>
    </row>
    <row r="15" spans="1:100" x14ac:dyDescent="0.25">
      <c r="A15" t="s">
        <v>112</v>
      </c>
      <c r="B15" t="s">
        <v>161</v>
      </c>
      <c r="C15" t="s">
        <v>154</v>
      </c>
      <c r="D15">
        <v>-1</v>
      </c>
      <c r="E15">
        <v>9</v>
      </c>
      <c r="F15">
        <v>4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169</v>
      </c>
      <c r="N15">
        <v>25.6836336906455</v>
      </c>
      <c r="O15">
        <v>-1</v>
      </c>
      <c r="P15">
        <v>-1</v>
      </c>
      <c r="Q15">
        <v>-1</v>
      </c>
      <c r="R15">
        <v>0.95699999999999996</v>
      </c>
      <c r="S15">
        <v>1.02</v>
      </c>
      <c r="T15">
        <v>0.96599999999999997</v>
      </c>
      <c r="U15">
        <v>0.94399999999999995</v>
      </c>
      <c r="V15">
        <v>1.04</v>
      </c>
      <c r="W15">
        <v>0.90400000000000003</v>
      </c>
      <c r="X15">
        <v>0.94599999999999995</v>
      </c>
      <c r="Y15">
        <v>0.96599999999999997</v>
      </c>
      <c r="Z15">
        <v>0.95899999999999996</v>
      </c>
      <c r="AA15">
        <v>0.997</v>
      </c>
      <c r="AB15">
        <v>1.0369999999999999</v>
      </c>
      <c r="AC15">
        <v>0.99399999999999999</v>
      </c>
      <c r="AD15">
        <v>0.95799999999999996</v>
      </c>
      <c r="AL15" t="s">
        <v>156</v>
      </c>
      <c r="AM15" t="s">
        <v>155</v>
      </c>
      <c r="AN15" t="s">
        <v>156</v>
      </c>
      <c r="AO15" t="s">
        <v>155</v>
      </c>
      <c r="AP15" t="s">
        <v>155</v>
      </c>
      <c r="AQ15" t="s">
        <v>155</v>
      </c>
      <c r="AR15" t="s">
        <v>156</v>
      </c>
      <c r="AS15" t="s">
        <v>155</v>
      </c>
      <c r="AT15" t="s">
        <v>156</v>
      </c>
      <c r="AU15" t="s">
        <v>155</v>
      </c>
      <c r="AV15" t="s">
        <v>155</v>
      </c>
      <c r="AW15" t="s">
        <v>155</v>
      </c>
      <c r="AX15" t="s">
        <v>155</v>
      </c>
      <c r="BZ15">
        <v>4.6191344709683042</v>
      </c>
      <c r="CA15">
        <v>118.63615772018352</v>
      </c>
      <c r="CB15">
        <v>4.3761292959926203</v>
      </c>
      <c r="CC15">
        <v>5.1618178021698302</v>
      </c>
      <c r="CD15">
        <v>4.4835186811546599</v>
      </c>
      <c r="CE15">
        <v>4.2238228126152304</v>
      </c>
      <c r="CF15">
        <v>5.4280591931750299</v>
      </c>
      <c r="CG15">
        <v>3.77576069440296</v>
      </c>
      <c r="CH15">
        <v>4.2470391997764096</v>
      </c>
      <c r="CI15">
        <v>4.4835186811546599</v>
      </c>
      <c r="CJ15">
        <v>4.3998555523957696</v>
      </c>
      <c r="CK15">
        <v>4.8657376190996899</v>
      </c>
      <c r="CL15">
        <v>5.3875982760125503</v>
      </c>
      <c r="CM15">
        <v>4.8279077351052102</v>
      </c>
      <c r="CN15">
        <v>4.3879825795333298</v>
      </c>
    </row>
    <row r="16" spans="1:100" x14ac:dyDescent="0.25">
      <c r="A16" t="s">
        <v>112</v>
      </c>
      <c r="B16" t="s">
        <v>181</v>
      </c>
      <c r="C16" t="s">
        <v>154</v>
      </c>
      <c r="D16">
        <v>-1</v>
      </c>
      <c r="E16">
        <v>0</v>
      </c>
      <c r="F16">
        <v>4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52</v>
      </c>
      <c r="N16">
        <v>7.9026565201986303</v>
      </c>
      <c r="O16">
        <v>-1</v>
      </c>
      <c r="P16">
        <v>-1</v>
      </c>
      <c r="Q16">
        <v>-1</v>
      </c>
      <c r="R16">
        <v>1.1839999999999999</v>
      </c>
      <c r="S16">
        <v>1.3009999999999999</v>
      </c>
      <c r="T16">
        <v>1.323</v>
      </c>
      <c r="U16">
        <v>1.1579999999999999</v>
      </c>
      <c r="AL16" t="s">
        <v>156</v>
      </c>
      <c r="AM16" t="s">
        <v>156</v>
      </c>
      <c r="AN16" t="s">
        <v>156</v>
      </c>
      <c r="AO16" t="s">
        <v>156</v>
      </c>
      <c r="BZ16">
        <v>8.6458400397018345</v>
      </c>
      <c r="CA16">
        <v>68.32510416234409</v>
      </c>
      <c r="CB16">
        <v>7.5946739793821401</v>
      </c>
      <c r="CC16">
        <v>9.6940760919990296</v>
      </c>
      <c r="CD16">
        <v>10.1243749979927</v>
      </c>
      <c r="CE16">
        <v>7.1702350894334703</v>
      </c>
    </row>
    <row r="17" spans="1:99" x14ac:dyDescent="0.25">
      <c r="A17" t="s">
        <v>112</v>
      </c>
      <c r="B17" t="s">
        <v>220</v>
      </c>
      <c r="C17" t="s">
        <v>192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103.5</v>
      </c>
      <c r="N17">
        <v>15.7293259584723</v>
      </c>
      <c r="O17">
        <v>2</v>
      </c>
      <c r="P17">
        <v>-1</v>
      </c>
      <c r="Q17">
        <v>2</v>
      </c>
      <c r="R17">
        <v>0.21199999999999999</v>
      </c>
      <c r="S17">
        <v>0.21099999999999999</v>
      </c>
      <c r="BZ17">
        <v>3.3113603249999998E-2</v>
      </c>
      <c r="CA17">
        <v>0.52085465917877771</v>
      </c>
      <c r="CB17">
        <v>3.3348448000000003E-2</v>
      </c>
      <c r="CC17">
        <v>3.2878758500000001E-2</v>
      </c>
    </row>
    <row r="18" spans="1:99" x14ac:dyDescent="0.25">
      <c r="A18" t="s">
        <v>112</v>
      </c>
      <c r="B18" t="s">
        <v>221</v>
      </c>
      <c r="C18" t="s">
        <v>192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2121.75</v>
      </c>
      <c r="N18">
        <v>322.45118214868199</v>
      </c>
      <c r="O18">
        <v>41</v>
      </c>
      <c r="P18">
        <v>-1</v>
      </c>
      <c r="Q18">
        <v>41</v>
      </c>
      <c r="R18">
        <v>0.219</v>
      </c>
      <c r="S18">
        <v>0.25</v>
      </c>
      <c r="T18">
        <v>0.23200000000000001</v>
      </c>
      <c r="U18">
        <v>0.219</v>
      </c>
      <c r="V18">
        <v>0.21299999999999999</v>
      </c>
      <c r="W18">
        <v>0.215</v>
      </c>
      <c r="X18">
        <v>0.22500000000000001</v>
      </c>
      <c r="Y18">
        <v>0.214</v>
      </c>
      <c r="Z18">
        <v>0.21299999999999999</v>
      </c>
      <c r="AA18">
        <v>0.21299999999999999</v>
      </c>
      <c r="AB18">
        <v>0.216</v>
      </c>
      <c r="AC18">
        <v>0.219</v>
      </c>
      <c r="AD18">
        <v>0.24</v>
      </c>
      <c r="AE18">
        <v>0.221</v>
      </c>
      <c r="AF18">
        <v>0.21199999999999999</v>
      </c>
      <c r="AG18">
        <v>0.217</v>
      </c>
      <c r="AH18">
        <v>0.23599999999999999</v>
      </c>
      <c r="AI18">
        <v>0.22600000000000001</v>
      </c>
      <c r="AJ18">
        <v>0.23499999999999999</v>
      </c>
      <c r="AK18">
        <v>0.24399999999999999</v>
      </c>
      <c r="BZ18">
        <v>3.9615934574999997E-2</v>
      </c>
      <c r="CA18">
        <v>12.774204935633593</v>
      </c>
      <c r="CB18">
        <v>3.6762106500000002E-2</v>
      </c>
      <c r="CC18">
        <v>5.46875E-2</v>
      </c>
      <c r="CD18">
        <v>4.3705088000000003E-2</v>
      </c>
      <c r="CE18">
        <v>3.6762106500000002E-2</v>
      </c>
      <c r="CF18">
        <v>3.38225895E-2</v>
      </c>
      <c r="CG18">
        <v>3.4784312499999998E-2</v>
      </c>
      <c r="CH18">
        <v>3.9867187499999998E-2</v>
      </c>
      <c r="CI18">
        <v>3.4301204000000002E-2</v>
      </c>
      <c r="CJ18">
        <v>3.38225895E-2</v>
      </c>
      <c r="CK18">
        <v>3.38225895E-2</v>
      </c>
      <c r="CL18">
        <v>3.5271935999999997E-2</v>
      </c>
      <c r="CM18">
        <v>3.6762106500000002E-2</v>
      </c>
      <c r="CN18">
        <v>4.8384000000000003E-2</v>
      </c>
      <c r="CO18">
        <v>3.7778513499999999E-2</v>
      </c>
      <c r="CP18">
        <v>3.3348448000000003E-2</v>
      </c>
      <c r="CQ18">
        <v>3.5764095500000002E-2</v>
      </c>
      <c r="CR18">
        <v>4.6004896000000003E-2</v>
      </c>
      <c r="CS18">
        <v>4.0401116000000001E-2</v>
      </c>
      <c r="CT18">
        <v>4.5422562499999999E-2</v>
      </c>
      <c r="CU18">
        <v>5.0843744000000003E-2</v>
      </c>
    </row>
    <row r="19" spans="1:99" x14ac:dyDescent="0.25">
      <c r="A19" t="s">
        <v>112</v>
      </c>
      <c r="B19" t="s">
        <v>222</v>
      </c>
      <c r="C19" t="s">
        <v>192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51.75</v>
      </c>
      <c r="N19">
        <v>7.8646629792361296</v>
      </c>
      <c r="O19">
        <v>1</v>
      </c>
      <c r="P19">
        <v>-1</v>
      </c>
      <c r="Q19">
        <v>1</v>
      </c>
      <c r="R19">
        <v>0.26</v>
      </c>
      <c r="BZ19">
        <v>6.1516000000000001E-2</v>
      </c>
      <c r="CA19">
        <v>0.48380260783068973</v>
      </c>
      <c r="CB19">
        <v>6.1516000000000001E-2</v>
      </c>
    </row>
    <row r="20" spans="1:99" x14ac:dyDescent="0.25">
      <c r="A20" t="s">
        <v>112</v>
      </c>
      <c r="B20" t="s">
        <v>223</v>
      </c>
      <c r="C20" t="s">
        <v>192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517.5</v>
      </c>
      <c r="N20">
        <v>78.646629792361395</v>
      </c>
      <c r="O20">
        <v>10</v>
      </c>
      <c r="P20">
        <v>-1</v>
      </c>
      <c r="Q20">
        <v>10</v>
      </c>
      <c r="R20">
        <v>0.11700000000000001</v>
      </c>
      <c r="S20">
        <v>0.127</v>
      </c>
      <c r="T20">
        <v>0.122</v>
      </c>
      <c r="U20">
        <v>0.129</v>
      </c>
      <c r="V20">
        <v>0.124</v>
      </c>
      <c r="W20">
        <v>0.13600000000000001</v>
      </c>
      <c r="X20">
        <v>0.128</v>
      </c>
      <c r="Y20">
        <v>0.13300000000000001</v>
      </c>
      <c r="Z20">
        <v>0.114</v>
      </c>
      <c r="AA20">
        <v>0.124</v>
      </c>
      <c r="BZ20">
        <v>6.1207515599999998E-2</v>
      </c>
      <c r="CA20">
        <v>4.8137648199033851</v>
      </c>
      <c r="CB20">
        <v>4.9329680399999999E-2</v>
      </c>
      <c r="CC20">
        <v>6.3090196400000007E-2</v>
      </c>
      <c r="CD20">
        <v>5.5928118399999997E-2</v>
      </c>
      <c r="CE20">
        <v>6.6118021200000002E-2</v>
      </c>
      <c r="CF20">
        <v>5.8724019199999998E-2</v>
      </c>
      <c r="CG20">
        <v>7.7476044800000005E-2</v>
      </c>
      <c r="CH20">
        <v>6.4592281599999996E-2</v>
      </c>
      <c r="CI20">
        <v>7.2461219600000001E-2</v>
      </c>
      <c r="CJ20">
        <v>4.56315552E-2</v>
      </c>
      <c r="CK20">
        <v>5.8724019199999998E-2</v>
      </c>
    </row>
    <row r="21" spans="1:99" x14ac:dyDescent="0.25">
      <c r="A21" t="s">
        <v>112</v>
      </c>
      <c r="B21" t="s">
        <v>153</v>
      </c>
      <c r="C21" t="s">
        <v>154</v>
      </c>
      <c r="D21">
        <v>-1</v>
      </c>
      <c r="E21">
        <v>7</v>
      </c>
      <c r="F21">
        <v>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104</v>
      </c>
      <c r="N21">
        <v>15.8053130403973</v>
      </c>
      <c r="O21">
        <v>-1</v>
      </c>
      <c r="P21">
        <v>-1</v>
      </c>
      <c r="Q21">
        <v>-1</v>
      </c>
      <c r="R21">
        <v>1.1120000000000001</v>
      </c>
      <c r="S21">
        <v>1.1419999999999999</v>
      </c>
      <c r="T21">
        <v>1.2050000000000001</v>
      </c>
      <c r="U21">
        <v>1.181</v>
      </c>
      <c r="V21">
        <v>1.304</v>
      </c>
      <c r="W21">
        <v>1.266</v>
      </c>
      <c r="X21">
        <v>1.2470000000000001</v>
      </c>
      <c r="AL21" t="s">
        <v>156</v>
      </c>
      <c r="AM21" t="s">
        <v>155</v>
      </c>
      <c r="AN21" t="s">
        <v>155</v>
      </c>
      <c r="AO21" t="s">
        <v>155</v>
      </c>
      <c r="AP21" t="s">
        <v>155</v>
      </c>
      <c r="AQ21" t="s">
        <v>155</v>
      </c>
      <c r="AR21" t="s">
        <v>155</v>
      </c>
      <c r="BZ21">
        <v>8.0480916655063837</v>
      </c>
      <c r="CA21">
        <v>127.20260815114086</v>
      </c>
      <c r="CB21">
        <v>6.4556447763001898</v>
      </c>
      <c r="CC21">
        <v>6.9164530838994196</v>
      </c>
      <c r="CD21">
        <v>7.9484908334977504</v>
      </c>
      <c r="CE21">
        <v>7.54493427705596</v>
      </c>
      <c r="CF21">
        <v>9.7520784873138897</v>
      </c>
      <c r="CG21">
        <v>9.0329898855047492</v>
      </c>
      <c r="CH21">
        <v>8.6860503149727304</v>
      </c>
    </row>
    <row r="22" spans="1:99" x14ac:dyDescent="0.25">
      <c r="A22" t="s">
        <v>112</v>
      </c>
      <c r="B22" t="s">
        <v>210</v>
      </c>
      <c r="C22" t="s">
        <v>192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5951.25</v>
      </c>
      <c r="N22">
        <v>904.43624261215598</v>
      </c>
      <c r="O22">
        <v>115</v>
      </c>
      <c r="P22">
        <v>-1</v>
      </c>
      <c r="Q22">
        <v>115</v>
      </c>
      <c r="R22">
        <v>0.219</v>
      </c>
      <c r="S22">
        <v>0.13800000000000001</v>
      </c>
      <c r="T22">
        <v>0.155</v>
      </c>
      <c r="U22">
        <v>0.192</v>
      </c>
      <c r="V22">
        <v>0.20200000000000001</v>
      </c>
      <c r="W22">
        <v>0.19500000000000001</v>
      </c>
      <c r="X22">
        <v>0.19700000000000001</v>
      </c>
      <c r="Y22">
        <v>0.16500000000000001</v>
      </c>
      <c r="Z22">
        <v>0.187</v>
      </c>
      <c r="AA22">
        <v>0.182</v>
      </c>
      <c r="AB22">
        <v>0.17599999999999999</v>
      </c>
      <c r="AC22">
        <v>0.17100000000000001</v>
      </c>
      <c r="AD22">
        <v>0.21099999999999999</v>
      </c>
      <c r="AE22">
        <v>0.16300000000000001</v>
      </c>
      <c r="AF22">
        <v>0.21099999999999999</v>
      </c>
      <c r="AG22">
        <v>0.17299999999999999</v>
      </c>
      <c r="AH22">
        <v>0.21299999999999999</v>
      </c>
      <c r="AI22">
        <v>0.20100000000000001</v>
      </c>
      <c r="AJ22">
        <v>0.193</v>
      </c>
      <c r="AK22">
        <v>0.19700000000000001</v>
      </c>
      <c r="BZ22">
        <v>6.7831393500000003E-2</v>
      </c>
      <c r="CA22">
        <v>61.349170668286625</v>
      </c>
      <c r="CB22">
        <v>0.10503459</v>
      </c>
      <c r="CC22">
        <v>2.628072E-2</v>
      </c>
      <c r="CD22">
        <v>3.7238750000000001E-2</v>
      </c>
      <c r="CE22">
        <v>7.0778880000000002E-2</v>
      </c>
      <c r="CF22">
        <v>8.2424079999999997E-2</v>
      </c>
      <c r="CG22">
        <v>7.4148749999999999E-2</v>
      </c>
      <c r="CH22">
        <v>7.6453729999999998E-2</v>
      </c>
      <c r="CI22">
        <v>4.4921250000000003E-2</v>
      </c>
      <c r="CJ22">
        <v>6.5392030000000004E-2</v>
      </c>
      <c r="CK22">
        <v>6.0285680000000001E-2</v>
      </c>
      <c r="CL22">
        <v>5.4517759999999998E-2</v>
      </c>
      <c r="CM22">
        <v>5.0002110000000002E-2</v>
      </c>
      <c r="CN22">
        <v>9.3939309999999998E-2</v>
      </c>
      <c r="CO22">
        <v>4.3307470000000001E-2</v>
      </c>
      <c r="CP22">
        <v>9.3939309999999998E-2</v>
      </c>
      <c r="CQ22">
        <v>5.1777169999999997E-2</v>
      </c>
      <c r="CR22">
        <v>9.6635970000000002E-2</v>
      </c>
      <c r="CS22">
        <v>8.1206009999999995E-2</v>
      </c>
      <c r="CT22">
        <v>7.1890570000000001E-2</v>
      </c>
      <c r="CU22">
        <v>7.6453729999999998E-2</v>
      </c>
    </row>
    <row r="23" spans="1:99" x14ac:dyDescent="0.25">
      <c r="A23" t="s">
        <v>112</v>
      </c>
      <c r="B23" t="s">
        <v>182</v>
      </c>
      <c r="C23" t="s">
        <v>154</v>
      </c>
      <c r="D23">
        <v>-1</v>
      </c>
      <c r="E23">
        <v>3</v>
      </c>
      <c r="F23">
        <v>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52</v>
      </c>
      <c r="N23">
        <v>7.9026565201986303</v>
      </c>
      <c r="O23">
        <v>-1</v>
      </c>
      <c r="P23">
        <v>-1</v>
      </c>
      <c r="Q23">
        <v>-1</v>
      </c>
      <c r="R23">
        <v>0.52400000000000002</v>
      </c>
      <c r="S23">
        <v>0.55000000000000004</v>
      </c>
      <c r="T23">
        <v>0.54600000000000004</v>
      </c>
      <c r="U23">
        <v>0.52700000000000002</v>
      </c>
      <c r="AL23" t="s">
        <v>159</v>
      </c>
      <c r="AM23" t="s">
        <v>156</v>
      </c>
      <c r="AN23" t="s">
        <v>155</v>
      </c>
      <c r="AO23" t="s">
        <v>155</v>
      </c>
      <c r="BZ23">
        <v>0.44593885318626419</v>
      </c>
      <c r="CA23">
        <v>3.5241015857423306</v>
      </c>
      <c r="CB23">
        <v>0.40427235957280599</v>
      </c>
      <c r="CC23">
        <v>0.489969128462592</v>
      </c>
      <c r="CD23">
        <v>0.475974439914162</v>
      </c>
      <c r="CE23">
        <v>0.41353948479549701</v>
      </c>
    </row>
    <row r="24" spans="1:99" x14ac:dyDescent="0.25">
      <c r="A24" t="s">
        <v>115</v>
      </c>
      <c r="B24" t="s">
        <v>172</v>
      </c>
      <c r="C24" t="s">
        <v>158</v>
      </c>
      <c r="D24">
        <v>-1</v>
      </c>
      <c r="E24">
        <v>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15.75</v>
      </c>
      <c r="N24">
        <v>2.66456588221864</v>
      </c>
      <c r="O24">
        <v>-1</v>
      </c>
      <c r="P24">
        <v>-1</v>
      </c>
      <c r="Q24">
        <v>-1</v>
      </c>
      <c r="R24">
        <v>0.28399999999999997</v>
      </c>
      <c r="AL24" t="s">
        <v>159</v>
      </c>
      <c r="BZ24">
        <v>0.62330704450808005</v>
      </c>
      <c r="CA24">
        <v>1.6608426849427653</v>
      </c>
      <c r="CB24">
        <v>0.62330704450808005</v>
      </c>
    </row>
    <row r="25" spans="1:99" x14ac:dyDescent="0.25">
      <c r="A25" t="s">
        <v>115</v>
      </c>
      <c r="B25" t="s">
        <v>196</v>
      </c>
      <c r="C25" t="s">
        <v>197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1318</v>
      </c>
      <c r="N25">
        <v>222.97764017550301</v>
      </c>
      <c r="O25">
        <v>1318</v>
      </c>
      <c r="P25">
        <v>-1</v>
      </c>
      <c r="Q25">
        <v>1318</v>
      </c>
      <c r="R25">
        <v>0.14899999999999999</v>
      </c>
      <c r="S25">
        <v>0.17699999999999999</v>
      </c>
      <c r="T25">
        <v>0.184</v>
      </c>
      <c r="U25">
        <v>0.14299999999999999</v>
      </c>
      <c r="V25">
        <v>0.192</v>
      </c>
      <c r="W25">
        <v>0.17100000000000001</v>
      </c>
      <c r="X25">
        <v>0.14000000000000001</v>
      </c>
      <c r="Y25">
        <v>0.13800000000000001</v>
      </c>
      <c r="Z25">
        <v>0.192</v>
      </c>
      <c r="AA25">
        <v>0.14299999999999999</v>
      </c>
      <c r="AB25">
        <v>0.185</v>
      </c>
      <c r="AC25">
        <v>0.19400000000000001</v>
      </c>
      <c r="AD25">
        <v>0.14099999999999999</v>
      </c>
      <c r="AE25">
        <v>0.123</v>
      </c>
      <c r="AF25">
        <v>0.151</v>
      </c>
      <c r="AG25">
        <v>0.14199999999999999</v>
      </c>
      <c r="AH25">
        <v>0.14599999999999999</v>
      </c>
      <c r="AI25">
        <v>0.189</v>
      </c>
      <c r="AJ25">
        <v>0.105</v>
      </c>
      <c r="AK25">
        <v>0.122</v>
      </c>
      <c r="BZ25">
        <v>8.591539844120509E-2</v>
      </c>
      <c r="CA25">
        <v>19.157212799158</v>
      </c>
      <c r="CB25">
        <v>7.3084312737679707E-2</v>
      </c>
      <c r="CC25">
        <v>0.11048745306659181</v>
      </c>
      <c r="CD25">
        <v>0.1212662362035863</v>
      </c>
      <c r="CE25">
        <v>6.6219151722577044E-2</v>
      </c>
      <c r="CF25">
        <v>0.13430744025989136</v>
      </c>
      <c r="CG25">
        <v>0.10171096812044977</v>
      </c>
      <c r="CH25">
        <v>6.2933865666250186E-2</v>
      </c>
      <c r="CI25">
        <v>6.0797669266349663E-2</v>
      </c>
      <c r="CJ25">
        <v>0.13430744025989136</v>
      </c>
      <c r="CK25">
        <v>6.6219151722577044E-2</v>
      </c>
      <c r="CL25">
        <v>0.12285399154068005</v>
      </c>
      <c r="CM25">
        <v>0.13768964334490719</v>
      </c>
      <c r="CN25">
        <v>6.4018131398123818E-2</v>
      </c>
      <c r="CO25">
        <v>4.6126381923769305E-2</v>
      </c>
      <c r="CP25">
        <v>7.5460868039834816E-2</v>
      </c>
      <c r="CQ25">
        <v>6.5113216540746796E-2</v>
      </c>
      <c r="CR25">
        <v>6.9602361859324738E-2</v>
      </c>
      <c r="CS25">
        <v>0.12932588325119743</v>
      </c>
      <c r="CT25">
        <v>3.1552330394801202E-2</v>
      </c>
      <c r="CU25">
        <v>4.5231471504872452E-2</v>
      </c>
    </row>
    <row r="26" spans="1:99" x14ac:dyDescent="0.25">
      <c r="A26" t="s">
        <v>115</v>
      </c>
      <c r="B26" t="s">
        <v>173</v>
      </c>
      <c r="C26" t="s">
        <v>168</v>
      </c>
      <c r="D26">
        <v>-1</v>
      </c>
      <c r="E26">
        <v>24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378</v>
      </c>
      <c r="N26">
        <v>63.949581173247402</v>
      </c>
      <c r="O26">
        <v>-1</v>
      </c>
      <c r="P26">
        <v>-1</v>
      </c>
      <c r="Q26">
        <v>-1</v>
      </c>
      <c r="R26">
        <v>0.80700000000000005</v>
      </c>
      <c r="S26">
        <v>0.64700000000000002</v>
      </c>
      <c r="T26">
        <v>0.79</v>
      </c>
      <c r="U26">
        <v>0.83199999999999996</v>
      </c>
      <c r="V26">
        <v>0.77600000000000002</v>
      </c>
      <c r="W26">
        <v>0.83799999999999997</v>
      </c>
      <c r="X26">
        <v>0.874</v>
      </c>
      <c r="Y26">
        <v>0.85</v>
      </c>
      <c r="Z26">
        <v>0.82499999999999996</v>
      </c>
      <c r="AA26">
        <v>0.85899999999999999</v>
      </c>
      <c r="AB26">
        <v>0.80800000000000005</v>
      </c>
      <c r="AC26">
        <v>0.69199999999999995</v>
      </c>
      <c r="AD26">
        <v>0.72299999999999998</v>
      </c>
      <c r="AE26">
        <v>0.82899999999999996</v>
      </c>
      <c r="AF26">
        <v>0.86599999999999999</v>
      </c>
      <c r="AG26">
        <v>0.627</v>
      </c>
      <c r="AH26">
        <v>0.59199999999999997</v>
      </c>
      <c r="AI26">
        <v>0.50700000000000001</v>
      </c>
      <c r="AJ26">
        <v>0.75700000000000001</v>
      </c>
      <c r="AK26">
        <v>0.71</v>
      </c>
      <c r="AL26" t="s">
        <v>169</v>
      </c>
      <c r="AM26" t="s">
        <v>169</v>
      </c>
      <c r="AN26" t="s">
        <v>169</v>
      </c>
      <c r="AO26" t="s">
        <v>169</v>
      </c>
      <c r="AP26" t="s">
        <v>169</v>
      </c>
      <c r="AQ26" t="s">
        <v>169</v>
      </c>
      <c r="AR26" t="s">
        <v>169</v>
      </c>
      <c r="AS26" t="s">
        <v>169</v>
      </c>
      <c r="AT26" t="s">
        <v>169</v>
      </c>
      <c r="AU26" t="s">
        <v>169</v>
      </c>
      <c r="AV26" t="s">
        <v>169</v>
      </c>
      <c r="AW26" t="s">
        <v>169</v>
      </c>
      <c r="AX26" t="s">
        <v>169</v>
      </c>
      <c r="AY26" t="s">
        <v>169</v>
      </c>
      <c r="AZ26" t="s">
        <v>169</v>
      </c>
      <c r="BA26" t="s">
        <v>169</v>
      </c>
      <c r="BB26" t="s">
        <v>169</v>
      </c>
      <c r="BC26" t="s">
        <v>169</v>
      </c>
      <c r="BD26" t="s">
        <v>169</v>
      </c>
      <c r="BE26" t="s">
        <v>169</v>
      </c>
      <c r="BZ26">
        <v>1.9397253501171066</v>
      </c>
      <c r="CA26">
        <v>124.04462373111964</v>
      </c>
      <c r="CB26">
        <v>2.24500220970608</v>
      </c>
      <c r="CC26">
        <v>0.93372467157604999</v>
      </c>
      <c r="CD26">
        <v>2.0630435335392199</v>
      </c>
      <c r="CE26">
        <v>2.5340690539667698</v>
      </c>
      <c r="CF26">
        <v>1.92167470408387</v>
      </c>
      <c r="CG26">
        <v>2.6073995961352701</v>
      </c>
      <c r="CH26">
        <v>3.0812662535889501</v>
      </c>
      <c r="CI26">
        <v>2.7588111657657999</v>
      </c>
      <c r="CJ26">
        <v>2.4504791728531501</v>
      </c>
      <c r="CK26">
        <v>2.8766147326331</v>
      </c>
      <c r="CL26">
        <v>2.2560667360250299</v>
      </c>
      <c r="CM26">
        <v>1.2194107938735299</v>
      </c>
      <c r="CN26">
        <v>1.4511352112182201</v>
      </c>
      <c r="CO26">
        <v>2.4979878762977998</v>
      </c>
      <c r="CP26">
        <v>2.97080995998251</v>
      </c>
      <c r="CQ26">
        <v>0.82429179530200902</v>
      </c>
      <c r="CR26">
        <v>0.65621479182391396</v>
      </c>
      <c r="CS26">
        <v>0.35465855356317999</v>
      </c>
      <c r="CT26">
        <v>1.7415641715627099</v>
      </c>
      <c r="CU26">
        <v>1.35028201884497</v>
      </c>
    </row>
    <row r="27" spans="1:99" x14ac:dyDescent="0.25">
      <c r="A27" t="s">
        <v>115</v>
      </c>
      <c r="B27" t="s">
        <v>170</v>
      </c>
      <c r="C27" t="s">
        <v>158</v>
      </c>
      <c r="D27">
        <v>-1</v>
      </c>
      <c r="E27">
        <v>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15.75</v>
      </c>
      <c r="N27">
        <v>2.66456588221864</v>
      </c>
      <c r="O27">
        <v>-1</v>
      </c>
      <c r="P27">
        <v>-1</v>
      </c>
      <c r="Q27">
        <v>-1</v>
      </c>
      <c r="R27">
        <v>0.56499999999999995</v>
      </c>
      <c r="AL27" t="s">
        <v>159</v>
      </c>
      <c r="BZ27">
        <v>0.98172905917248998</v>
      </c>
      <c r="CA27">
        <v>2.615881756653621</v>
      </c>
      <c r="CB27">
        <v>0.98172905917248998</v>
      </c>
    </row>
    <row r="28" spans="1:99" x14ac:dyDescent="0.25">
      <c r="A28" t="s">
        <v>115</v>
      </c>
      <c r="B28" t="s">
        <v>166</v>
      </c>
      <c r="C28" t="s">
        <v>154</v>
      </c>
      <c r="D28">
        <v>-1</v>
      </c>
      <c r="E28">
        <v>18</v>
      </c>
      <c r="F28">
        <v>69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1370.25</v>
      </c>
      <c r="N28">
        <v>231.81723175302201</v>
      </c>
      <c r="O28">
        <v>-1</v>
      </c>
      <c r="P28">
        <v>-1</v>
      </c>
      <c r="Q28">
        <v>-1</v>
      </c>
      <c r="R28">
        <v>0.87</v>
      </c>
      <c r="S28">
        <v>0.86399999999999999</v>
      </c>
      <c r="T28">
        <v>0.79100000000000004</v>
      </c>
      <c r="U28">
        <v>0.81299999999999994</v>
      </c>
      <c r="V28">
        <v>0.80900000000000005</v>
      </c>
      <c r="W28">
        <v>0.90700000000000003</v>
      </c>
      <c r="X28">
        <v>0.81299999999999994</v>
      </c>
      <c r="Y28">
        <v>0.83299999999999996</v>
      </c>
      <c r="Z28">
        <v>0.83499999999999996</v>
      </c>
      <c r="AA28">
        <v>0.84499999999999997</v>
      </c>
      <c r="AB28">
        <v>0.86599999999999999</v>
      </c>
      <c r="AC28">
        <v>0.754</v>
      </c>
      <c r="AD28">
        <v>0.879</v>
      </c>
      <c r="AE28">
        <v>0.85699999999999998</v>
      </c>
      <c r="AF28">
        <v>0.84499999999999997</v>
      </c>
      <c r="AG28">
        <v>0.77500000000000002</v>
      </c>
      <c r="AH28">
        <v>1.0760000000000001</v>
      </c>
      <c r="AI28">
        <v>0.78900000000000003</v>
      </c>
      <c r="AJ28">
        <v>0.77500000000000002</v>
      </c>
      <c r="AK28">
        <v>1.006</v>
      </c>
      <c r="AL28" t="s">
        <v>156</v>
      </c>
      <c r="AM28" t="s">
        <v>156</v>
      </c>
      <c r="AN28" t="s">
        <v>156</v>
      </c>
      <c r="AO28" t="s">
        <v>156</v>
      </c>
      <c r="AP28" t="s">
        <v>156</v>
      </c>
      <c r="AQ28" t="s">
        <v>156</v>
      </c>
      <c r="AR28" t="s">
        <v>156</v>
      </c>
      <c r="AS28" t="s">
        <v>156</v>
      </c>
      <c r="AT28" t="s">
        <v>156</v>
      </c>
      <c r="AU28" t="s">
        <v>156</v>
      </c>
      <c r="AV28" t="s">
        <v>156</v>
      </c>
      <c r="AW28" t="s">
        <v>156</v>
      </c>
      <c r="AX28" t="s">
        <v>156</v>
      </c>
      <c r="AY28" t="s">
        <v>156</v>
      </c>
      <c r="AZ28" t="s">
        <v>156</v>
      </c>
      <c r="BA28" t="s">
        <v>156</v>
      </c>
      <c r="BB28" t="s">
        <v>155</v>
      </c>
      <c r="BC28" t="s">
        <v>156</v>
      </c>
      <c r="BD28" t="s">
        <v>156</v>
      </c>
      <c r="BE28" t="s">
        <v>155</v>
      </c>
      <c r="BZ28">
        <v>2.8996898283168635</v>
      </c>
      <c r="CA28">
        <v>672.19806894281101</v>
      </c>
      <c r="CB28">
        <v>3.0256610383557998</v>
      </c>
      <c r="CC28">
        <v>2.9436650911415101</v>
      </c>
      <c r="CD28">
        <v>2.07343048453611</v>
      </c>
      <c r="CE28">
        <v>2.31200253519168</v>
      </c>
      <c r="CF28">
        <v>2.2671720075279098</v>
      </c>
      <c r="CG28">
        <v>3.56968397476356</v>
      </c>
      <c r="CH28">
        <v>2.31200253519168</v>
      </c>
      <c r="CI28">
        <v>2.54618230447532</v>
      </c>
      <c r="CJ28">
        <v>2.5705387058146498</v>
      </c>
      <c r="CK28">
        <v>2.6949454232666099</v>
      </c>
      <c r="CL28">
        <v>2.97080995998251</v>
      </c>
      <c r="CM28">
        <v>1.7143247022144501</v>
      </c>
      <c r="CN28">
        <v>3.15184370960805</v>
      </c>
      <c r="CO28">
        <v>2.850117094637</v>
      </c>
      <c r="CP28">
        <v>2.6949454232666099</v>
      </c>
      <c r="CQ28">
        <v>1.91186225366874</v>
      </c>
      <c r="CR28">
        <v>7.0343432609239303</v>
      </c>
      <c r="CS28">
        <v>2.05269555890222</v>
      </c>
      <c r="CT28">
        <v>1.91186225366874</v>
      </c>
      <c r="CU28">
        <v>5.3857082492001904</v>
      </c>
    </row>
    <row r="29" spans="1:99" x14ac:dyDescent="0.25">
      <c r="A29" t="s">
        <v>115</v>
      </c>
      <c r="B29" t="s">
        <v>198</v>
      </c>
      <c r="C29" t="s">
        <v>199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4</v>
      </c>
      <c r="N29">
        <v>0.67671514469044902</v>
      </c>
      <c r="O29">
        <v>4</v>
      </c>
      <c r="P29">
        <v>-1</v>
      </c>
      <c r="Q29">
        <v>4</v>
      </c>
      <c r="R29">
        <v>0.11600000000000001</v>
      </c>
      <c r="S29">
        <v>8.1000000000000003E-2</v>
      </c>
      <c r="T29">
        <v>0.111</v>
      </c>
      <c r="U29">
        <v>8.6999999999999994E-2</v>
      </c>
      <c r="BZ29">
        <v>0.14562947866379286</v>
      </c>
      <c r="CA29">
        <v>9.8549673725163239E-2</v>
      </c>
      <c r="CB29">
        <v>0.19035215896949942</v>
      </c>
      <c r="CC29">
        <v>0.10316976392212798</v>
      </c>
      <c r="CD29">
        <v>0.17440424030734322</v>
      </c>
      <c r="CE29">
        <v>0.11459175145620078</v>
      </c>
      <c r="CF29" t="s">
        <v>239</v>
      </c>
      <c r="CG29" t="s">
        <v>239</v>
      </c>
      <c r="CH29" t="s">
        <v>239</v>
      </c>
      <c r="CI29" t="s">
        <v>239</v>
      </c>
      <c r="CJ29" t="s">
        <v>239</v>
      </c>
      <c r="CK29" t="s">
        <v>239</v>
      </c>
      <c r="CL29" t="s">
        <v>239</v>
      </c>
      <c r="CM29" t="s">
        <v>239</v>
      </c>
      <c r="CN29" t="s">
        <v>239</v>
      </c>
      <c r="CO29" t="s">
        <v>239</v>
      </c>
      <c r="CP29" t="s">
        <v>239</v>
      </c>
      <c r="CQ29" t="s">
        <v>239</v>
      </c>
      <c r="CR29" t="s">
        <v>239</v>
      </c>
      <c r="CS29" t="s">
        <v>239</v>
      </c>
      <c r="CT29" t="s">
        <v>239</v>
      </c>
      <c r="CU29" t="s">
        <v>239</v>
      </c>
    </row>
    <row r="30" spans="1:99" x14ac:dyDescent="0.25">
      <c r="A30" t="s">
        <v>115</v>
      </c>
      <c r="B30" t="s">
        <v>177</v>
      </c>
      <c r="C30" t="s">
        <v>168</v>
      </c>
      <c r="D30">
        <v>-1</v>
      </c>
      <c r="E30">
        <v>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15.75</v>
      </c>
      <c r="N30">
        <v>2.66456588221864</v>
      </c>
      <c r="O30">
        <v>-1</v>
      </c>
      <c r="P30">
        <v>-1</v>
      </c>
      <c r="Q30">
        <v>-1</v>
      </c>
      <c r="R30">
        <v>0.307</v>
      </c>
      <c r="AL30" t="s">
        <v>169</v>
      </c>
      <c r="BZ30">
        <v>0.230259002383148</v>
      </c>
      <c r="CA30">
        <v>0.61354028182383669</v>
      </c>
      <c r="CB30">
        <v>0.230259002383148</v>
      </c>
    </row>
    <row r="31" spans="1:99" x14ac:dyDescent="0.25">
      <c r="A31" t="s">
        <v>115</v>
      </c>
      <c r="B31" t="s">
        <v>184</v>
      </c>
      <c r="C31" t="s">
        <v>154</v>
      </c>
      <c r="D31">
        <v>-1</v>
      </c>
      <c r="E31">
        <v>1</v>
      </c>
      <c r="F31">
        <v>0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15.75</v>
      </c>
      <c r="N31">
        <v>2.66456588221864</v>
      </c>
      <c r="O31">
        <v>-1</v>
      </c>
      <c r="P31">
        <v>-1</v>
      </c>
      <c r="Q31">
        <v>-1</v>
      </c>
      <c r="R31">
        <v>0.55500000000000005</v>
      </c>
      <c r="AL31" t="s">
        <v>155</v>
      </c>
      <c r="BZ31">
        <v>1.06720303710644</v>
      </c>
      <c r="CA31">
        <v>2.8436328020739334</v>
      </c>
      <c r="CB31">
        <v>1.06720303710644</v>
      </c>
    </row>
    <row r="32" spans="1:99" x14ac:dyDescent="0.25">
      <c r="A32" t="s">
        <v>115</v>
      </c>
      <c r="B32" t="s">
        <v>201</v>
      </c>
      <c r="C32" t="s">
        <v>192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3</v>
      </c>
      <c r="N32">
        <v>0.50753635851783596</v>
      </c>
      <c r="O32">
        <v>3</v>
      </c>
      <c r="P32">
        <v>-1</v>
      </c>
      <c r="Q32">
        <v>3</v>
      </c>
      <c r="R32">
        <v>0.13300000000000001</v>
      </c>
      <c r="S32">
        <v>0.14599999999999999</v>
      </c>
      <c r="T32">
        <v>0.123</v>
      </c>
      <c r="BZ32">
        <v>7.4355246E-3</v>
      </c>
      <c r="CA32">
        <v>3.773799079153789E-3</v>
      </c>
      <c r="CB32">
        <v>7.1637796649999998E-3</v>
      </c>
      <c r="CC32">
        <v>9.47645412E-3</v>
      </c>
      <c r="CD32">
        <v>5.6663400150000001E-3</v>
      </c>
    </row>
    <row r="33" spans="1:99" x14ac:dyDescent="0.25">
      <c r="A33" t="s">
        <v>115</v>
      </c>
      <c r="B33" t="s">
        <v>202</v>
      </c>
      <c r="C33" t="s">
        <v>192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3</v>
      </c>
      <c r="N33">
        <v>0.50753635851783596</v>
      </c>
      <c r="O33">
        <v>3</v>
      </c>
      <c r="P33">
        <v>-1</v>
      </c>
      <c r="Q33">
        <v>3</v>
      </c>
      <c r="R33">
        <v>0.125</v>
      </c>
      <c r="S33">
        <v>0.11</v>
      </c>
      <c r="T33">
        <v>0.126</v>
      </c>
      <c r="BZ33">
        <v>3.5230006666666664E-3</v>
      </c>
      <c r="CA33">
        <v>1.7880509294159084E-3</v>
      </c>
      <c r="CB33">
        <v>3.90625E-3</v>
      </c>
      <c r="CC33">
        <v>2.6619999999999999E-3</v>
      </c>
      <c r="CD33">
        <v>4.0007519999999998E-3</v>
      </c>
    </row>
    <row r="34" spans="1:99" x14ac:dyDescent="0.25">
      <c r="A34" t="s">
        <v>115</v>
      </c>
      <c r="B34" t="s">
        <v>204</v>
      </c>
      <c r="C34" t="s">
        <v>192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3</v>
      </c>
      <c r="N34">
        <v>0.50753635851783596</v>
      </c>
      <c r="O34">
        <v>3</v>
      </c>
      <c r="P34">
        <v>-1</v>
      </c>
      <c r="Q34">
        <v>3</v>
      </c>
      <c r="R34">
        <v>0.13200000000000001</v>
      </c>
      <c r="S34">
        <v>0.126</v>
      </c>
      <c r="T34">
        <v>0.13800000000000001</v>
      </c>
      <c r="BZ34">
        <v>4.6189439999999998E-3</v>
      </c>
      <c r="CA34">
        <v>2.3442820179578072E-3</v>
      </c>
      <c r="CB34">
        <v>4.5999359999999998E-3</v>
      </c>
      <c r="CC34">
        <v>4.0007519999999998E-3</v>
      </c>
      <c r="CD34">
        <v>5.2561439999999999E-3</v>
      </c>
    </row>
    <row r="35" spans="1:99" x14ac:dyDescent="0.25">
      <c r="A35" t="s">
        <v>115</v>
      </c>
      <c r="B35" t="s">
        <v>205</v>
      </c>
      <c r="C35" t="s">
        <v>192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1</v>
      </c>
      <c r="N35">
        <v>0.16917878617261201</v>
      </c>
      <c r="O35">
        <v>1</v>
      </c>
      <c r="P35">
        <v>-1</v>
      </c>
      <c r="Q35">
        <v>1</v>
      </c>
      <c r="R35">
        <v>0.13300000000000001</v>
      </c>
      <c r="BZ35">
        <v>4.7052739999999997E-3</v>
      </c>
      <c r="CA35">
        <v>7.9603254392955072E-4</v>
      </c>
      <c r="CB35">
        <v>4.7052739999999997E-3</v>
      </c>
    </row>
    <row r="36" spans="1:99" x14ac:dyDescent="0.25">
      <c r="A36" t="s">
        <v>115</v>
      </c>
      <c r="B36" t="s">
        <v>232</v>
      </c>
      <c r="C36" t="s">
        <v>192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1</v>
      </c>
      <c r="N36">
        <v>0.16917878617261201</v>
      </c>
      <c r="O36">
        <v>1</v>
      </c>
      <c r="P36">
        <v>-1</v>
      </c>
      <c r="Q36">
        <v>1</v>
      </c>
      <c r="R36">
        <v>0.129</v>
      </c>
      <c r="BZ36">
        <v>4.9588515899999998E-2</v>
      </c>
      <c r="CA36">
        <v>8.3893249280632704E-3</v>
      </c>
      <c r="CB36">
        <v>4.9588515899999998E-2</v>
      </c>
    </row>
    <row r="37" spans="1:99" x14ac:dyDescent="0.25">
      <c r="A37" t="s">
        <v>115</v>
      </c>
      <c r="B37" t="s">
        <v>226</v>
      </c>
      <c r="C37" t="s">
        <v>192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6</v>
      </c>
      <c r="N37">
        <v>1.0150727170356699</v>
      </c>
      <c r="O37">
        <v>6</v>
      </c>
      <c r="P37">
        <v>-1</v>
      </c>
      <c r="Q37">
        <v>6</v>
      </c>
      <c r="R37">
        <v>0.13200000000000001</v>
      </c>
      <c r="S37">
        <v>0.129</v>
      </c>
      <c r="T37">
        <v>0.11899999999999999</v>
      </c>
      <c r="U37">
        <v>0.13700000000000001</v>
      </c>
      <c r="V37">
        <v>0.125</v>
      </c>
      <c r="W37">
        <v>0.128</v>
      </c>
      <c r="BZ37">
        <v>4.2511486666666669E-3</v>
      </c>
      <c r="CA37">
        <v>4.3152250275958993E-3</v>
      </c>
      <c r="CB37">
        <v>4.5999359999999998E-3</v>
      </c>
      <c r="CC37">
        <v>4.2933779999999996E-3</v>
      </c>
      <c r="CD37">
        <v>3.3703180000000002E-3</v>
      </c>
      <c r="CE37">
        <v>5.1427060000000004E-3</v>
      </c>
      <c r="CF37">
        <v>3.90625E-3</v>
      </c>
      <c r="CG37">
        <v>4.1943040000000003E-3</v>
      </c>
    </row>
    <row r="38" spans="1:99" x14ac:dyDescent="0.25">
      <c r="A38" t="s">
        <v>115</v>
      </c>
      <c r="B38" t="s">
        <v>161</v>
      </c>
      <c r="C38" t="s">
        <v>154</v>
      </c>
      <c r="D38">
        <v>-1</v>
      </c>
      <c r="E38">
        <v>1</v>
      </c>
      <c r="F38">
        <v>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31.5</v>
      </c>
      <c r="N38">
        <v>5.32913176443728</v>
      </c>
      <c r="O38">
        <v>-1</v>
      </c>
      <c r="P38">
        <v>-1</v>
      </c>
      <c r="Q38">
        <v>-1</v>
      </c>
      <c r="R38">
        <v>0.97399999999999998</v>
      </c>
      <c r="S38">
        <v>0.94299999999999995</v>
      </c>
      <c r="AL38" t="s">
        <v>155</v>
      </c>
      <c r="AM38" t="s">
        <v>156</v>
      </c>
      <c r="BZ38">
        <v>4.3962824996329299</v>
      </c>
      <c r="CA38">
        <v>23.428368714233571</v>
      </c>
      <c r="CB38">
        <v>4.5803210955642601</v>
      </c>
      <c r="CC38">
        <v>4.2122439037015997</v>
      </c>
    </row>
    <row r="39" spans="1:99" x14ac:dyDescent="0.25">
      <c r="A39" t="s">
        <v>115</v>
      </c>
      <c r="B39" t="s">
        <v>181</v>
      </c>
      <c r="C39" t="s">
        <v>154</v>
      </c>
      <c r="D39">
        <v>-1</v>
      </c>
      <c r="E39">
        <v>48</v>
      </c>
      <c r="F39">
        <v>18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1039.5</v>
      </c>
      <c r="N39">
        <v>175.86134822643001</v>
      </c>
      <c r="O39">
        <v>-1</v>
      </c>
      <c r="P39">
        <v>-1</v>
      </c>
      <c r="Q39">
        <v>-1</v>
      </c>
      <c r="R39">
        <v>1.4770000000000001</v>
      </c>
      <c r="S39">
        <v>1.397</v>
      </c>
      <c r="T39">
        <v>1.3080000000000001</v>
      </c>
      <c r="U39">
        <v>1.296</v>
      </c>
      <c r="V39">
        <v>1.3460000000000001</v>
      </c>
      <c r="W39">
        <v>1.2689999999999999</v>
      </c>
      <c r="X39">
        <v>1.3919999999999999</v>
      </c>
      <c r="Y39">
        <v>1.42</v>
      </c>
      <c r="Z39">
        <v>1.4079999999999999</v>
      </c>
      <c r="AA39">
        <v>1.415</v>
      </c>
      <c r="AB39">
        <v>1.4039999999999999</v>
      </c>
      <c r="AC39">
        <v>1.4610000000000001</v>
      </c>
      <c r="AD39">
        <v>1.4510000000000001</v>
      </c>
      <c r="AE39">
        <v>1.3959999999999999</v>
      </c>
      <c r="AF39">
        <v>1.3360000000000001</v>
      </c>
      <c r="AG39">
        <v>1.393</v>
      </c>
      <c r="AH39">
        <v>1.4279999999999999</v>
      </c>
      <c r="AI39">
        <v>1.3</v>
      </c>
      <c r="AJ39">
        <v>1.4450000000000001</v>
      </c>
      <c r="AK39">
        <v>1.3340000000000001</v>
      </c>
      <c r="AL39" t="s">
        <v>155</v>
      </c>
      <c r="AM39" t="s">
        <v>155</v>
      </c>
      <c r="AN39" t="s">
        <v>156</v>
      </c>
      <c r="AO39" t="s">
        <v>156</v>
      </c>
      <c r="AP39" t="s">
        <v>155</v>
      </c>
      <c r="AQ39" t="s">
        <v>156</v>
      </c>
      <c r="AR39" t="s">
        <v>155</v>
      </c>
      <c r="AS39" t="s">
        <v>155</v>
      </c>
      <c r="AT39" t="s">
        <v>155</v>
      </c>
      <c r="AU39" t="s">
        <v>155</v>
      </c>
      <c r="AV39" t="s">
        <v>155</v>
      </c>
      <c r="AW39" t="s">
        <v>155</v>
      </c>
      <c r="AX39" t="s">
        <v>155</v>
      </c>
      <c r="AY39" t="s">
        <v>155</v>
      </c>
      <c r="AZ39" t="s">
        <v>155</v>
      </c>
      <c r="BA39" t="s">
        <v>155</v>
      </c>
      <c r="BB39" t="s">
        <v>155</v>
      </c>
      <c r="BC39" t="s">
        <v>156</v>
      </c>
      <c r="BD39" t="s">
        <v>155</v>
      </c>
      <c r="BE39" t="s">
        <v>156</v>
      </c>
      <c r="BZ39">
        <v>11.415598297920871</v>
      </c>
      <c r="CA39">
        <v>2007.5625074837039</v>
      </c>
      <c r="CB39">
        <v>13.465537976935501</v>
      </c>
      <c r="CC39">
        <v>11.6570032636586</v>
      </c>
      <c r="CD39">
        <v>9.8297457130007206</v>
      </c>
      <c r="CE39">
        <v>9.5978770043651505</v>
      </c>
      <c r="CF39">
        <v>10.586561659687501</v>
      </c>
      <c r="CG39">
        <v>9.0885338160585007</v>
      </c>
      <c r="CH39">
        <v>11.549251681087901</v>
      </c>
      <c r="CI39">
        <v>12.160600973481699</v>
      </c>
      <c r="CJ39">
        <v>11.896223151757701</v>
      </c>
      <c r="CK39">
        <v>12.050009948483</v>
      </c>
      <c r="CL39">
        <v>11.8088888647749</v>
      </c>
      <c r="CM39">
        <v>13.090983802157201</v>
      </c>
      <c r="CN39">
        <v>12.860173400224401</v>
      </c>
      <c r="CO39">
        <v>11.6354037937108</v>
      </c>
      <c r="CP39">
        <v>10.3840543560698</v>
      </c>
      <c r="CQ39">
        <v>11.5707528649603</v>
      </c>
      <c r="CR39">
        <v>12.338838602365801</v>
      </c>
      <c r="CS39">
        <v>9.6747891458793802</v>
      </c>
      <c r="CT39">
        <v>12.722895209874901</v>
      </c>
      <c r="CU39">
        <v>10.3438407298837</v>
      </c>
    </row>
    <row r="40" spans="1:99" x14ac:dyDescent="0.25">
      <c r="A40" t="s">
        <v>115</v>
      </c>
      <c r="B40" t="s">
        <v>186</v>
      </c>
      <c r="C40" t="s">
        <v>154</v>
      </c>
      <c r="D40">
        <v>-1</v>
      </c>
      <c r="E40">
        <v>8</v>
      </c>
      <c r="F40">
        <v>6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220.5</v>
      </c>
      <c r="N40">
        <v>37.303922351060997</v>
      </c>
      <c r="O40">
        <v>-1</v>
      </c>
      <c r="P40">
        <v>-1</v>
      </c>
      <c r="Q40">
        <v>-1</v>
      </c>
      <c r="R40">
        <v>2.4529999999999998</v>
      </c>
      <c r="S40">
        <v>2.496</v>
      </c>
      <c r="T40">
        <v>2.3159999999999998</v>
      </c>
      <c r="U40">
        <v>2.3839999999999999</v>
      </c>
      <c r="V40">
        <v>2.153</v>
      </c>
      <c r="W40">
        <v>2.3380000000000001</v>
      </c>
      <c r="X40">
        <v>2.3679999999999999</v>
      </c>
      <c r="Y40">
        <v>2.13</v>
      </c>
      <c r="Z40">
        <v>2.3079999999999998</v>
      </c>
      <c r="AA40">
        <v>2.5259999999999998</v>
      </c>
      <c r="AB40">
        <v>2.3210000000000002</v>
      </c>
      <c r="AC40">
        <v>2.3849999999999998</v>
      </c>
      <c r="AD40">
        <v>2.524</v>
      </c>
      <c r="AE40">
        <v>2.548</v>
      </c>
      <c r="AL40" t="s">
        <v>155</v>
      </c>
      <c r="AM40" t="s">
        <v>155</v>
      </c>
      <c r="AN40" t="s">
        <v>156</v>
      </c>
      <c r="AO40" t="s">
        <v>155</v>
      </c>
      <c r="AP40" t="s">
        <v>156</v>
      </c>
      <c r="AQ40" t="s">
        <v>155</v>
      </c>
      <c r="AR40" t="s">
        <v>156</v>
      </c>
      <c r="AS40" t="s">
        <v>156</v>
      </c>
      <c r="AT40" t="s">
        <v>155</v>
      </c>
      <c r="AU40" t="s">
        <v>155</v>
      </c>
      <c r="AV40" t="s">
        <v>156</v>
      </c>
      <c r="AW40" t="s">
        <v>156</v>
      </c>
      <c r="AX40" t="s">
        <v>155</v>
      </c>
      <c r="AY40" t="s">
        <v>155</v>
      </c>
      <c r="BZ40">
        <v>46.33836592714654</v>
      </c>
      <c r="CA40">
        <v>1728.6028044213251</v>
      </c>
      <c r="CB40">
        <v>50.100824851934298</v>
      </c>
      <c r="CC40">
        <v>52.407288586354497</v>
      </c>
      <c r="CD40">
        <v>43.1718921861697</v>
      </c>
      <c r="CE40">
        <v>46.531967543081301</v>
      </c>
      <c r="CF40">
        <v>35.736520375702199</v>
      </c>
      <c r="CG40">
        <v>44.242076147199299</v>
      </c>
      <c r="CH40">
        <v>45.727433220449697</v>
      </c>
      <c r="CI40">
        <v>34.756128892909999</v>
      </c>
      <c r="CJ40">
        <v>42.786716531099103</v>
      </c>
      <c r="CK40">
        <v>54.0543429778769</v>
      </c>
      <c r="CL40">
        <v>43.413703915510297</v>
      </c>
      <c r="CM40">
        <v>46.582537169214397</v>
      </c>
      <c r="CN40">
        <v>53.943564958835303</v>
      </c>
      <c r="CO40">
        <v>55.282125623714599</v>
      </c>
    </row>
    <row r="41" spans="1:99" x14ac:dyDescent="0.25">
      <c r="A41" t="s">
        <v>115</v>
      </c>
      <c r="B41" t="s">
        <v>227</v>
      </c>
      <c r="C41" t="s">
        <v>192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1</v>
      </c>
      <c r="N41">
        <v>0.16917878617261201</v>
      </c>
      <c r="O41">
        <v>1</v>
      </c>
      <c r="P41">
        <v>-1</v>
      </c>
      <c r="Q41">
        <v>1</v>
      </c>
      <c r="R41">
        <v>0.23300000000000001</v>
      </c>
      <c r="BZ41">
        <v>4.4272679500000002E-2</v>
      </c>
      <c r="CA41">
        <v>7.4899981784190836E-3</v>
      </c>
      <c r="CB41">
        <v>4.4272679500000002E-2</v>
      </c>
    </row>
    <row r="42" spans="1:99" x14ac:dyDescent="0.25">
      <c r="A42" t="s">
        <v>115</v>
      </c>
      <c r="B42" t="s">
        <v>221</v>
      </c>
      <c r="C42" t="s">
        <v>192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1</v>
      </c>
      <c r="N42">
        <v>0.16917878617261201</v>
      </c>
      <c r="O42">
        <v>1</v>
      </c>
      <c r="P42">
        <v>-1</v>
      </c>
      <c r="Q42">
        <v>1</v>
      </c>
      <c r="R42">
        <v>0.245</v>
      </c>
      <c r="BZ42">
        <v>5.1471437500000002E-2</v>
      </c>
      <c r="CA42">
        <v>8.7078753188094635E-3</v>
      </c>
      <c r="CB42">
        <v>5.1471437500000002E-2</v>
      </c>
    </row>
    <row r="43" spans="1:99" x14ac:dyDescent="0.25">
      <c r="A43" t="s">
        <v>115</v>
      </c>
      <c r="B43" t="s">
        <v>223</v>
      </c>
      <c r="C43" t="s">
        <v>192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6</v>
      </c>
      <c r="N43">
        <v>1.0150727170356699</v>
      </c>
      <c r="O43">
        <v>6</v>
      </c>
      <c r="P43">
        <v>-1</v>
      </c>
      <c r="Q43">
        <v>6</v>
      </c>
      <c r="R43">
        <v>0.13200000000000001</v>
      </c>
      <c r="S43">
        <v>0.11799999999999999</v>
      </c>
      <c r="T43">
        <v>0.14199999999999999</v>
      </c>
      <c r="U43">
        <v>0.14399999999999999</v>
      </c>
      <c r="V43">
        <v>0.113</v>
      </c>
      <c r="W43">
        <v>0.12</v>
      </c>
      <c r="BZ43">
        <v>6.654426753333334E-2</v>
      </c>
      <c r="CA43">
        <v>6.7547270448209185E-2</v>
      </c>
      <c r="CB43">
        <v>7.0839014399999997E-2</v>
      </c>
      <c r="CC43">
        <v>5.0605385599999997E-2</v>
      </c>
      <c r="CD43">
        <v>8.8189270400000006E-2</v>
      </c>
      <c r="CE43">
        <v>9.1968307200000002E-2</v>
      </c>
      <c r="CF43">
        <v>4.4441227600000001E-2</v>
      </c>
      <c r="CG43">
        <v>5.3222400000000003E-2</v>
      </c>
    </row>
    <row r="44" spans="1:99" x14ac:dyDescent="0.25">
      <c r="A44" t="s">
        <v>115</v>
      </c>
      <c r="B44" t="s">
        <v>210</v>
      </c>
      <c r="C44" t="s">
        <v>192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28</v>
      </c>
      <c r="N44">
        <v>4.7370060128331399</v>
      </c>
      <c r="O44">
        <v>28</v>
      </c>
      <c r="P44">
        <v>-1</v>
      </c>
      <c r="Q44">
        <v>28</v>
      </c>
      <c r="R44">
        <v>0.14599999999999999</v>
      </c>
      <c r="S44">
        <v>0.20899999999999999</v>
      </c>
      <c r="T44">
        <v>0.15</v>
      </c>
      <c r="U44">
        <v>0.14899999999999999</v>
      </c>
      <c r="V44">
        <v>0.14499999999999999</v>
      </c>
      <c r="W44">
        <v>0.2</v>
      </c>
      <c r="X44">
        <v>0.14899999999999999</v>
      </c>
      <c r="Y44">
        <v>0.16500000000000001</v>
      </c>
      <c r="Z44">
        <v>0.16500000000000001</v>
      </c>
      <c r="AA44">
        <v>0.156</v>
      </c>
      <c r="AB44">
        <v>0.122</v>
      </c>
      <c r="AC44">
        <v>0.129</v>
      </c>
      <c r="AD44">
        <v>0.14199999999999999</v>
      </c>
      <c r="AE44">
        <v>0.19400000000000001</v>
      </c>
      <c r="AF44">
        <v>0.183</v>
      </c>
      <c r="AG44">
        <v>0.13700000000000001</v>
      </c>
      <c r="AH44">
        <v>0.16900000000000001</v>
      </c>
      <c r="AI44">
        <v>0.14799999999999999</v>
      </c>
      <c r="AJ44">
        <v>0.13500000000000001</v>
      </c>
      <c r="AK44">
        <v>0.192</v>
      </c>
      <c r="BZ44">
        <v>4.3247783500000005E-2</v>
      </c>
      <c r="CA44">
        <v>0.20486501048120587</v>
      </c>
      <c r="CB44">
        <v>3.1121360000000001E-2</v>
      </c>
      <c r="CC44">
        <v>9.1293289999999999E-2</v>
      </c>
      <c r="CD44">
        <v>3.3750000000000002E-2</v>
      </c>
      <c r="CE44">
        <v>3.3079490000000003E-2</v>
      </c>
      <c r="CF44">
        <v>3.0486249999999999E-2</v>
      </c>
      <c r="CG44">
        <v>0.08</v>
      </c>
      <c r="CH44">
        <v>3.3079490000000003E-2</v>
      </c>
      <c r="CI44">
        <v>4.4921250000000003E-2</v>
      </c>
      <c r="CJ44">
        <v>4.4921250000000003E-2</v>
      </c>
      <c r="CK44">
        <v>3.7964159999999997E-2</v>
      </c>
      <c r="CL44">
        <v>1.8158480000000001E-2</v>
      </c>
      <c r="CM44">
        <v>2.1466889999999999E-2</v>
      </c>
      <c r="CN44">
        <v>2.8632879999999999E-2</v>
      </c>
      <c r="CO44">
        <v>7.3013839999999997E-2</v>
      </c>
      <c r="CP44">
        <v>6.1284869999999998E-2</v>
      </c>
      <c r="CQ44">
        <v>2.5713529999999998E-2</v>
      </c>
      <c r="CR44">
        <v>4.826809E-2</v>
      </c>
      <c r="CS44">
        <v>3.2417920000000003E-2</v>
      </c>
      <c r="CT44">
        <v>2.4603750000000001E-2</v>
      </c>
      <c r="CU44">
        <v>7.0778880000000002E-2</v>
      </c>
    </row>
    <row r="45" spans="1:99" x14ac:dyDescent="0.25">
      <c r="A45" t="s">
        <v>117</v>
      </c>
      <c r="B45" t="s">
        <v>172</v>
      </c>
      <c r="C45" t="s">
        <v>158</v>
      </c>
      <c r="D45">
        <v>-1</v>
      </c>
      <c r="E45">
        <v>4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60</v>
      </c>
      <c r="N45">
        <v>13.121671708022101</v>
      </c>
      <c r="O45">
        <v>-1</v>
      </c>
      <c r="P45">
        <v>-1</v>
      </c>
      <c r="Q45">
        <v>-1</v>
      </c>
      <c r="R45">
        <v>0.30399999999999999</v>
      </c>
      <c r="S45">
        <v>0.29399999999999998</v>
      </c>
      <c r="T45">
        <v>0.28499999999999998</v>
      </c>
      <c r="U45">
        <v>0.28699999999999998</v>
      </c>
      <c r="AL45" t="s">
        <v>159</v>
      </c>
      <c r="AM45" t="s">
        <v>159</v>
      </c>
      <c r="AN45" t="s">
        <v>159</v>
      </c>
      <c r="AO45" t="s">
        <v>159</v>
      </c>
      <c r="BZ45">
        <v>0.67243286437225103</v>
      </c>
      <c r="CA45">
        <v>8.8234432919776289</v>
      </c>
      <c r="CB45">
        <v>0.74041771577438797</v>
      </c>
      <c r="CC45">
        <v>0.68033902120397705</v>
      </c>
      <c r="CD45">
        <v>0.628874710985174</v>
      </c>
      <c r="CE45">
        <v>0.64010000952546497</v>
      </c>
    </row>
    <row r="46" spans="1:99" x14ac:dyDescent="0.25">
      <c r="A46" t="s">
        <v>117</v>
      </c>
      <c r="B46" t="s">
        <v>224</v>
      </c>
      <c r="C46" t="s">
        <v>192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2</v>
      </c>
      <c r="N46">
        <v>0.43738905693406999</v>
      </c>
      <c r="O46">
        <v>2</v>
      </c>
      <c r="P46">
        <v>-1</v>
      </c>
      <c r="Q46">
        <v>2</v>
      </c>
      <c r="R46">
        <v>0.20899999999999999</v>
      </c>
      <c r="S46">
        <v>0.17599999999999999</v>
      </c>
      <c r="BZ46">
        <v>7.6550801249999995E-2</v>
      </c>
      <c r="CA46">
        <v>3.3482482766284925E-2</v>
      </c>
      <c r="CB46">
        <v>9.5857954499999995E-2</v>
      </c>
      <c r="CC46">
        <v>5.7243648000000001E-2</v>
      </c>
    </row>
    <row r="47" spans="1:99" x14ac:dyDescent="0.25">
      <c r="A47" t="s">
        <v>117</v>
      </c>
      <c r="B47" t="s">
        <v>196</v>
      </c>
      <c r="C47" t="s">
        <v>197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603</v>
      </c>
      <c r="N47">
        <v>131.87280066562201</v>
      </c>
      <c r="O47">
        <v>603</v>
      </c>
      <c r="P47">
        <v>-1</v>
      </c>
      <c r="Q47">
        <v>603</v>
      </c>
      <c r="R47">
        <v>0.14599999999999999</v>
      </c>
      <c r="S47">
        <v>0.18099999999999999</v>
      </c>
      <c r="T47">
        <v>9.1999999999999998E-2</v>
      </c>
      <c r="U47">
        <v>0.14099999999999999</v>
      </c>
      <c r="V47">
        <v>0.156</v>
      </c>
      <c r="W47">
        <v>0.121</v>
      </c>
      <c r="X47">
        <v>0.108</v>
      </c>
      <c r="Y47">
        <v>0.186</v>
      </c>
      <c r="Z47">
        <v>0.19700000000000001</v>
      </c>
      <c r="AA47">
        <v>0.187</v>
      </c>
      <c r="AB47">
        <v>0.19</v>
      </c>
      <c r="AC47">
        <v>0.185</v>
      </c>
      <c r="AD47">
        <v>0.155</v>
      </c>
      <c r="AE47">
        <v>0.18</v>
      </c>
      <c r="AF47">
        <v>0.18</v>
      </c>
      <c r="AG47">
        <v>0.13600000000000001</v>
      </c>
      <c r="AH47">
        <v>0.182</v>
      </c>
      <c r="AI47">
        <v>0.129</v>
      </c>
      <c r="AJ47">
        <v>0.184</v>
      </c>
      <c r="AK47">
        <v>0.18099999999999999</v>
      </c>
      <c r="BZ47">
        <v>9.2844025983861336E-2</v>
      </c>
      <c r="CA47">
        <v>12.243601731563576</v>
      </c>
      <c r="CB47">
        <v>6.9602361859324738E-2</v>
      </c>
      <c r="CC47">
        <v>0.11657507481419918</v>
      </c>
      <c r="CD47">
        <v>2.2975655396517344E-2</v>
      </c>
      <c r="CE47">
        <v>6.4018131398123818E-2</v>
      </c>
      <c r="CF47">
        <v>8.159736965446801E-2</v>
      </c>
      <c r="CG47">
        <v>4.4346771885494372E-2</v>
      </c>
      <c r="CH47">
        <v>3.3759354676859761E-2</v>
      </c>
      <c r="CI47">
        <v>0.12445380792000475</v>
      </c>
      <c r="CJ47">
        <v>0.14285520408020716</v>
      </c>
      <c r="CK47">
        <v>0.1260657113773983</v>
      </c>
      <c r="CL47">
        <v>0.13097420332287191</v>
      </c>
      <c r="CM47">
        <v>0.12285399154068005</v>
      </c>
      <c r="CN47">
        <v>8.0347653641320488E-2</v>
      </c>
      <c r="CO47">
        <v>0.11503530158496081</v>
      </c>
      <c r="CP47">
        <v>0.11503530158496081</v>
      </c>
      <c r="CQ47">
        <v>5.8704379673962324E-2</v>
      </c>
      <c r="CR47">
        <v>0.1181268040891094</v>
      </c>
      <c r="CS47">
        <v>5.1712130158977757E-2</v>
      </c>
      <c r="CT47">
        <v>0.1212662362035863</v>
      </c>
      <c r="CU47">
        <v>0.11657507481419918</v>
      </c>
    </row>
    <row r="48" spans="1:99" x14ac:dyDescent="0.25">
      <c r="A48" t="s">
        <v>117</v>
      </c>
      <c r="B48" t="s">
        <v>231</v>
      </c>
      <c r="C48" t="s">
        <v>192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1</v>
      </c>
      <c r="N48">
        <v>0.21869452846703499</v>
      </c>
      <c r="O48">
        <v>1</v>
      </c>
      <c r="P48">
        <v>-1</v>
      </c>
      <c r="Q48">
        <v>1</v>
      </c>
      <c r="R48">
        <v>0.16600000000000001</v>
      </c>
      <c r="BZ48">
        <v>4.8030108000000002E-2</v>
      </c>
      <c r="CA48">
        <v>1.0503921821280765E-2</v>
      </c>
      <c r="CB48">
        <v>4.8030108000000002E-2</v>
      </c>
    </row>
    <row r="49" spans="1:99" x14ac:dyDescent="0.25">
      <c r="A49" t="s">
        <v>117</v>
      </c>
      <c r="B49" t="s">
        <v>173</v>
      </c>
      <c r="C49" t="s">
        <v>168</v>
      </c>
      <c r="D49">
        <v>-1</v>
      </c>
      <c r="E49">
        <v>89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1335</v>
      </c>
      <c r="N49">
        <v>291.95719550349202</v>
      </c>
      <c r="O49">
        <v>-1</v>
      </c>
      <c r="P49">
        <v>-1</v>
      </c>
      <c r="Q49">
        <v>-1</v>
      </c>
      <c r="R49">
        <v>0.69399999999999995</v>
      </c>
      <c r="S49">
        <v>0.77</v>
      </c>
      <c r="T49">
        <v>0.80600000000000005</v>
      </c>
      <c r="U49">
        <v>0.84099999999999997</v>
      </c>
      <c r="V49">
        <v>0.89600000000000002</v>
      </c>
      <c r="W49">
        <v>0.70599999999999996</v>
      </c>
      <c r="X49">
        <v>0.70699999999999996</v>
      </c>
      <c r="Y49">
        <v>0.82799999999999996</v>
      </c>
      <c r="Z49">
        <v>0.77600000000000002</v>
      </c>
      <c r="AA49">
        <v>0.72799999999999998</v>
      </c>
      <c r="AB49">
        <v>0.78900000000000003</v>
      </c>
      <c r="AC49">
        <v>0.84399999999999997</v>
      </c>
      <c r="AD49">
        <v>0.82499999999999996</v>
      </c>
      <c r="AE49">
        <v>0.69399999999999995</v>
      </c>
      <c r="AF49">
        <v>0.871</v>
      </c>
      <c r="AG49">
        <v>0.72599999999999998</v>
      </c>
      <c r="AH49">
        <v>0.82899999999999996</v>
      </c>
      <c r="AI49">
        <v>0.61099999999999999</v>
      </c>
      <c r="AJ49">
        <v>0.64900000000000002</v>
      </c>
      <c r="AK49">
        <v>0.68400000000000005</v>
      </c>
      <c r="AL49" t="s">
        <v>169</v>
      </c>
      <c r="AM49" t="s">
        <v>169</v>
      </c>
      <c r="AN49" t="s">
        <v>169</v>
      </c>
      <c r="AO49" t="s">
        <v>169</v>
      </c>
      <c r="AP49" t="s">
        <v>169</v>
      </c>
      <c r="AQ49" t="s">
        <v>169</v>
      </c>
      <c r="AR49" t="s">
        <v>169</v>
      </c>
      <c r="AS49" t="s">
        <v>169</v>
      </c>
      <c r="AT49" t="s">
        <v>169</v>
      </c>
      <c r="AU49" t="s">
        <v>169</v>
      </c>
      <c r="AV49" t="s">
        <v>169</v>
      </c>
      <c r="AW49" t="s">
        <v>169</v>
      </c>
      <c r="AX49" t="s">
        <v>169</v>
      </c>
      <c r="AY49" t="s">
        <v>169</v>
      </c>
      <c r="AZ49" t="s">
        <v>169</v>
      </c>
      <c r="BA49" t="s">
        <v>169</v>
      </c>
      <c r="BB49" t="s">
        <v>169</v>
      </c>
      <c r="BC49" t="s">
        <v>169</v>
      </c>
      <c r="BD49" t="s">
        <v>169</v>
      </c>
      <c r="BE49" t="s">
        <v>169</v>
      </c>
      <c r="BZ49">
        <v>1.9104347378707414</v>
      </c>
      <c r="CA49">
        <v>557.76516826119052</v>
      </c>
      <c r="CB49">
        <v>1.23346246352023</v>
      </c>
      <c r="CC49">
        <v>1.86336107463689</v>
      </c>
      <c r="CD49">
        <v>2.2339783292891302</v>
      </c>
      <c r="CE49">
        <v>2.6446544988728902</v>
      </c>
      <c r="CF49">
        <v>3.4008825856522802</v>
      </c>
      <c r="CG49">
        <v>1.3203330762874499</v>
      </c>
      <c r="CH49">
        <v>1.32777324343637</v>
      </c>
      <c r="CI49">
        <v>2.4860466682810598</v>
      </c>
      <c r="CJ49">
        <v>1.92167470408387</v>
      </c>
      <c r="CK49">
        <v>1.4913872152582699</v>
      </c>
      <c r="CL49">
        <v>2.05269555890222</v>
      </c>
      <c r="CM49">
        <v>2.6823061976212301</v>
      </c>
      <c r="CN49">
        <v>2.4504791728531501</v>
      </c>
      <c r="CO49">
        <v>1.23346246352023</v>
      </c>
      <c r="CP49">
        <v>3.0394913749407499</v>
      </c>
      <c r="CQ49">
        <v>1.4751875013843101</v>
      </c>
      <c r="CR49">
        <v>2.4979878762977998</v>
      </c>
      <c r="CS49">
        <v>0.74389637880552095</v>
      </c>
      <c r="CT49">
        <v>0.94523607086767103</v>
      </c>
      <c r="CU49">
        <v>1.1643983029035001</v>
      </c>
    </row>
    <row r="50" spans="1:99" x14ac:dyDescent="0.25">
      <c r="A50" t="s">
        <v>117</v>
      </c>
      <c r="B50" t="s">
        <v>166</v>
      </c>
      <c r="C50" t="s">
        <v>154</v>
      </c>
      <c r="D50">
        <v>-1</v>
      </c>
      <c r="E50">
        <v>2</v>
      </c>
      <c r="F50">
        <v>38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600</v>
      </c>
      <c r="N50">
        <v>131.216717080221</v>
      </c>
      <c r="O50">
        <v>-1</v>
      </c>
      <c r="P50">
        <v>-1</v>
      </c>
      <c r="Q50">
        <v>-1</v>
      </c>
      <c r="R50">
        <v>0.75900000000000001</v>
      </c>
      <c r="S50">
        <v>0.81</v>
      </c>
      <c r="T50">
        <v>0.81399999999999995</v>
      </c>
      <c r="U50">
        <v>0.80500000000000005</v>
      </c>
      <c r="V50">
        <v>0.81200000000000006</v>
      </c>
      <c r="W50">
        <v>0.81499999999999995</v>
      </c>
      <c r="X50">
        <v>0.86299999999999999</v>
      </c>
      <c r="Y50">
        <v>0.78100000000000003</v>
      </c>
      <c r="Z50">
        <v>0.83599999999999997</v>
      </c>
      <c r="AA50">
        <v>0.81699999999999995</v>
      </c>
      <c r="AB50">
        <v>0.86299999999999999</v>
      </c>
      <c r="AC50">
        <v>0.83799999999999997</v>
      </c>
      <c r="AD50">
        <v>0.86299999999999999</v>
      </c>
      <c r="AE50">
        <v>0.85399999999999998</v>
      </c>
      <c r="AF50">
        <v>0.80600000000000005</v>
      </c>
      <c r="AG50">
        <v>0.76800000000000002</v>
      </c>
      <c r="AH50">
        <v>0.81399999999999995</v>
      </c>
      <c r="AI50">
        <v>0.85299999999999998</v>
      </c>
      <c r="AJ50">
        <v>0.81200000000000006</v>
      </c>
      <c r="AK50">
        <v>0.79</v>
      </c>
      <c r="AL50" t="s">
        <v>156</v>
      </c>
      <c r="AM50" t="s">
        <v>156</v>
      </c>
      <c r="AN50" t="s">
        <v>156</v>
      </c>
      <c r="AO50" t="s">
        <v>156</v>
      </c>
      <c r="AP50" t="s">
        <v>156</v>
      </c>
      <c r="AQ50" t="s">
        <v>156</v>
      </c>
      <c r="AR50" t="s">
        <v>156</v>
      </c>
      <c r="AS50" t="s">
        <v>156</v>
      </c>
      <c r="AT50" t="s">
        <v>156</v>
      </c>
      <c r="AU50" t="s">
        <v>156</v>
      </c>
      <c r="AV50" t="s">
        <v>156</v>
      </c>
      <c r="AW50" t="s">
        <v>156</v>
      </c>
      <c r="AX50" t="s">
        <v>156</v>
      </c>
      <c r="AY50" t="s">
        <v>156</v>
      </c>
      <c r="AZ50" t="s">
        <v>156</v>
      </c>
      <c r="BA50" t="s">
        <v>156</v>
      </c>
      <c r="BB50" t="s">
        <v>156</v>
      </c>
      <c r="BC50" t="s">
        <v>156</v>
      </c>
      <c r="BD50" t="s">
        <v>156</v>
      </c>
      <c r="BE50" t="s">
        <v>156</v>
      </c>
      <c r="BZ50">
        <v>2.3951532407363549</v>
      </c>
      <c r="CA50">
        <v>314.28414515347674</v>
      </c>
      <c r="CB50">
        <v>1.759902832469</v>
      </c>
      <c r="CC50">
        <v>2.27831812361593</v>
      </c>
      <c r="CD50">
        <v>2.3233130260173298</v>
      </c>
      <c r="CE50">
        <v>2.2229949956114901</v>
      </c>
      <c r="CF50">
        <v>2.3007332877484901</v>
      </c>
      <c r="CG50">
        <v>2.3346648602228699</v>
      </c>
      <c r="CH50">
        <v>2.9301624525319099</v>
      </c>
      <c r="CI50">
        <v>1.97130327968347</v>
      </c>
      <c r="CJ50">
        <v>2.5827820615271002</v>
      </c>
      <c r="CK50">
        <v>2.35749295935952</v>
      </c>
      <c r="CL50">
        <v>2.9301624525319099</v>
      </c>
      <c r="CM50">
        <v>2.6073995961352701</v>
      </c>
      <c r="CN50">
        <v>2.9301624525319099</v>
      </c>
      <c r="CO50">
        <v>2.8107135451850001</v>
      </c>
      <c r="CP50">
        <v>2.2339783292891302</v>
      </c>
      <c r="CQ50">
        <v>1.8442206623744499</v>
      </c>
      <c r="CR50">
        <v>2.3233130260173298</v>
      </c>
      <c r="CS50">
        <v>2.79767005058727</v>
      </c>
      <c r="CT50">
        <v>2.3007332877484901</v>
      </c>
      <c r="CU50">
        <v>2.0630435335392199</v>
      </c>
    </row>
    <row r="51" spans="1:99" x14ac:dyDescent="0.25">
      <c r="A51" t="s">
        <v>117</v>
      </c>
      <c r="B51" t="s">
        <v>225</v>
      </c>
      <c r="C51" t="s">
        <v>192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1</v>
      </c>
      <c r="N51">
        <v>0.21869452846703499</v>
      </c>
      <c r="O51">
        <v>1</v>
      </c>
      <c r="P51">
        <v>-1</v>
      </c>
      <c r="Q51">
        <v>1</v>
      </c>
      <c r="R51">
        <v>0.21199999999999999</v>
      </c>
      <c r="BZ51">
        <v>0.10004534399999999</v>
      </c>
      <c r="CA51">
        <v>2.1879369331402308E-2</v>
      </c>
      <c r="CB51">
        <v>0.10004534399999999</v>
      </c>
    </row>
    <row r="52" spans="1:99" x14ac:dyDescent="0.25">
      <c r="A52" t="s">
        <v>117</v>
      </c>
      <c r="B52" t="s">
        <v>202</v>
      </c>
      <c r="C52" t="s">
        <v>192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2</v>
      </c>
      <c r="N52">
        <v>0.43738905693406999</v>
      </c>
      <c r="O52">
        <v>2</v>
      </c>
      <c r="P52">
        <v>-1</v>
      </c>
      <c r="Q52">
        <v>2</v>
      </c>
      <c r="R52">
        <v>0.09</v>
      </c>
      <c r="S52">
        <v>0.105</v>
      </c>
      <c r="BZ52">
        <v>1.8866250000000001E-3</v>
      </c>
      <c r="CA52">
        <v>8.2518912953823977E-4</v>
      </c>
      <c r="CB52">
        <v>1.4580000000000001E-3</v>
      </c>
      <c r="CC52">
        <v>2.31525E-3</v>
      </c>
    </row>
    <row r="53" spans="1:99" x14ac:dyDescent="0.25">
      <c r="A53" t="s">
        <v>117</v>
      </c>
      <c r="B53" t="s">
        <v>204</v>
      </c>
      <c r="C53" t="s">
        <v>192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4</v>
      </c>
      <c r="N53">
        <v>0.87477811386814097</v>
      </c>
      <c r="O53">
        <v>4</v>
      </c>
      <c r="P53">
        <v>-1</v>
      </c>
      <c r="Q53">
        <v>4</v>
      </c>
      <c r="R53">
        <v>0.124</v>
      </c>
      <c r="S53">
        <v>0.13400000000000001</v>
      </c>
      <c r="T53">
        <v>0.13200000000000001</v>
      </c>
      <c r="U53">
        <v>0.121</v>
      </c>
      <c r="BZ53">
        <v>4.1921284999999996E-3</v>
      </c>
      <c r="CA53">
        <v>3.6671822623228784E-3</v>
      </c>
      <c r="CB53">
        <v>3.813248E-3</v>
      </c>
      <c r="CC53">
        <v>4.8122080000000001E-3</v>
      </c>
      <c r="CD53">
        <v>4.5999359999999998E-3</v>
      </c>
      <c r="CE53">
        <v>3.5431220000000001E-3</v>
      </c>
    </row>
    <row r="54" spans="1:99" x14ac:dyDescent="0.25">
      <c r="A54" t="s">
        <v>117</v>
      </c>
      <c r="B54" t="s">
        <v>226</v>
      </c>
      <c r="C54" t="s">
        <v>192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9</v>
      </c>
      <c r="N54">
        <v>1.96825075620332</v>
      </c>
      <c r="O54">
        <v>9</v>
      </c>
      <c r="P54">
        <v>-1</v>
      </c>
      <c r="Q54">
        <v>9</v>
      </c>
      <c r="R54">
        <v>0.124</v>
      </c>
      <c r="S54">
        <v>0.10199999999999999</v>
      </c>
      <c r="T54">
        <v>0.123</v>
      </c>
      <c r="U54">
        <v>0.13100000000000001</v>
      </c>
      <c r="V54">
        <v>0.129</v>
      </c>
      <c r="W54">
        <v>0.13900000000000001</v>
      </c>
      <c r="X54">
        <v>0.121</v>
      </c>
      <c r="Y54">
        <v>0.115</v>
      </c>
      <c r="Z54">
        <v>0.125</v>
      </c>
      <c r="BZ54">
        <v>3.8121464444444441E-3</v>
      </c>
      <c r="CA54">
        <v>7.5032601220355747E-3</v>
      </c>
      <c r="CB54">
        <v>3.813248E-3</v>
      </c>
      <c r="CC54">
        <v>2.1224159999999998E-3</v>
      </c>
      <c r="CD54">
        <v>3.721734E-3</v>
      </c>
      <c r="CE54">
        <v>4.4961819999999996E-3</v>
      </c>
      <c r="CF54">
        <v>4.2933779999999996E-3</v>
      </c>
      <c r="CG54">
        <v>5.3712380000000004E-3</v>
      </c>
      <c r="CH54">
        <v>3.5431220000000001E-3</v>
      </c>
      <c r="CI54">
        <v>3.0417500000000002E-3</v>
      </c>
      <c r="CJ54">
        <v>3.90625E-3</v>
      </c>
    </row>
    <row r="55" spans="1:99" x14ac:dyDescent="0.25">
      <c r="A55" t="s">
        <v>117</v>
      </c>
      <c r="B55" t="s">
        <v>161</v>
      </c>
      <c r="C55" t="s">
        <v>154</v>
      </c>
      <c r="D55">
        <v>-1</v>
      </c>
      <c r="E55">
        <v>3</v>
      </c>
      <c r="F55">
        <v>0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45</v>
      </c>
      <c r="N55">
        <v>9.8412537810165794</v>
      </c>
      <c r="O55">
        <v>-1</v>
      </c>
      <c r="P55">
        <v>-1</v>
      </c>
      <c r="Q55">
        <v>-1</v>
      </c>
      <c r="R55">
        <v>0.98099999999999998</v>
      </c>
      <c r="S55">
        <v>1.0349999999999999</v>
      </c>
      <c r="T55">
        <v>1.08</v>
      </c>
      <c r="AL55" t="s">
        <v>155</v>
      </c>
      <c r="AM55" t="s">
        <v>155</v>
      </c>
      <c r="AN55" t="s">
        <v>155</v>
      </c>
      <c r="BZ55">
        <v>5.3374099385472107</v>
      </c>
      <c r="CA55">
        <v>52.526805738563205</v>
      </c>
      <c r="CB55">
        <v>4.6660668367820897</v>
      </c>
      <c r="CC55">
        <v>5.3607275091850601</v>
      </c>
      <c r="CD55">
        <v>5.9854354696744796</v>
      </c>
    </row>
    <row r="56" spans="1:99" x14ac:dyDescent="0.25">
      <c r="A56" t="s">
        <v>117</v>
      </c>
      <c r="B56" t="s">
        <v>181</v>
      </c>
      <c r="C56" t="s">
        <v>154</v>
      </c>
      <c r="D56">
        <v>-1</v>
      </c>
      <c r="E56">
        <v>41</v>
      </c>
      <c r="F56">
        <v>27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1020</v>
      </c>
      <c r="N56">
        <v>223.06841903637601</v>
      </c>
      <c r="O56">
        <v>-1</v>
      </c>
      <c r="P56">
        <v>-1</v>
      </c>
      <c r="Q56">
        <v>-1</v>
      </c>
      <c r="R56">
        <v>1.38</v>
      </c>
      <c r="S56">
        <v>1.278</v>
      </c>
      <c r="T56">
        <v>1.472</v>
      </c>
      <c r="U56">
        <v>1.5209999999999999</v>
      </c>
      <c r="V56">
        <v>1.32</v>
      </c>
      <c r="W56">
        <v>1.486</v>
      </c>
      <c r="X56">
        <v>1.5389999999999999</v>
      </c>
      <c r="Y56">
        <v>1.3779999999999999</v>
      </c>
      <c r="Z56">
        <v>1.41</v>
      </c>
      <c r="AA56">
        <v>1.4530000000000001</v>
      </c>
      <c r="AB56">
        <v>1.464</v>
      </c>
      <c r="AC56">
        <v>1.1819999999999999</v>
      </c>
      <c r="AD56">
        <v>1.4550000000000001</v>
      </c>
      <c r="AE56">
        <v>1.2749999999999999</v>
      </c>
      <c r="AF56">
        <v>1.43</v>
      </c>
      <c r="AG56">
        <v>1.4350000000000001</v>
      </c>
      <c r="AH56">
        <v>1.3069999999999999</v>
      </c>
      <c r="AI56">
        <v>1.4239999999999999</v>
      </c>
      <c r="AJ56">
        <v>1.204</v>
      </c>
      <c r="AK56">
        <v>1.4</v>
      </c>
      <c r="AL56" t="s">
        <v>155</v>
      </c>
      <c r="AM56" t="s">
        <v>156</v>
      </c>
      <c r="AN56" t="s">
        <v>155</v>
      </c>
      <c r="AO56" t="s">
        <v>155</v>
      </c>
      <c r="AP56" t="s">
        <v>156</v>
      </c>
      <c r="AQ56" t="s">
        <v>155</v>
      </c>
      <c r="AR56" t="s">
        <v>155</v>
      </c>
      <c r="AS56" t="s">
        <v>155</v>
      </c>
      <c r="AT56" t="s">
        <v>155</v>
      </c>
      <c r="AU56" t="s">
        <v>155</v>
      </c>
      <c r="AV56" t="s">
        <v>155</v>
      </c>
      <c r="AW56" t="s">
        <v>156</v>
      </c>
      <c r="AX56" t="s">
        <v>155</v>
      </c>
      <c r="AY56" t="s">
        <v>156</v>
      </c>
      <c r="AZ56" t="s">
        <v>155</v>
      </c>
      <c r="BA56" t="s">
        <v>155</v>
      </c>
      <c r="BB56" t="s">
        <v>156</v>
      </c>
      <c r="BC56" t="s">
        <v>155</v>
      </c>
      <c r="BD56" t="s">
        <v>156</v>
      </c>
      <c r="BE56" t="s">
        <v>155</v>
      </c>
      <c r="BZ56">
        <v>11.635702420100849</v>
      </c>
      <c r="CA56">
        <v>2595.5577432296304</v>
      </c>
      <c r="CB56">
        <v>11.293149047199901</v>
      </c>
      <c r="CC56">
        <v>9.2564218243487293</v>
      </c>
      <c r="CD56">
        <v>13.3477927299301</v>
      </c>
      <c r="CE56">
        <v>14.529239763875101</v>
      </c>
      <c r="CF56">
        <v>10.065021526016301</v>
      </c>
      <c r="CG56">
        <v>13.679081674792601</v>
      </c>
      <c r="CH56">
        <v>14.9787734277475</v>
      </c>
      <c r="CI56">
        <v>11.250807648056099</v>
      </c>
      <c r="CJ56">
        <v>11.9400385233479</v>
      </c>
      <c r="CK56">
        <v>12.9061339207027</v>
      </c>
      <c r="CL56">
        <v>13.160718955032999</v>
      </c>
      <c r="CM56">
        <v>7.5614918862098204</v>
      </c>
      <c r="CN56">
        <v>12.9521951394029</v>
      </c>
      <c r="CO56">
        <v>9.2002494940053499</v>
      </c>
      <c r="CP56">
        <v>12.383646984456799</v>
      </c>
      <c r="CQ56">
        <v>12.4961045464803</v>
      </c>
      <c r="CR56">
        <v>9.8102934425383204</v>
      </c>
      <c r="CS56">
        <v>12.2495207728709</v>
      </c>
      <c r="CT56">
        <v>7.9314177949494402</v>
      </c>
      <c r="CU56">
        <v>11.7219493000532</v>
      </c>
    </row>
    <row r="57" spans="1:99" x14ac:dyDescent="0.25">
      <c r="A57" t="s">
        <v>117</v>
      </c>
      <c r="B57" t="s">
        <v>186</v>
      </c>
      <c r="C57" t="s">
        <v>154</v>
      </c>
      <c r="D57">
        <v>-1</v>
      </c>
      <c r="E57">
        <v>6</v>
      </c>
      <c r="F57">
        <v>3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135</v>
      </c>
      <c r="N57">
        <v>29.523761343049799</v>
      </c>
      <c r="O57">
        <v>-1</v>
      </c>
      <c r="P57">
        <v>-1</v>
      </c>
      <c r="Q57">
        <v>-1</v>
      </c>
      <c r="R57">
        <v>2.4409999999999998</v>
      </c>
      <c r="S57">
        <v>2.2770000000000001</v>
      </c>
      <c r="T57">
        <v>2.5110000000000001</v>
      </c>
      <c r="U57">
        <v>2.2949999999999999</v>
      </c>
      <c r="V57">
        <v>2.41</v>
      </c>
      <c r="W57">
        <v>2.3140000000000001</v>
      </c>
      <c r="X57">
        <v>2.5390000000000001</v>
      </c>
      <c r="Y57">
        <v>2.3519999999999999</v>
      </c>
      <c r="Z57">
        <v>2.6720000000000002</v>
      </c>
      <c r="AL57" t="s">
        <v>155</v>
      </c>
      <c r="AM57" t="s">
        <v>155</v>
      </c>
      <c r="AN57" t="s">
        <v>155</v>
      </c>
      <c r="AO57" t="s">
        <v>156</v>
      </c>
      <c r="AP57" t="s">
        <v>155</v>
      </c>
      <c r="AQ57" t="s">
        <v>156</v>
      </c>
      <c r="AR57" t="s">
        <v>155</v>
      </c>
      <c r="AS57" t="s">
        <v>156</v>
      </c>
      <c r="AT57" t="s">
        <v>155</v>
      </c>
      <c r="BZ57">
        <v>48.81550677158026</v>
      </c>
      <c r="CA57">
        <v>1441.217371764167</v>
      </c>
      <c r="CB57">
        <v>49.468503778455201</v>
      </c>
      <c r="CC57">
        <v>41.314117041293798</v>
      </c>
      <c r="CD57">
        <v>53.226904790497798</v>
      </c>
      <c r="CE57">
        <v>42.165319260707598</v>
      </c>
      <c r="CF57">
        <v>47.857759895796697</v>
      </c>
      <c r="CG57">
        <v>43.0753995700396</v>
      </c>
      <c r="CH57">
        <v>54.777804473455603</v>
      </c>
      <c r="CI57">
        <v>44.931495956320802</v>
      </c>
      <c r="CJ57">
        <v>62.522256177655201</v>
      </c>
    </row>
    <row r="58" spans="1:99" x14ac:dyDescent="0.25">
      <c r="A58" t="s">
        <v>117</v>
      </c>
      <c r="B58" t="s">
        <v>230</v>
      </c>
      <c r="C58" t="s">
        <v>192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2</v>
      </c>
      <c r="N58">
        <v>0.43738905693406999</v>
      </c>
      <c r="O58">
        <v>2</v>
      </c>
      <c r="P58">
        <v>-1</v>
      </c>
      <c r="Q58">
        <v>2</v>
      </c>
      <c r="R58">
        <v>8.1000000000000003E-2</v>
      </c>
      <c r="S58">
        <v>9.1999999999999998E-2</v>
      </c>
      <c r="BZ58">
        <v>8.6468514000000007E-3</v>
      </c>
      <c r="CA58">
        <v>3.7820381792950429E-3</v>
      </c>
      <c r="CB58">
        <v>7.0150211999999998E-3</v>
      </c>
      <c r="CC58">
        <v>1.0278681600000001E-2</v>
      </c>
    </row>
    <row r="59" spans="1:99" x14ac:dyDescent="0.25">
      <c r="A59" t="s">
        <v>117</v>
      </c>
      <c r="B59" t="s">
        <v>227</v>
      </c>
      <c r="C59" t="s">
        <v>192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2</v>
      </c>
      <c r="N59">
        <v>0.43738905693406999</v>
      </c>
      <c r="O59">
        <v>2</v>
      </c>
      <c r="P59">
        <v>-1</v>
      </c>
      <c r="Q59">
        <v>2</v>
      </c>
      <c r="R59">
        <v>0.128</v>
      </c>
      <c r="S59">
        <v>0.14299999999999999</v>
      </c>
      <c r="BZ59">
        <v>8.7873782500000001E-3</v>
      </c>
      <c r="CA59">
        <v>3.8435030856904585E-3</v>
      </c>
      <c r="CB59">
        <v>7.3400319999999998E-3</v>
      </c>
      <c r="CC59">
        <v>1.02347245E-2</v>
      </c>
    </row>
    <row r="60" spans="1:99" x14ac:dyDescent="0.25">
      <c r="A60" t="s">
        <v>117</v>
      </c>
      <c r="B60" t="s">
        <v>221</v>
      </c>
      <c r="C60" t="s">
        <v>192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1</v>
      </c>
      <c r="N60">
        <v>0.21869452846703499</v>
      </c>
      <c r="O60">
        <v>1</v>
      </c>
      <c r="P60">
        <v>-1</v>
      </c>
      <c r="Q60">
        <v>1</v>
      </c>
      <c r="R60">
        <v>0.19</v>
      </c>
      <c r="BZ60">
        <v>2.40065E-2</v>
      </c>
      <c r="CA60">
        <v>5.2500901976438759E-3</v>
      </c>
      <c r="CB60">
        <v>2.40065E-2</v>
      </c>
    </row>
    <row r="61" spans="1:99" x14ac:dyDescent="0.25">
      <c r="A61" t="s">
        <v>117</v>
      </c>
      <c r="B61" t="s">
        <v>223</v>
      </c>
      <c r="C61" t="s">
        <v>192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3</v>
      </c>
      <c r="N61">
        <v>0.65608358540110601</v>
      </c>
      <c r="O61">
        <v>3</v>
      </c>
      <c r="P61">
        <v>-1</v>
      </c>
      <c r="Q61">
        <v>3</v>
      </c>
      <c r="R61">
        <v>0.11799999999999999</v>
      </c>
      <c r="S61">
        <v>0.13500000000000001</v>
      </c>
      <c r="T61">
        <v>0.14199999999999999</v>
      </c>
      <c r="BZ61">
        <v>7.1524735333333325E-2</v>
      </c>
      <c r="CA61">
        <v>4.6926204802358498E-2</v>
      </c>
      <c r="CB61">
        <v>5.0605385599999997E-2</v>
      </c>
      <c r="CC61">
        <v>7.5779550000000001E-2</v>
      </c>
      <c r="CD61">
        <v>8.8189270400000006E-2</v>
      </c>
    </row>
    <row r="62" spans="1:99" x14ac:dyDescent="0.25">
      <c r="A62" t="s">
        <v>117</v>
      </c>
      <c r="B62" t="s">
        <v>235</v>
      </c>
      <c r="C62" t="s">
        <v>192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1</v>
      </c>
      <c r="N62">
        <v>0.21869452846703499</v>
      </c>
      <c r="O62">
        <v>1</v>
      </c>
      <c r="P62">
        <v>-1</v>
      </c>
      <c r="Q62">
        <v>1</v>
      </c>
      <c r="R62">
        <v>0.19800000000000001</v>
      </c>
      <c r="BZ62">
        <v>7.7623919999999999E-2</v>
      </c>
      <c r="CA62">
        <v>1.6975926582162848E-2</v>
      </c>
      <c r="CB62">
        <v>7.7623919999999999E-2</v>
      </c>
    </row>
    <row r="63" spans="1:99" x14ac:dyDescent="0.25">
      <c r="A63" t="s">
        <v>117</v>
      </c>
      <c r="B63" t="s">
        <v>210</v>
      </c>
      <c r="C63" t="s">
        <v>192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27</v>
      </c>
      <c r="N63">
        <v>5.9047522686099496</v>
      </c>
      <c r="O63">
        <v>27</v>
      </c>
      <c r="P63">
        <v>-1</v>
      </c>
      <c r="Q63">
        <v>27</v>
      </c>
      <c r="R63">
        <v>0.115</v>
      </c>
      <c r="S63">
        <v>0.124</v>
      </c>
      <c r="T63">
        <v>0.14499999999999999</v>
      </c>
      <c r="U63">
        <v>0.157</v>
      </c>
      <c r="V63">
        <v>0.16400000000000001</v>
      </c>
      <c r="W63">
        <v>0.151</v>
      </c>
      <c r="X63">
        <v>0.158</v>
      </c>
      <c r="Y63">
        <v>0.19500000000000001</v>
      </c>
      <c r="Z63">
        <v>0.156</v>
      </c>
      <c r="AA63">
        <v>0.14299999999999999</v>
      </c>
      <c r="AB63">
        <v>0.188</v>
      </c>
      <c r="AC63">
        <v>0.16800000000000001</v>
      </c>
      <c r="AD63">
        <v>0.151</v>
      </c>
      <c r="AE63">
        <v>0.13700000000000001</v>
      </c>
      <c r="AF63">
        <v>0.13600000000000001</v>
      </c>
      <c r="AG63">
        <v>0.15</v>
      </c>
      <c r="AH63">
        <v>0.13500000000000001</v>
      </c>
      <c r="AI63">
        <v>0.13</v>
      </c>
      <c r="AJ63">
        <v>0.19700000000000001</v>
      </c>
      <c r="AK63">
        <v>0.20699999999999999</v>
      </c>
      <c r="BZ63">
        <v>4.0371638500000008E-2</v>
      </c>
      <c r="CA63">
        <v>0.23838452402037583</v>
      </c>
      <c r="CB63">
        <v>1.520875E-2</v>
      </c>
      <c r="CC63">
        <v>1.9066240000000002E-2</v>
      </c>
      <c r="CD63">
        <v>3.0486249999999999E-2</v>
      </c>
      <c r="CE63">
        <v>3.8698929999999999E-2</v>
      </c>
      <c r="CF63">
        <v>4.410944E-2</v>
      </c>
      <c r="CG63">
        <v>3.4429510000000003E-2</v>
      </c>
      <c r="CH63">
        <v>3.9443119999999998E-2</v>
      </c>
      <c r="CI63">
        <v>7.4148749999999999E-2</v>
      </c>
      <c r="CJ63">
        <v>3.7964159999999997E-2</v>
      </c>
      <c r="CK63">
        <v>2.9242069999999998E-2</v>
      </c>
      <c r="CL63">
        <v>6.6446720000000001E-2</v>
      </c>
      <c r="CM63">
        <v>4.7416319999999998E-2</v>
      </c>
      <c r="CN63">
        <v>3.4429510000000003E-2</v>
      </c>
      <c r="CO63">
        <v>2.5713529999999998E-2</v>
      </c>
      <c r="CP63">
        <v>2.5154559999999999E-2</v>
      </c>
      <c r="CQ63">
        <v>3.3750000000000002E-2</v>
      </c>
      <c r="CR63">
        <v>2.4603750000000001E-2</v>
      </c>
      <c r="CS63">
        <v>2.197E-2</v>
      </c>
      <c r="CT63">
        <v>7.6453729999999998E-2</v>
      </c>
      <c r="CU63">
        <v>8.8697429999999994E-2</v>
      </c>
    </row>
    <row r="64" spans="1:99" x14ac:dyDescent="0.25">
      <c r="A64" t="s">
        <v>119</v>
      </c>
      <c r="B64" t="s">
        <v>172</v>
      </c>
      <c r="C64" t="s">
        <v>158</v>
      </c>
      <c r="D64">
        <v>-1</v>
      </c>
      <c r="E64">
        <v>19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67.6875</v>
      </c>
      <c r="N64">
        <v>36.233929654931998</v>
      </c>
      <c r="O64">
        <v>-1</v>
      </c>
      <c r="P64">
        <v>-1</v>
      </c>
      <c r="Q64">
        <v>-1</v>
      </c>
      <c r="R64">
        <v>0.33500000000000002</v>
      </c>
      <c r="S64">
        <v>0.42599999999999999</v>
      </c>
      <c r="T64">
        <v>0.28999999999999998</v>
      </c>
      <c r="U64">
        <v>0.40500000000000003</v>
      </c>
      <c r="V64">
        <v>0.35899999999999999</v>
      </c>
      <c r="W64">
        <v>0.32300000000000001</v>
      </c>
      <c r="X64">
        <v>0.29299999999999998</v>
      </c>
      <c r="Y64">
        <v>0.29199999999999998</v>
      </c>
      <c r="Z64">
        <v>0.29499999999999998</v>
      </c>
      <c r="AA64">
        <v>0.29399999999999998</v>
      </c>
      <c r="AB64">
        <v>0.372</v>
      </c>
      <c r="AC64">
        <v>0.28299999999999997</v>
      </c>
      <c r="AD64">
        <v>0.315</v>
      </c>
      <c r="AE64">
        <v>0.32700000000000001</v>
      </c>
      <c r="AF64">
        <v>0.318</v>
      </c>
      <c r="AG64">
        <v>0.27300000000000002</v>
      </c>
      <c r="AH64">
        <v>0.30499999999999999</v>
      </c>
      <c r="AI64">
        <v>0.35</v>
      </c>
      <c r="AJ64">
        <v>0.31900000000000001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  <c r="AT64" t="s">
        <v>159</v>
      </c>
      <c r="AU64" t="s">
        <v>159</v>
      </c>
      <c r="AV64" t="s">
        <v>159</v>
      </c>
      <c r="AW64" t="s">
        <v>159</v>
      </c>
      <c r="AX64" t="s">
        <v>159</v>
      </c>
      <c r="AY64" t="s">
        <v>159</v>
      </c>
      <c r="AZ64" t="s">
        <v>159</v>
      </c>
      <c r="BA64" t="s">
        <v>159</v>
      </c>
      <c r="BB64" t="s">
        <v>159</v>
      </c>
      <c r="BC64" t="s">
        <v>159</v>
      </c>
      <c r="BD64" t="s">
        <v>159</v>
      </c>
      <c r="BZ64">
        <v>0.90312824269041136</v>
      </c>
      <c r="CA64">
        <v>32.723885215026719</v>
      </c>
      <c r="CB64">
        <v>0.94660762129906295</v>
      </c>
      <c r="CC64">
        <v>1.7386530256291399</v>
      </c>
      <c r="CD64">
        <v>0.65716370524932799</v>
      </c>
      <c r="CE64">
        <v>1.5299169057386099</v>
      </c>
      <c r="CF64">
        <v>1.1277052176481499</v>
      </c>
      <c r="CG64">
        <v>0.86315544877939998</v>
      </c>
      <c r="CH64">
        <v>0.67449962789376405</v>
      </c>
      <c r="CI64">
        <v>0.66869064751763696</v>
      </c>
      <c r="CJ64">
        <v>0.68620888241743205</v>
      </c>
      <c r="CK64">
        <v>0.68033902120397705</v>
      </c>
      <c r="CL64">
        <v>1.2339008767651101</v>
      </c>
      <c r="CM64">
        <v>0.61776929221737797</v>
      </c>
      <c r="CN64">
        <v>0.810088255700673</v>
      </c>
      <c r="CO64">
        <v>0.890455968354951</v>
      </c>
      <c r="CP64">
        <v>0.82974997592986099</v>
      </c>
      <c r="CQ64">
        <v>0.56402471134249299</v>
      </c>
      <c r="CR64">
        <v>0.74659526022016598</v>
      </c>
      <c r="CS64">
        <v>1.0575448316324201</v>
      </c>
      <c r="CT64">
        <v>0.83636733557826104</v>
      </c>
    </row>
    <row r="65" spans="1:99" x14ac:dyDescent="0.25">
      <c r="A65" t="s">
        <v>119</v>
      </c>
      <c r="B65" t="s">
        <v>195</v>
      </c>
      <c r="C65" t="s">
        <v>192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31.25</v>
      </c>
      <c r="N65">
        <v>16.728499379008301</v>
      </c>
      <c r="O65">
        <v>1</v>
      </c>
      <c r="P65">
        <v>-1</v>
      </c>
      <c r="Q65">
        <v>1</v>
      </c>
      <c r="R65">
        <v>0.126</v>
      </c>
      <c r="BF65">
        <v>7.2999999999999995E-2</v>
      </c>
      <c r="BZ65">
        <v>1.7457804E-2</v>
      </c>
      <c r="CA65">
        <v>0.29204286337284863</v>
      </c>
      <c r="CB65">
        <v>1.7457804E-2</v>
      </c>
    </row>
    <row r="66" spans="1:99" x14ac:dyDescent="0.25">
      <c r="A66" t="s">
        <v>119</v>
      </c>
      <c r="B66" t="s">
        <v>196</v>
      </c>
      <c r="C66" t="s">
        <v>197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17625</v>
      </c>
      <c r="N66">
        <v>9434.8736497606806</v>
      </c>
      <c r="O66">
        <v>564</v>
      </c>
      <c r="P66">
        <v>-1</v>
      </c>
      <c r="Q66">
        <v>564</v>
      </c>
      <c r="R66">
        <v>0.106</v>
      </c>
      <c r="S66">
        <v>0.153</v>
      </c>
      <c r="T66">
        <v>0.12</v>
      </c>
      <c r="U66">
        <v>0.114</v>
      </c>
      <c r="V66">
        <v>0.11</v>
      </c>
      <c r="W66">
        <v>0.113</v>
      </c>
      <c r="X66">
        <v>0.10199999999999999</v>
      </c>
      <c r="Y66">
        <v>0.13</v>
      </c>
      <c r="Z66">
        <v>0.14099999999999999</v>
      </c>
      <c r="AA66">
        <v>0.152</v>
      </c>
      <c r="AB66">
        <v>0.122</v>
      </c>
      <c r="AC66">
        <v>0.112</v>
      </c>
      <c r="AD66">
        <v>0.112</v>
      </c>
      <c r="AE66">
        <v>0.185</v>
      </c>
      <c r="AF66">
        <v>0.11</v>
      </c>
      <c r="AG66">
        <v>0.14299999999999999</v>
      </c>
      <c r="AH66">
        <v>0.123</v>
      </c>
      <c r="AI66">
        <v>0.113</v>
      </c>
      <c r="AJ66">
        <v>0.13100000000000001</v>
      </c>
      <c r="AK66">
        <v>0.215</v>
      </c>
      <c r="BZ66">
        <v>5.7233155235208645E-2</v>
      </c>
      <c r="CA66">
        <v>539.98758822133254</v>
      </c>
      <c r="CB66">
        <v>3.2278340588934862E-2</v>
      </c>
      <c r="CC66">
        <v>7.7881903430931224E-2</v>
      </c>
      <c r="CD66">
        <v>4.3472249504692119E-2</v>
      </c>
      <c r="CE66">
        <v>3.84369365105749E-2</v>
      </c>
      <c r="CF66">
        <v>3.5279268165910829E-2</v>
      </c>
      <c r="CG66">
        <v>3.7632700791829184E-2</v>
      </c>
      <c r="CH66">
        <v>2.9431848234424133E-2</v>
      </c>
      <c r="CI66">
        <v>5.2679442313682365E-2</v>
      </c>
      <c r="CJ66">
        <v>6.4018131398123818E-2</v>
      </c>
      <c r="CK66">
        <v>7.666581101018384E-2</v>
      </c>
      <c r="CL66">
        <v>4.5231471504872452E-2</v>
      </c>
      <c r="CM66">
        <v>3.6838367624309649E-2</v>
      </c>
      <c r="CN66">
        <v>3.6838367624309649E-2</v>
      </c>
      <c r="CO66">
        <v>0.12285399154068005</v>
      </c>
      <c r="CP66">
        <v>3.5279268165910829E-2</v>
      </c>
      <c r="CQ66">
        <v>6.6219151722577044E-2</v>
      </c>
      <c r="CR66">
        <v>4.6126381923769305E-2</v>
      </c>
      <c r="CS66">
        <v>3.7632700791829184E-2</v>
      </c>
      <c r="CT66">
        <v>5.3657228001919549E-2</v>
      </c>
      <c r="CU66">
        <v>0.17620954385470775</v>
      </c>
    </row>
    <row r="67" spans="1:99" x14ac:dyDescent="0.25">
      <c r="A67" t="s">
        <v>119</v>
      </c>
      <c r="B67" t="s">
        <v>231</v>
      </c>
      <c r="C67" t="s">
        <v>192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31.25</v>
      </c>
      <c r="N67">
        <v>16.728499379008301</v>
      </c>
      <c r="O67">
        <v>1</v>
      </c>
      <c r="P67">
        <v>-1</v>
      </c>
      <c r="Q67">
        <v>1</v>
      </c>
      <c r="R67">
        <v>0.107</v>
      </c>
      <c r="BZ67">
        <v>1.2862951500000001E-2</v>
      </c>
      <c r="CA67">
        <v>0.21517787617996392</v>
      </c>
      <c r="CB67">
        <v>1.2862951500000001E-2</v>
      </c>
    </row>
    <row r="68" spans="1:99" x14ac:dyDescent="0.25">
      <c r="A68" t="s">
        <v>119</v>
      </c>
      <c r="B68" t="s">
        <v>173</v>
      </c>
      <c r="C68" t="s">
        <v>168</v>
      </c>
      <c r="D68">
        <v>-1</v>
      </c>
      <c r="E68">
        <v>110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391.875</v>
      </c>
      <c r="N68">
        <v>209.77538221276399</v>
      </c>
      <c r="O68">
        <v>-1</v>
      </c>
      <c r="P68">
        <v>-1</v>
      </c>
      <c r="Q68">
        <v>-1</v>
      </c>
      <c r="R68">
        <v>0.749</v>
      </c>
      <c r="S68">
        <v>0.65700000000000003</v>
      </c>
      <c r="T68">
        <v>0.42099999999999999</v>
      </c>
      <c r="U68">
        <v>0.49399999999999999</v>
      </c>
      <c r="V68">
        <v>0.56699999999999995</v>
      </c>
      <c r="W68">
        <v>0.42799999999999999</v>
      </c>
      <c r="X68">
        <v>0.65200000000000002</v>
      </c>
      <c r="Y68">
        <v>0.56499999999999995</v>
      </c>
      <c r="Z68">
        <v>0.61</v>
      </c>
      <c r="AA68">
        <v>0.47099999999999997</v>
      </c>
      <c r="AB68">
        <v>0.45100000000000001</v>
      </c>
      <c r="AC68">
        <v>0.40799999999999997</v>
      </c>
      <c r="AD68">
        <v>0.64600000000000002</v>
      </c>
      <c r="AE68">
        <v>0.40200000000000002</v>
      </c>
      <c r="AF68">
        <v>0.72299999999999998</v>
      </c>
      <c r="AG68">
        <v>0.38500000000000001</v>
      </c>
      <c r="AH68">
        <v>0.41099999999999998</v>
      </c>
      <c r="AI68">
        <v>0.40400000000000003</v>
      </c>
      <c r="AJ68">
        <v>0.42299999999999999</v>
      </c>
      <c r="AK68">
        <v>0.63300000000000001</v>
      </c>
      <c r="AL68" t="s">
        <v>169</v>
      </c>
      <c r="AM68" t="s">
        <v>169</v>
      </c>
      <c r="AN68" t="s">
        <v>169</v>
      </c>
      <c r="AO68" t="s">
        <v>169</v>
      </c>
      <c r="AP68" t="s">
        <v>169</v>
      </c>
      <c r="AQ68" t="s">
        <v>169</v>
      </c>
      <c r="AR68" t="s">
        <v>169</v>
      </c>
      <c r="AS68" t="s">
        <v>169</v>
      </c>
      <c r="AT68" t="s">
        <v>169</v>
      </c>
      <c r="AU68" t="s">
        <v>169</v>
      </c>
      <c r="AV68" t="s">
        <v>169</v>
      </c>
      <c r="AW68" t="s">
        <v>169</v>
      </c>
      <c r="AX68" t="s">
        <v>169</v>
      </c>
      <c r="AY68" t="s">
        <v>169</v>
      </c>
      <c r="AZ68" t="s">
        <v>169</v>
      </c>
      <c r="BA68" t="s">
        <v>169</v>
      </c>
      <c r="BB68" t="s">
        <v>169</v>
      </c>
      <c r="BC68" t="s">
        <v>169</v>
      </c>
      <c r="BD68" t="s">
        <v>169</v>
      </c>
      <c r="BE68" t="s">
        <v>169</v>
      </c>
      <c r="BZ68">
        <v>0.53679094143960304</v>
      </c>
      <c r="CA68">
        <v>112.60552490884214</v>
      </c>
      <c r="CB68">
        <v>1.66963544635729</v>
      </c>
      <c r="CC68">
        <v>0.99234653389490202</v>
      </c>
      <c r="CD68">
        <v>0.16956208978183299</v>
      </c>
      <c r="CE68">
        <v>0.319907798522447</v>
      </c>
      <c r="CF68">
        <v>0.55290890390602798</v>
      </c>
      <c r="CG68">
        <v>0.18103418989640399</v>
      </c>
      <c r="CH68">
        <v>0.96270182478797295</v>
      </c>
      <c r="CI68">
        <v>0.54520669196328497</v>
      </c>
      <c r="CJ68">
        <v>0.73907461352366499</v>
      </c>
      <c r="CK68">
        <v>0.26474138787200902</v>
      </c>
      <c r="CL68">
        <v>0.222848497963999</v>
      </c>
      <c r="CM68">
        <v>0.14970961290221499</v>
      </c>
      <c r="CN68">
        <v>0.928008462149291</v>
      </c>
      <c r="CO68">
        <v>0.14115825166425999</v>
      </c>
      <c r="CP68">
        <v>1.4511352112182201</v>
      </c>
      <c r="CQ68">
        <v>0.11890714073594</v>
      </c>
      <c r="CR68">
        <v>0.154127762174181</v>
      </c>
      <c r="CS68">
        <v>0.143966968367888</v>
      </c>
      <c r="CT68">
        <v>0.172782637214144</v>
      </c>
      <c r="CU68">
        <v>0.85605480389608601</v>
      </c>
    </row>
    <row r="69" spans="1:99" x14ac:dyDescent="0.25">
      <c r="A69" t="s">
        <v>119</v>
      </c>
      <c r="B69" t="s">
        <v>167</v>
      </c>
      <c r="C69" t="s">
        <v>168</v>
      </c>
      <c r="D69">
        <v>-1</v>
      </c>
      <c r="E69">
        <v>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3.5625</v>
      </c>
      <c r="N69">
        <v>1.9070489292069499</v>
      </c>
      <c r="O69">
        <v>-1</v>
      </c>
      <c r="P69">
        <v>-1</v>
      </c>
      <c r="Q69">
        <v>-1</v>
      </c>
      <c r="R69">
        <v>0.42299999999999999</v>
      </c>
      <c r="AL69" t="s">
        <v>169</v>
      </c>
      <c r="BZ69">
        <v>0.52814087147043098</v>
      </c>
      <c r="CA69">
        <v>1.0071904834081107</v>
      </c>
      <c r="CB69">
        <v>0.52814087147043098</v>
      </c>
    </row>
    <row r="70" spans="1:99" x14ac:dyDescent="0.25">
      <c r="A70" t="s">
        <v>119</v>
      </c>
      <c r="B70" t="s">
        <v>166</v>
      </c>
      <c r="C70" t="s">
        <v>154</v>
      </c>
      <c r="D70">
        <v>-1</v>
      </c>
      <c r="E70">
        <v>28</v>
      </c>
      <c r="F70">
        <v>26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192.375</v>
      </c>
      <c r="N70">
        <v>102.980642177175</v>
      </c>
      <c r="O70">
        <v>-1</v>
      </c>
      <c r="P70">
        <v>-1</v>
      </c>
      <c r="Q70">
        <v>-1</v>
      </c>
      <c r="R70">
        <v>1.085</v>
      </c>
      <c r="S70">
        <v>1.1779999999999999</v>
      </c>
      <c r="T70">
        <v>1.05</v>
      </c>
      <c r="U70">
        <v>0.81599999999999995</v>
      </c>
      <c r="V70">
        <v>0.92500000000000004</v>
      </c>
      <c r="W70">
        <v>0.88500000000000001</v>
      </c>
      <c r="X70">
        <v>0.86899999999999999</v>
      </c>
      <c r="Y70">
        <v>0.999</v>
      </c>
      <c r="Z70">
        <v>0.92400000000000004</v>
      </c>
      <c r="AA70">
        <v>0.90200000000000002</v>
      </c>
      <c r="AB70">
        <v>0.879</v>
      </c>
      <c r="AC70">
        <v>0.84899999999999998</v>
      </c>
      <c r="AD70">
        <v>0.86799999999999999</v>
      </c>
      <c r="AE70">
        <v>0.94899999999999995</v>
      </c>
      <c r="AF70">
        <v>1.0249999999999999</v>
      </c>
      <c r="AG70">
        <v>1.026</v>
      </c>
      <c r="AH70">
        <v>1.024</v>
      </c>
      <c r="AI70">
        <v>0.96799999999999997</v>
      </c>
      <c r="AJ70">
        <v>1.161</v>
      </c>
      <c r="AK70">
        <v>0.91700000000000004</v>
      </c>
      <c r="AL70" t="s">
        <v>155</v>
      </c>
      <c r="AM70" t="s">
        <v>155</v>
      </c>
      <c r="AN70" t="s">
        <v>155</v>
      </c>
      <c r="AO70" t="s">
        <v>156</v>
      </c>
      <c r="AP70" t="s">
        <v>156</v>
      </c>
      <c r="AQ70" t="s">
        <v>156</v>
      </c>
      <c r="AR70" t="s">
        <v>156</v>
      </c>
      <c r="AS70" t="s">
        <v>155</v>
      </c>
      <c r="AT70" t="s">
        <v>156</v>
      </c>
      <c r="AU70" t="s">
        <v>156</v>
      </c>
      <c r="AV70" t="s">
        <v>156</v>
      </c>
      <c r="AW70" t="s">
        <v>156</v>
      </c>
      <c r="AX70" t="s">
        <v>156</v>
      </c>
      <c r="AY70" t="s">
        <v>156</v>
      </c>
      <c r="AZ70" t="s">
        <v>155</v>
      </c>
      <c r="BA70" t="s">
        <v>155</v>
      </c>
      <c r="BB70" t="s">
        <v>155</v>
      </c>
      <c r="BC70" t="s">
        <v>156</v>
      </c>
      <c r="BD70" t="s">
        <v>155</v>
      </c>
      <c r="BE70" t="s">
        <v>156</v>
      </c>
      <c r="BZ70">
        <v>4.8598086095066559</v>
      </c>
      <c r="CA70">
        <v>500.46621146515935</v>
      </c>
      <c r="CB70">
        <v>7.2708452361726303</v>
      </c>
      <c r="CC70">
        <v>10.0780299125793</v>
      </c>
      <c r="CD70">
        <v>6.3833749834048801</v>
      </c>
      <c r="CE70">
        <v>2.3460581379249699</v>
      </c>
      <c r="CF70">
        <v>3.8593264767572899</v>
      </c>
      <c r="CG70">
        <v>3.2381251118301999</v>
      </c>
      <c r="CH70">
        <v>3.0118778351758402</v>
      </c>
      <c r="CI70">
        <v>5.2384623660428904</v>
      </c>
      <c r="CJ70">
        <v>3.8427892375041601</v>
      </c>
      <c r="CK70">
        <v>3.4921974750831901</v>
      </c>
      <c r="CL70">
        <v>3.15184370960805</v>
      </c>
      <c r="CM70">
        <v>2.7459483887317799</v>
      </c>
      <c r="CN70">
        <v>2.9981416587330298</v>
      </c>
      <c r="CO70">
        <v>4.2724373524274499</v>
      </c>
      <c r="CP70">
        <v>5.8009962612558201</v>
      </c>
      <c r="CQ70">
        <v>5.8234970826094203</v>
      </c>
      <c r="CR70">
        <v>5.7785605430333904</v>
      </c>
      <c r="CS70">
        <v>4.62225614482601</v>
      </c>
      <c r="CT70">
        <v>9.5128960763435408</v>
      </c>
      <c r="CU70">
        <v>3.72850820008926</v>
      </c>
    </row>
    <row r="71" spans="1:99" x14ac:dyDescent="0.25">
      <c r="A71" t="s">
        <v>119</v>
      </c>
      <c r="B71" t="s">
        <v>198</v>
      </c>
      <c r="C71" t="s">
        <v>199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62.5</v>
      </c>
      <c r="N71">
        <v>33.456998758016603</v>
      </c>
      <c r="O71">
        <v>2</v>
      </c>
      <c r="P71">
        <v>-1</v>
      </c>
      <c r="Q71">
        <v>2</v>
      </c>
      <c r="R71">
        <v>8.5000000000000006E-2</v>
      </c>
      <c r="S71">
        <v>7.0000000000000007E-2</v>
      </c>
      <c r="BZ71">
        <v>9.7877283967159417E-2</v>
      </c>
      <c r="CA71">
        <v>3.2746801681272908</v>
      </c>
      <c r="CB71">
        <v>0.11065041586454837</v>
      </c>
      <c r="CC71">
        <v>8.5104152069770483E-2</v>
      </c>
      <c r="CD71" t="s">
        <v>239</v>
      </c>
      <c r="CE71" t="s">
        <v>239</v>
      </c>
      <c r="CF71" t="s">
        <v>239</v>
      </c>
      <c r="CG71" t="s">
        <v>239</v>
      </c>
      <c r="CH71" t="s">
        <v>239</v>
      </c>
      <c r="CI71" t="s">
        <v>239</v>
      </c>
      <c r="CJ71" t="s">
        <v>239</v>
      </c>
      <c r="CK71" t="s">
        <v>239</v>
      </c>
      <c r="CL71" t="s">
        <v>239</v>
      </c>
      <c r="CM71" t="s">
        <v>239</v>
      </c>
      <c r="CN71" t="s">
        <v>239</v>
      </c>
      <c r="CO71" t="s">
        <v>239</v>
      </c>
      <c r="CP71" t="s">
        <v>239</v>
      </c>
      <c r="CQ71" t="s">
        <v>239</v>
      </c>
      <c r="CR71" t="s">
        <v>239</v>
      </c>
      <c r="CS71" t="s">
        <v>239</v>
      </c>
      <c r="CT71" t="s">
        <v>239</v>
      </c>
      <c r="CU71" t="s">
        <v>239</v>
      </c>
    </row>
    <row r="72" spans="1:99" x14ac:dyDescent="0.25">
      <c r="A72" t="s">
        <v>119</v>
      </c>
      <c r="B72" t="s">
        <v>177</v>
      </c>
      <c r="C72" t="s">
        <v>168</v>
      </c>
      <c r="D72">
        <v>-1</v>
      </c>
      <c r="E72">
        <v>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3.5625</v>
      </c>
      <c r="N72">
        <v>1.9070489292069499</v>
      </c>
      <c r="O72">
        <v>-1</v>
      </c>
      <c r="P72">
        <v>-1</v>
      </c>
      <c r="Q72">
        <v>-1</v>
      </c>
      <c r="R72">
        <v>0.38</v>
      </c>
      <c r="AL72" t="s">
        <v>169</v>
      </c>
      <c r="BZ72">
        <v>0.400099253854658</v>
      </c>
      <c r="CA72">
        <v>0.76300885364002513</v>
      </c>
      <c r="CB72">
        <v>0.400099253854658</v>
      </c>
    </row>
    <row r="73" spans="1:99" x14ac:dyDescent="0.25">
      <c r="A73" t="s">
        <v>119</v>
      </c>
      <c r="B73" t="s">
        <v>184</v>
      </c>
      <c r="C73" t="s">
        <v>154</v>
      </c>
      <c r="D73">
        <v>-1</v>
      </c>
      <c r="E73">
        <v>3</v>
      </c>
      <c r="F73">
        <v>0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10.6875</v>
      </c>
      <c r="N73">
        <v>5.7211467876208397</v>
      </c>
      <c r="O73">
        <v>-1</v>
      </c>
      <c r="P73">
        <v>-1</v>
      </c>
      <c r="Q73">
        <v>-1</v>
      </c>
      <c r="R73">
        <v>0.52400000000000002</v>
      </c>
      <c r="S73">
        <v>0.497</v>
      </c>
      <c r="T73">
        <v>0.82599999999999996</v>
      </c>
      <c r="AL73" t="s">
        <v>155</v>
      </c>
      <c r="AM73" t="s">
        <v>187</v>
      </c>
      <c r="AN73" t="s">
        <v>155</v>
      </c>
      <c r="BZ73">
        <v>1.5701025191432798</v>
      </c>
      <c r="CA73">
        <v>8.9827869836319625</v>
      </c>
      <c r="CB73">
        <v>0.91959427635464897</v>
      </c>
      <c r="CC73">
        <v>0.80184656492513995</v>
      </c>
      <c r="CD73">
        <v>2.9888667161500502</v>
      </c>
    </row>
    <row r="74" spans="1:99" x14ac:dyDescent="0.25">
      <c r="A74" t="s">
        <v>119</v>
      </c>
      <c r="B74" t="s">
        <v>201</v>
      </c>
      <c r="C74" t="s">
        <v>192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250</v>
      </c>
      <c r="N74">
        <v>133.82799503206601</v>
      </c>
      <c r="O74">
        <v>8</v>
      </c>
      <c r="P74">
        <v>-1</v>
      </c>
      <c r="Q74">
        <v>8</v>
      </c>
      <c r="R74">
        <v>0.123</v>
      </c>
      <c r="S74">
        <v>0.121</v>
      </c>
      <c r="T74">
        <v>0.11899999999999999</v>
      </c>
      <c r="U74">
        <v>0.124</v>
      </c>
      <c r="V74">
        <v>0.13500000000000001</v>
      </c>
      <c r="W74">
        <v>0.128</v>
      </c>
      <c r="X74">
        <v>0.127</v>
      </c>
      <c r="Y74">
        <v>0.13700000000000001</v>
      </c>
      <c r="BZ74">
        <v>6.2428110412500008E-3</v>
      </c>
      <c r="CA74">
        <v>0.83546288501453192</v>
      </c>
      <c r="CB74">
        <v>5.6663400150000001E-3</v>
      </c>
      <c r="CC74">
        <v>5.3944032450000002E-3</v>
      </c>
      <c r="CD74">
        <v>5.1313091550000004E-3</v>
      </c>
      <c r="CE74">
        <v>5.8056700800000003E-3</v>
      </c>
      <c r="CF74">
        <v>7.4918418750000004E-3</v>
      </c>
      <c r="CG74">
        <v>6.3858278400000003E-3</v>
      </c>
      <c r="CH74">
        <v>6.237326235E-3</v>
      </c>
      <c r="CI74">
        <v>7.8297698850000007E-3</v>
      </c>
    </row>
    <row r="75" spans="1:99" x14ac:dyDescent="0.25">
      <c r="A75" t="s">
        <v>119</v>
      </c>
      <c r="B75" t="s">
        <v>202</v>
      </c>
      <c r="C75" t="s">
        <v>192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187.5</v>
      </c>
      <c r="N75">
        <v>100.37099627405</v>
      </c>
      <c r="O75">
        <v>6</v>
      </c>
      <c r="P75">
        <v>-1</v>
      </c>
      <c r="Q75">
        <v>6</v>
      </c>
      <c r="R75">
        <v>0.124</v>
      </c>
      <c r="S75">
        <v>9.8000000000000004E-2</v>
      </c>
      <c r="T75">
        <v>0.123</v>
      </c>
      <c r="U75">
        <v>0.104</v>
      </c>
      <c r="V75">
        <v>0.104</v>
      </c>
      <c r="W75">
        <v>9.9000000000000005E-2</v>
      </c>
      <c r="BZ75">
        <v>2.642903333333333E-3</v>
      </c>
      <c r="CA75">
        <v>0.26527084062267431</v>
      </c>
      <c r="CB75">
        <v>3.813248E-3</v>
      </c>
      <c r="CC75">
        <v>1.882384E-3</v>
      </c>
      <c r="CD75">
        <v>3.721734E-3</v>
      </c>
      <c r="CE75">
        <v>2.2497279999999999E-3</v>
      </c>
      <c r="CF75">
        <v>2.2497279999999999E-3</v>
      </c>
      <c r="CG75">
        <v>1.940598E-3</v>
      </c>
    </row>
    <row r="76" spans="1:99" x14ac:dyDescent="0.25">
      <c r="A76" t="s">
        <v>119</v>
      </c>
      <c r="B76" t="s">
        <v>204</v>
      </c>
      <c r="C76" t="s">
        <v>192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62.5</v>
      </c>
      <c r="N76">
        <v>33.456998758016603</v>
      </c>
      <c r="O76">
        <v>2</v>
      </c>
      <c r="P76">
        <v>-1</v>
      </c>
      <c r="Q76">
        <v>2</v>
      </c>
      <c r="R76">
        <v>0.122</v>
      </c>
      <c r="S76">
        <v>0.125</v>
      </c>
      <c r="BZ76">
        <v>3.7689730000000001E-3</v>
      </c>
      <c r="CA76">
        <v>0.1260985249799981</v>
      </c>
      <c r="CB76">
        <v>3.6316959999999998E-3</v>
      </c>
      <c r="CC76">
        <v>3.90625E-3</v>
      </c>
    </row>
    <row r="77" spans="1:99" x14ac:dyDescent="0.25">
      <c r="A77" t="s">
        <v>119</v>
      </c>
      <c r="B77" t="s">
        <v>216</v>
      </c>
      <c r="C77" t="s">
        <v>192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31.25</v>
      </c>
      <c r="N77">
        <v>16.728499379008301</v>
      </c>
      <c r="O77">
        <v>1</v>
      </c>
      <c r="P77">
        <v>-1</v>
      </c>
      <c r="Q77">
        <v>1</v>
      </c>
      <c r="R77">
        <v>0.155</v>
      </c>
      <c r="BZ77">
        <v>8.6021512499999994E-2</v>
      </c>
      <c r="CA77">
        <v>1.4390108184376047</v>
      </c>
      <c r="CB77">
        <v>8.6021512499999994E-2</v>
      </c>
    </row>
    <row r="78" spans="1:99" x14ac:dyDescent="0.25">
      <c r="A78" t="s">
        <v>119</v>
      </c>
      <c r="B78" t="s">
        <v>162</v>
      </c>
      <c r="C78" t="s">
        <v>154</v>
      </c>
      <c r="D78">
        <v>-1</v>
      </c>
      <c r="E78">
        <v>2</v>
      </c>
      <c r="F78">
        <v>0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7.125</v>
      </c>
      <c r="N78">
        <v>3.81409785841389</v>
      </c>
      <c r="O78">
        <v>-1</v>
      </c>
      <c r="P78">
        <v>-1</v>
      </c>
      <c r="Q78">
        <v>-1</v>
      </c>
      <c r="R78">
        <v>1.0129999999999999</v>
      </c>
      <c r="S78">
        <v>0.98099999999999998</v>
      </c>
      <c r="AL78" t="s">
        <v>155</v>
      </c>
      <c r="AM78" t="s">
        <v>155</v>
      </c>
      <c r="BZ78">
        <v>4.8683178761471204</v>
      </c>
      <c r="CA78">
        <v>18.56824078549079</v>
      </c>
      <c r="CB78">
        <v>5.0705689155121503</v>
      </c>
      <c r="CC78">
        <v>4.6660668367820897</v>
      </c>
    </row>
    <row r="79" spans="1:99" x14ac:dyDescent="0.25">
      <c r="A79" t="s">
        <v>119</v>
      </c>
      <c r="B79" t="s">
        <v>161</v>
      </c>
      <c r="C79" t="s">
        <v>154</v>
      </c>
      <c r="D79">
        <v>-1</v>
      </c>
      <c r="E79">
        <v>0</v>
      </c>
      <c r="F79">
        <v>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3.5625</v>
      </c>
      <c r="N79">
        <v>1.9070489292069499</v>
      </c>
      <c r="O79">
        <v>-1</v>
      </c>
      <c r="P79">
        <v>-1</v>
      </c>
      <c r="Q79">
        <v>-1</v>
      </c>
      <c r="R79">
        <v>0.94</v>
      </c>
      <c r="AL79" t="s">
        <v>156</v>
      </c>
      <c r="BZ79">
        <v>4.1776241691879799</v>
      </c>
      <c r="CA79">
        <v>7.9669336984790107</v>
      </c>
      <c r="CB79">
        <v>4.1776241691879799</v>
      </c>
    </row>
    <row r="80" spans="1:99" x14ac:dyDescent="0.25">
      <c r="A80" t="s">
        <v>119</v>
      </c>
      <c r="B80" t="s">
        <v>186</v>
      </c>
      <c r="C80" t="s">
        <v>154</v>
      </c>
      <c r="D80">
        <v>-1</v>
      </c>
      <c r="E80">
        <v>0</v>
      </c>
      <c r="F80">
        <v>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3.5625</v>
      </c>
      <c r="N80">
        <v>1.9070489292069499</v>
      </c>
      <c r="O80">
        <v>-1</v>
      </c>
      <c r="P80">
        <v>-1</v>
      </c>
      <c r="Q80">
        <v>-1</v>
      </c>
      <c r="R80">
        <v>2.395</v>
      </c>
      <c r="AL80" t="s">
        <v>156</v>
      </c>
      <c r="BZ80">
        <v>47.090089644347898</v>
      </c>
      <c r="CA80">
        <v>89.803105032512946</v>
      </c>
      <c r="CB80">
        <v>47.090089644347898</v>
      </c>
    </row>
    <row r="81" spans="1:99" x14ac:dyDescent="0.25">
      <c r="A81" t="s">
        <v>119</v>
      </c>
      <c r="B81" t="s">
        <v>227</v>
      </c>
      <c r="C81" t="s">
        <v>192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187.5</v>
      </c>
      <c r="N81">
        <v>100.37099627405</v>
      </c>
      <c r="O81">
        <v>6</v>
      </c>
      <c r="P81">
        <v>-1</v>
      </c>
      <c r="Q81">
        <v>6</v>
      </c>
      <c r="R81">
        <v>0.38700000000000001</v>
      </c>
      <c r="S81">
        <v>0.19800000000000001</v>
      </c>
      <c r="T81">
        <v>0.20599999999999999</v>
      </c>
      <c r="U81">
        <v>0.189</v>
      </c>
      <c r="V81">
        <v>0.17899999999999999</v>
      </c>
      <c r="W81">
        <v>0.183</v>
      </c>
      <c r="BZ81">
        <v>5.4296611833333341E-2</v>
      </c>
      <c r="CA81">
        <v>5.4498050240170404</v>
      </c>
      <c r="CB81">
        <v>0.2028621105</v>
      </c>
      <c r="CC81">
        <v>2.7168372E-2</v>
      </c>
      <c r="CD81">
        <v>3.0596356000000002E-2</v>
      </c>
      <c r="CE81">
        <v>2.3629441500000001E-2</v>
      </c>
      <c r="CF81">
        <v>2.00736865E-2</v>
      </c>
      <c r="CG81">
        <v>2.14497045E-2</v>
      </c>
    </row>
    <row r="82" spans="1:99" x14ac:dyDescent="0.25">
      <c r="A82" t="s">
        <v>119</v>
      </c>
      <c r="B82" t="s">
        <v>220</v>
      </c>
      <c r="C82" t="s">
        <v>192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218.75</v>
      </c>
      <c r="N82">
        <v>117.099495653058</v>
      </c>
      <c r="O82">
        <v>7</v>
      </c>
      <c r="P82">
        <v>-1</v>
      </c>
      <c r="Q82">
        <v>7</v>
      </c>
      <c r="R82">
        <v>0.25900000000000001</v>
      </c>
      <c r="S82">
        <v>0.249</v>
      </c>
      <c r="T82">
        <v>0.219</v>
      </c>
      <c r="U82">
        <v>0.20300000000000001</v>
      </c>
      <c r="V82">
        <v>0.20699999999999999</v>
      </c>
      <c r="W82">
        <v>0.23100000000000001</v>
      </c>
      <c r="X82">
        <v>0.248</v>
      </c>
      <c r="BZ82">
        <v>4.4065119999999999E-2</v>
      </c>
      <c r="CA82">
        <v>5.160003327891479</v>
      </c>
      <c r="CB82">
        <v>6.0808926499999999E-2</v>
      </c>
      <c r="CC82">
        <v>5.4033871499999997E-2</v>
      </c>
      <c r="CD82">
        <v>3.6762106500000002E-2</v>
      </c>
      <c r="CE82">
        <v>2.9278994499999999E-2</v>
      </c>
      <c r="CF82">
        <v>3.1044100500000001E-2</v>
      </c>
      <c r="CG82">
        <v>4.31423685E-2</v>
      </c>
      <c r="CH82">
        <v>5.3385472000000003E-2</v>
      </c>
    </row>
    <row r="83" spans="1:99" x14ac:dyDescent="0.25">
      <c r="A83" t="s">
        <v>119</v>
      </c>
      <c r="B83" t="s">
        <v>221</v>
      </c>
      <c r="C83" t="s">
        <v>192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2000</v>
      </c>
      <c r="N83">
        <v>1070.6239602565299</v>
      </c>
      <c r="O83">
        <v>64</v>
      </c>
      <c r="P83">
        <v>-1</v>
      </c>
      <c r="Q83">
        <v>64</v>
      </c>
      <c r="R83">
        <v>0.221</v>
      </c>
      <c r="S83">
        <v>0.217</v>
      </c>
      <c r="T83">
        <v>0.23100000000000001</v>
      </c>
      <c r="U83">
        <v>0.24399999999999999</v>
      </c>
      <c r="V83">
        <v>0.224</v>
      </c>
      <c r="W83">
        <v>0.23300000000000001</v>
      </c>
      <c r="X83">
        <v>0.215</v>
      </c>
      <c r="Y83">
        <v>0.28999999999999998</v>
      </c>
      <c r="Z83">
        <v>0.20599999999999999</v>
      </c>
      <c r="AA83">
        <v>0.247</v>
      </c>
      <c r="AB83">
        <v>0.23</v>
      </c>
      <c r="AC83">
        <v>0.224</v>
      </c>
      <c r="AD83">
        <v>0.215</v>
      </c>
      <c r="AE83">
        <v>0.22500000000000001</v>
      </c>
      <c r="AF83">
        <v>0.26700000000000002</v>
      </c>
      <c r="AG83">
        <v>0.24199999999999999</v>
      </c>
      <c r="AH83">
        <v>0.23200000000000001</v>
      </c>
      <c r="AI83">
        <v>0.20499999999999999</v>
      </c>
      <c r="AJ83">
        <v>0.21199999999999999</v>
      </c>
      <c r="AK83">
        <v>0.23300000000000001</v>
      </c>
      <c r="BZ83">
        <v>4.3945012475000003E-2</v>
      </c>
      <c r="CA83">
        <v>47.048583289507114</v>
      </c>
      <c r="CB83">
        <v>3.7778513499999999E-2</v>
      </c>
      <c r="CC83">
        <v>3.5764095500000002E-2</v>
      </c>
      <c r="CD83">
        <v>4.31423685E-2</v>
      </c>
      <c r="CE83">
        <v>5.0843744000000003E-2</v>
      </c>
      <c r="CF83">
        <v>3.9337983999999999E-2</v>
      </c>
      <c r="CG83">
        <v>4.4272679500000002E-2</v>
      </c>
      <c r="CH83">
        <v>3.4784312499999998E-2</v>
      </c>
      <c r="CI83">
        <v>8.5361500000000007E-2</v>
      </c>
      <c r="CJ83">
        <v>3.0596356000000002E-2</v>
      </c>
      <c r="CK83">
        <v>5.2742280500000002E-2</v>
      </c>
      <c r="CL83">
        <v>4.2584499999999997E-2</v>
      </c>
      <c r="CM83">
        <v>3.9337983999999999E-2</v>
      </c>
      <c r="CN83">
        <v>3.4784312499999998E-2</v>
      </c>
      <c r="CO83">
        <v>3.9867187499999998E-2</v>
      </c>
      <c r="CP83">
        <v>6.6619570500000003E-2</v>
      </c>
      <c r="CQ83">
        <v>4.9603708000000003E-2</v>
      </c>
      <c r="CR83">
        <v>4.3705088000000003E-2</v>
      </c>
      <c r="CS83">
        <v>3.0152937500000001E-2</v>
      </c>
      <c r="CT83">
        <v>3.3348448000000003E-2</v>
      </c>
      <c r="CU83">
        <v>4.4272679500000002E-2</v>
      </c>
    </row>
    <row r="84" spans="1:99" x14ac:dyDescent="0.25">
      <c r="A84" t="s">
        <v>119</v>
      </c>
      <c r="B84" t="s">
        <v>234</v>
      </c>
      <c r="C84" t="s">
        <v>192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31.25</v>
      </c>
      <c r="N84">
        <v>16.728499379008301</v>
      </c>
      <c r="O84">
        <v>1</v>
      </c>
      <c r="P84">
        <v>-1</v>
      </c>
      <c r="Q84">
        <v>1</v>
      </c>
      <c r="R84">
        <v>0.14199999999999999</v>
      </c>
      <c r="BZ84">
        <v>1.0021508E-2</v>
      </c>
      <c r="CA84">
        <v>0.16764479035472674</v>
      </c>
      <c r="CB84">
        <v>1.0021508E-2</v>
      </c>
    </row>
    <row r="85" spans="1:99" x14ac:dyDescent="0.25">
      <c r="A85" t="s">
        <v>119</v>
      </c>
      <c r="B85" t="s">
        <v>223</v>
      </c>
      <c r="C85" t="s">
        <v>192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250</v>
      </c>
      <c r="N85">
        <v>133.82799503206601</v>
      </c>
      <c r="O85">
        <v>8</v>
      </c>
      <c r="P85">
        <v>-1</v>
      </c>
      <c r="Q85">
        <v>8</v>
      </c>
      <c r="R85">
        <v>0.11600000000000001</v>
      </c>
      <c r="S85">
        <v>0.14299999999999999</v>
      </c>
      <c r="T85">
        <v>0.14899999999999999</v>
      </c>
      <c r="U85">
        <v>0.121</v>
      </c>
      <c r="V85">
        <v>0.121</v>
      </c>
      <c r="W85">
        <v>0.13800000000000001</v>
      </c>
      <c r="X85">
        <v>0.115</v>
      </c>
      <c r="Y85">
        <v>0.13500000000000001</v>
      </c>
      <c r="BZ85">
        <v>6.9090159600000006E-2</v>
      </c>
      <c r="CA85">
        <v>9.2461975357134492</v>
      </c>
      <c r="CB85">
        <v>4.8075596800000002E-2</v>
      </c>
      <c r="CC85">
        <v>9.0065575600000003E-2</v>
      </c>
      <c r="CD85">
        <v>0.1018848292</v>
      </c>
      <c r="CE85">
        <v>5.4564078799999999E-2</v>
      </c>
      <c r="CF85">
        <v>5.4564078799999999E-2</v>
      </c>
      <c r="CG85">
        <v>8.0944617600000004E-2</v>
      </c>
      <c r="CH85">
        <v>4.6842950000000001E-2</v>
      </c>
      <c r="CI85">
        <v>7.5779550000000001E-2</v>
      </c>
    </row>
    <row r="86" spans="1:99" x14ac:dyDescent="0.25">
      <c r="A86" t="s">
        <v>119</v>
      </c>
      <c r="B86" t="s">
        <v>208</v>
      </c>
      <c r="C86" t="s">
        <v>192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31.25</v>
      </c>
      <c r="N86">
        <v>16.728499379008301</v>
      </c>
      <c r="O86">
        <v>1</v>
      </c>
      <c r="P86">
        <v>-1</v>
      </c>
      <c r="Q86">
        <v>1</v>
      </c>
      <c r="R86">
        <v>0.115</v>
      </c>
      <c r="BZ86">
        <v>4.6842950000000001E-2</v>
      </c>
      <c r="CA86">
        <v>0.78361225998591688</v>
      </c>
      <c r="CB86">
        <v>4.6842950000000001E-2</v>
      </c>
    </row>
    <row r="87" spans="1:99" x14ac:dyDescent="0.25">
      <c r="A87" t="s">
        <v>119</v>
      </c>
      <c r="B87" t="s">
        <v>209</v>
      </c>
      <c r="C87" t="s">
        <v>192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31.25</v>
      </c>
      <c r="N87">
        <v>16.728499379008301</v>
      </c>
      <c r="O87">
        <v>1</v>
      </c>
      <c r="P87">
        <v>-1</v>
      </c>
      <c r="Q87">
        <v>1</v>
      </c>
      <c r="R87">
        <v>0.111</v>
      </c>
      <c r="BZ87">
        <v>4.21230348E-2</v>
      </c>
      <c r="CA87">
        <v>0.70465516149374507</v>
      </c>
      <c r="CB87">
        <v>4.21230348E-2</v>
      </c>
    </row>
    <row r="88" spans="1:99" x14ac:dyDescent="0.25">
      <c r="A88" t="s">
        <v>119</v>
      </c>
      <c r="B88" t="s">
        <v>235</v>
      </c>
      <c r="C88" t="s">
        <v>192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31.25</v>
      </c>
      <c r="N88">
        <v>16.728499379008301</v>
      </c>
      <c r="O88">
        <v>1</v>
      </c>
      <c r="P88">
        <v>-1</v>
      </c>
      <c r="Q88">
        <v>1</v>
      </c>
      <c r="R88">
        <v>0.21299999999999999</v>
      </c>
      <c r="BZ88">
        <v>9.6635970000000002E-2</v>
      </c>
      <c r="CA88">
        <v>1.6165747641348649</v>
      </c>
      <c r="CB88">
        <v>9.6635970000000002E-2</v>
      </c>
    </row>
    <row r="89" spans="1:99" x14ac:dyDescent="0.25">
      <c r="A89" t="s">
        <v>119</v>
      </c>
      <c r="B89" t="s">
        <v>153</v>
      </c>
      <c r="C89" t="s">
        <v>154</v>
      </c>
      <c r="D89">
        <v>-1</v>
      </c>
      <c r="E89">
        <v>4</v>
      </c>
      <c r="F89">
        <v>13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60.5625</v>
      </c>
      <c r="N89">
        <v>32.419831796518103</v>
      </c>
      <c r="O89">
        <v>-1</v>
      </c>
      <c r="P89">
        <v>-1</v>
      </c>
      <c r="Q89">
        <v>-1</v>
      </c>
      <c r="R89">
        <v>1.147</v>
      </c>
      <c r="S89">
        <v>1.3280000000000001</v>
      </c>
      <c r="T89">
        <v>1.093</v>
      </c>
      <c r="U89">
        <v>1.375</v>
      </c>
      <c r="V89">
        <v>1.1200000000000001</v>
      </c>
      <c r="W89">
        <v>1.284</v>
      </c>
      <c r="X89">
        <v>1.1950000000000001</v>
      </c>
      <c r="Y89">
        <v>1.306</v>
      </c>
      <c r="Z89">
        <v>1.087</v>
      </c>
      <c r="AA89">
        <v>1.196</v>
      </c>
      <c r="AB89">
        <v>1.1120000000000001</v>
      </c>
      <c r="AC89">
        <v>1.099</v>
      </c>
      <c r="AD89">
        <v>1.2030000000000001</v>
      </c>
      <c r="AE89">
        <v>1.208</v>
      </c>
      <c r="AF89">
        <v>1.222</v>
      </c>
      <c r="AG89">
        <v>1.224</v>
      </c>
      <c r="AL89" t="s">
        <v>156</v>
      </c>
      <c r="AM89" t="s">
        <v>155</v>
      </c>
      <c r="AN89" t="s">
        <v>156</v>
      </c>
      <c r="AO89" t="s">
        <v>155</v>
      </c>
      <c r="AP89" t="s">
        <v>156</v>
      </c>
      <c r="AQ89" t="s">
        <v>155</v>
      </c>
      <c r="AR89" t="s">
        <v>156</v>
      </c>
      <c r="AS89" t="s">
        <v>155</v>
      </c>
      <c r="AT89" t="s">
        <v>156</v>
      </c>
      <c r="AU89" t="s">
        <v>156</v>
      </c>
      <c r="AV89" t="s">
        <v>156</v>
      </c>
      <c r="AW89" t="s">
        <v>156</v>
      </c>
      <c r="AX89" t="s">
        <v>156</v>
      </c>
      <c r="AY89" t="s">
        <v>156</v>
      </c>
      <c r="AZ89" t="s">
        <v>156</v>
      </c>
      <c r="BA89" t="s">
        <v>156</v>
      </c>
      <c r="BZ89">
        <v>7.9455737121369889</v>
      </c>
      <c r="CA89">
        <v>257.59416327431711</v>
      </c>
      <c r="CB89">
        <v>6.9951571981901397</v>
      </c>
      <c r="CC89">
        <v>10.2237739968404</v>
      </c>
      <c r="CD89">
        <v>6.1738268571266701</v>
      </c>
      <c r="CE89">
        <v>11.187478519976199</v>
      </c>
      <c r="CF89">
        <v>6.5766223636186298</v>
      </c>
      <c r="CG89">
        <v>9.3693969230428191</v>
      </c>
      <c r="CH89">
        <v>7.7787730503521404</v>
      </c>
      <c r="CI89">
        <v>9.7908648218886505</v>
      </c>
      <c r="CJ89">
        <v>6.08643159550539</v>
      </c>
      <c r="CK89">
        <v>7.7956437011095696</v>
      </c>
      <c r="CL89">
        <v>6.4556447763001898</v>
      </c>
      <c r="CM89">
        <v>6.2619882677621801</v>
      </c>
      <c r="CN89">
        <v>7.9143672881413698</v>
      </c>
      <c r="CO89">
        <v>7.99984524995961</v>
      </c>
      <c r="CP89">
        <v>8.2421905277714806</v>
      </c>
      <c r="CQ89">
        <v>8.2771742566063899</v>
      </c>
    </row>
    <row r="90" spans="1:99" x14ac:dyDescent="0.25">
      <c r="A90" t="s">
        <v>119</v>
      </c>
      <c r="B90" t="s">
        <v>210</v>
      </c>
      <c r="C90" t="s">
        <v>192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2406.25</v>
      </c>
      <c r="N90">
        <v>1288.09445218364</v>
      </c>
      <c r="O90">
        <v>77</v>
      </c>
      <c r="P90">
        <v>-1</v>
      </c>
      <c r="Q90">
        <v>77</v>
      </c>
      <c r="R90">
        <v>0.13700000000000001</v>
      </c>
      <c r="S90">
        <v>0.13500000000000001</v>
      </c>
      <c r="T90">
        <v>0.16300000000000001</v>
      </c>
      <c r="U90">
        <v>0.16</v>
      </c>
      <c r="V90">
        <v>0.127</v>
      </c>
      <c r="W90">
        <v>0.126</v>
      </c>
      <c r="X90">
        <v>0.219</v>
      </c>
      <c r="Y90">
        <v>0.185</v>
      </c>
      <c r="Z90">
        <v>0.161</v>
      </c>
      <c r="AA90">
        <v>0.13700000000000001</v>
      </c>
      <c r="AB90">
        <v>0.125</v>
      </c>
      <c r="AC90">
        <v>0.20599999999999999</v>
      </c>
      <c r="AD90">
        <v>0.191</v>
      </c>
      <c r="AE90">
        <v>0.18099999999999999</v>
      </c>
      <c r="AF90">
        <v>0.218</v>
      </c>
      <c r="AG90">
        <v>0.219</v>
      </c>
      <c r="AH90">
        <v>0.14599999999999999</v>
      </c>
      <c r="AI90">
        <v>0.13800000000000001</v>
      </c>
      <c r="AJ90">
        <v>0.13700000000000001</v>
      </c>
      <c r="AK90">
        <v>0.184</v>
      </c>
      <c r="BZ90">
        <v>5.0042130500000004E-2</v>
      </c>
      <c r="CA90">
        <v>64.458990672499723</v>
      </c>
      <c r="CB90">
        <v>2.5713529999999998E-2</v>
      </c>
      <c r="CC90">
        <v>2.4603750000000001E-2</v>
      </c>
      <c r="CD90">
        <v>4.3307470000000001E-2</v>
      </c>
      <c r="CE90">
        <v>4.0960000000000003E-2</v>
      </c>
      <c r="CF90">
        <v>2.0483830000000001E-2</v>
      </c>
      <c r="CG90">
        <v>2.0003759999999999E-2</v>
      </c>
      <c r="CH90">
        <v>0.10503459</v>
      </c>
      <c r="CI90">
        <v>6.3316250000000004E-2</v>
      </c>
      <c r="CJ90">
        <v>4.1732810000000002E-2</v>
      </c>
      <c r="CK90">
        <v>2.5713529999999998E-2</v>
      </c>
      <c r="CL90">
        <v>1.953125E-2</v>
      </c>
      <c r="CM90">
        <v>8.7418159999999995E-2</v>
      </c>
      <c r="CN90">
        <v>6.9678710000000005E-2</v>
      </c>
      <c r="CO90">
        <v>5.9297410000000002E-2</v>
      </c>
      <c r="CP90">
        <v>0.10360232</v>
      </c>
      <c r="CQ90">
        <v>0.10503459</v>
      </c>
      <c r="CR90">
        <v>3.1121360000000001E-2</v>
      </c>
      <c r="CS90">
        <v>2.628072E-2</v>
      </c>
      <c r="CT90">
        <v>2.5713529999999998E-2</v>
      </c>
      <c r="CU90">
        <v>6.2295040000000003E-2</v>
      </c>
    </row>
    <row r="91" spans="1:99" x14ac:dyDescent="0.25">
      <c r="A91" t="s">
        <v>121</v>
      </c>
      <c r="B91" t="s">
        <v>172</v>
      </c>
      <c r="C91" t="s">
        <v>158</v>
      </c>
      <c r="D91">
        <v>-1</v>
      </c>
      <c r="E91">
        <v>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64.5</v>
      </c>
      <c r="N91">
        <v>7.5353443717403898</v>
      </c>
      <c r="O91">
        <v>-1</v>
      </c>
      <c r="P91">
        <v>-1</v>
      </c>
      <c r="Q91">
        <v>-1</v>
      </c>
      <c r="R91">
        <v>0.30599999999999999</v>
      </c>
      <c r="AL91" t="s">
        <v>159</v>
      </c>
      <c r="BZ91">
        <v>0.75280387152912998</v>
      </c>
      <c r="CA91">
        <v>5.6726364163514047</v>
      </c>
      <c r="CB91">
        <v>0.75280387152912998</v>
      </c>
    </row>
    <row r="92" spans="1:99" x14ac:dyDescent="0.25">
      <c r="A92" t="s">
        <v>121</v>
      </c>
      <c r="B92" t="s">
        <v>194</v>
      </c>
      <c r="C92" t="s">
        <v>192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68.75</v>
      </c>
      <c r="N92">
        <v>8.0318593109635898</v>
      </c>
      <c r="O92">
        <v>5</v>
      </c>
      <c r="P92">
        <v>-1</v>
      </c>
      <c r="Q92">
        <v>5</v>
      </c>
      <c r="BF92">
        <v>4.5999999999999999E-2</v>
      </c>
      <c r="BG92">
        <v>4.4999999999999998E-2</v>
      </c>
      <c r="BH92">
        <v>4.9000000000000002E-2</v>
      </c>
      <c r="BI92">
        <v>5.1999999999999998E-2</v>
      </c>
      <c r="BJ92">
        <v>4.7E-2</v>
      </c>
      <c r="BZ92">
        <v>1.9819476000000003E-2</v>
      </c>
      <c r="CA92">
        <v>0.15918724284901942</v>
      </c>
      <c r="CB92">
        <v>1.7520480000000001E-2</v>
      </c>
      <c r="CC92">
        <v>1.64025E-2</v>
      </c>
      <c r="CD92">
        <v>2.1176819999999999E-2</v>
      </c>
      <c r="CE92">
        <v>2.5309439999999999E-2</v>
      </c>
      <c r="CF92">
        <v>1.8688139999999999E-2</v>
      </c>
    </row>
    <row r="93" spans="1:99" x14ac:dyDescent="0.25">
      <c r="A93" t="s">
        <v>121</v>
      </c>
      <c r="B93" t="s">
        <v>195</v>
      </c>
      <c r="C93" t="s">
        <v>192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13.75</v>
      </c>
      <c r="N93">
        <v>1.6063718621927201</v>
      </c>
      <c r="O93">
        <v>1</v>
      </c>
      <c r="P93">
        <v>-1</v>
      </c>
      <c r="Q93">
        <v>1</v>
      </c>
      <c r="R93">
        <v>0.14799999999999999</v>
      </c>
      <c r="BF93">
        <v>5.3999999999999999E-2</v>
      </c>
      <c r="BZ93">
        <v>1.1220768000000001E-2</v>
      </c>
      <c r="CA93">
        <v>1.8024725987392486E-2</v>
      </c>
      <c r="CB93">
        <v>1.1220768000000001E-2</v>
      </c>
    </row>
    <row r="94" spans="1:99" x14ac:dyDescent="0.25">
      <c r="A94" t="s">
        <v>121</v>
      </c>
      <c r="B94" t="s">
        <v>196</v>
      </c>
      <c r="C94" t="s">
        <v>197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770</v>
      </c>
      <c r="N94">
        <v>89.956824282792198</v>
      </c>
      <c r="O94">
        <v>56</v>
      </c>
      <c r="P94">
        <v>-1</v>
      </c>
      <c r="Q94">
        <v>56</v>
      </c>
      <c r="R94">
        <v>9.8000000000000004E-2</v>
      </c>
      <c r="S94">
        <v>0.13100000000000001</v>
      </c>
      <c r="T94">
        <v>0.109</v>
      </c>
      <c r="U94">
        <v>0.20200000000000001</v>
      </c>
      <c r="V94">
        <v>0.218</v>
      </c>
      <c r="W94">
        <v>0.188</v>
      </c>
      <c r="X94">
        <v>0.13</v>
      </c>
      <c r="Y94">
        <v>0.14299999999999999</v>
      </c>
      <c r="Z94">
        <v>0.17499999999999999</v>
      </c>
      <c r="AA94">
        <v>0.14000000000000001</v>
      </c>
      <c r="AB94">
        <v>0.13300000000000001</v>
      </c>
      <c r="AC94">
        <v>0.155</v>
      </c>
      <c r="AD94">
        <v>0.151</v>
      </c>
      <c r="AE94">
        <v>0.13600000000000001</v>
      </c>
      <c r="AF94">
        <v>0.23300000000000001</v>
      </c>
      <c r="AG94">
        <v>0.14599999999999999</v>
      </c>
      <c r="AH94">
        <v>0.111</v>
      </c>
      <c r="AI94">
        <v>0.106</v>
      </c>
      <c r="AJ94">
        <v>0.21</v>
      </c>
      <c r="AK94">
        <v>0.13600000000000001</v>
      </c>
      <c r="BZ94">
        <v>8.5643508835357804E-2</v>
      </c>
      <c r="CA94">
        <v>7.704218075264043</v>
      </c>
      <c r="CB94">
        <v>2.6737432723878494E-2</v>
      </c>
      <c r="CC94">
        <v>5.3657228001919549E-2</v>
      </c>
      <c r="CD94">
        <v>3.4514431011782545E-2</v>
      </c>
      <c r="CE94">
        <v>0.15171216634747359</v>
      </c>
      <c r="CF94">
        <v>0.18216825902348954</v>
      </c>
      <c r="CG94">
        <v>0.12768972786484611</v>
      </c>
      <c r="CH94">
        <v>5.2679442313682365E-2</v>
      </c>
      <c r="CI94">
        <v>6.6219151722577044E-2</v>
      </c>
      <c r="CJ94">
        <v>0.10751484669706084</v>
      </c>
      <c r="CK94">
        <v>6.2933865666250186E-2</v>
      </c>
      <c r="CL94">
        <v>5.564434844158727E-2</v>
      </c>
      <c r="CM94">
        <v>8.0347653641320488E-2</v>
      </c>
      <c r="CN94">
        <v>7.5460868039834816E-2</v>
      </c>
      <c r="CO94">
        <v>5.8704379673962324E-2</v>
      </c>
      <c r="CP94">
        <v>0.21371319331727137</v>
      </c>
      <c r="CQ94">
        <v>6.9602361859324738E-2</v>
      </c>
      <c r="CR94">
        <v>3.6053901860956812E-2</v>
      </c>
      <c r="CS94">
        <v>3.2278340588934862E-2</v>
      </c>
      <c r="CT94">
        <v>0.16653419823704091</v>
      </c>
      <c r="CU94">
        <v>5.8704379673962324E-2</v>
      </c>
    </row>
    <row r="95" spans="1:99" x14ac:dyDescent="0.25">
      <c r="A95" t="s">
        <v>121</v>
      </c>
      <c r="B95" t="s">
        <v>173</v>
      </c>
      <c r="C95" t="s">
        <v>168</v>
      </c>
      <c r="D95">
        <v>-1</v>
      </c>
      <c r="E95">
        <v>158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10191</v>
      </c>
      <c r="N95">
        <v>1190.5844107349801</v>
      </c>
      <c r="O95">
        <v>-1</v>
      </c>
      <c r="P95">
        <v>-1</v>
      </c>
      <c r="Q95">
        <v>-1</v>
      </c>
      <c r="R95">
        <v>0.78800000000000003</v>
      </c>
      <c r="S95">
        <v>0.89400000000000002</v>
      </c>
      <c r="T95">
        <v>0.83199999999999996</v>
      </c>
      <c r="U95">
        <v>0.69899999999999995</v>
      </c>
      <c r="V95">
        <v>0.624</v>
      </c>
      <c r="W95">
        <v>0.749</v>
      </c>
      <c r="X95">
        <v>0.81299999999999994</v>
      </c>
      <c r="Y95">
        <v>0.68300000000000005</v>
      </c>
      <c r="Z95">
        <v>0.46899999999999997</v>
      </c>
      <c r="AA95">
        <v>0.70299999999999996</v>
      </c>
      <c r="AB95">
        <v>0.80600000000000005</v>
      </c>
      <c r="AC95">
        <v>0.67600000000000005</v>
      </c>
      <c r="AD95">
        <v>0.63600000000000001</v>
      </c>
      <c r="AE95">
        <v>0.66</v>
      </c>
      <c r="AF95">
        <v>0.84499999999999997</v>
      </c>
      <c r="AG95">
        <v>0.72799999999999998</v>
      </c>
      <c r="AH95">
        <v>0.80700000000000005</v>
      </c>
      <c r="AI95">
        <v>0.86799999999999999</v>
      </c>
      <c r="AJ95">
        <v>0.77600000000000002</v>
      </c>
      <c r="AK95">
        <v>0.77100000000000002</v>
      </c>
      <c r="AL95" t="s">
        <v>169</v>
      </c>
      <c r="AM95" t="s">
        <v>169</v>
      </c>
      <c r="AN95" t="s">
        <v>169</v>
      </c>
      <c r="AO95" t="s">
        <v>169</v>
      </c>
      <c r="AP95" t="s">
        <v>169</v>
      </c>
      <c r="AQ95" t="s">
        <v>169</v>
      </c>
      <c r="AR95" t="s">
        <v>169</v>
      </c>
      <c r="AS95" t="s">
        <v>169</v>
      </c>
      <c r="AT95" t="s">
        <v>169</v>
      </c>
      <c r="AU95" t="s">
        <v>169</v>
      </c>
      <c r="AV95" t="s">
        <v>169</v>
      </c>
      <c r="AW95" t="s">
        <v>169</v>
      </c>
      <c r="AX95" t="s">
        <v>169</v>
      </c>
      <c r="AY95" t="s">
        <v>169</v>
      </c>
      <c r="AZ95" t="s">
        <v>169</v>
      </c>
      <c r="BA95" t="s">
        <v>169</v>
      </c>
      <c r="BB95" t="s">
        <v>169</v>
      </c>
      <c r="BC95" t="s">
        <v>169</v>
      </c>
      <c r="BD95" t="s">
        <v>169</v>
      </c>
      <c r="BE95" t="s">
        <v>169</v>
      </c>
      <c r="BZ95">
        <v>1.758753983359679</v>
      </c>
      <c r="CA95">
        <v>2093.9450749060825</v>
      </c>
      <c r="CB95">
        <v>2.0423864634905899</v>
      </c>
      <c r="CC95">
        <v>3.37084505092071</v>
      </c>
      <c r="CD95">
        <v>2.5340690539667698</v>
      </c>
      <c r="CE95">
        <v>1.2691215765017201</v>
      </c>
      <c r="CF95">
        <v>0.80874509740031797</v>
      </c>
      <c r="CG95">
        <v>1.66963544635729</v>
      </c>
      <c r="CH95">
        <v>2.31200253519168</v>
      </c>
      <c r="CI95">
        <v>1.1576546846970699</v>
      </c>
      <c r="CJ95">
        <v>0.26030650762149998</v>
      </c>
      <c r="CK95">
        <v>1.29819962782172</v>
      </c>
      <c r="CL95">
        <v>2.2339783292891302</v>
      </c>
      <c r="CM95">
        <v>1.1112639423694799</v>
      </c>
      <c r="CN95">
        <v>0.87227532860314405</v>
      </c>
      <c r="CO95">
        <v>1.0104579939946701</v>
      </c>
      <c r="CP95">
        <v>2.6949454232666099</v>
      </c>
      <c r="CQ95">
        <v>1.4913872152582699</v>
      </c>
      <c r="CR95">
        <v>2.24500220970608</v>
      </c>
      <c r="CS95">
        <v>2.9981416587330298</v>
      </c>
      <c r="CT95">
        <v>1.92167470408387</v>
      </c>
      <c r="CU95">
        <v>1.87298681791993</v>
      </c>
    </row>
    <row r="96" spans="1:99" x14ac:dyDescent="0.25">
      <c r="A96" t="s">
        <v>121</v>
      </c>
      <c r="B96" t="s">
        <v>167</v>
      </c>
      <c r="C96" t="s">
        <v>168</v>
      </c>
      <c r="D96">
        <v>-1</v>
      </c>
      <c r="E96">
        <v>20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1290</v>
      </c>
      <c r="N96">
        <v>150.70688743480801</v>
      </c>
      <c r="O96">
        <v>-1</v>
      </c>
      <c r="P96">
        <v>-1</v>
      </c>
      <c r="Q96">
        <v>-1</v>
      </c>
      <c r="R96">
        <v>0.499</v>
      </c>
      <c r="S96">
        <v>0.51600000000000001</v>
      </c>
      <c r="T96">
        <v>0.502</v>
      </c>
      <c r="U96">
        <v>0.71199999999999997</v>
      </c>
      <c r="V96">
        <v>0.48099999999999998</v>
      </c>
      <c r="W96">
        <v>0.76400000000000001</v>
      </c>
      <c r="X96">
        <v>0.46899999999999997</v>
      </c>
      <c r="Y96">
        <v>0.59499999999999997</v>
      </c>
      <c r="Z96">
        <v>1.147</v>
      </c>
      <c r="AA96">
        <v>0.502</v>
      </c>
      <c r="AB96">
        <v>0.50900000000000001</v>
      </c>
      <c r="AC96">
        <v>0.46</v>
      </c>
      <c r="AD96">
        <v>0.49299999999999999</v>
      </c>
      <c r="AE96">
        <v>0.505</v>
      </c>
      <c r="AF96">
        <v>0.65200000000000002</v>
      </c>
      <c r="AG96">
        <v>0.55900000000000005</v>
      </c>
      <c r="AH96">
        <v>0.502</v>
      </c>
      <c r="AI96">
        <v>0.47599999999999998</v>
      </c>
      <c r="AJ96">
        <v>0.50800000000000001</v>
      </c>
      <c r="AK96">
        <v>0.48899999999999999</v>
      </c>
      <c r="AL96" t="s">
        <v>169</v>
      </c>
      <c r="AM96" t="s">
        <v>169</v>
      </c>
      <c r="AN96" t="s">
        <v>169</v>
      </c>
      <c r="AO96" t="s">
        <v>169</v>
      </c>
      <c r="AP96" t="s">
        <v>169</v>
      </c>
      <c r="AQ96" t="s">
        <v>169</v>
      </c>
      <c r="AR96" t="s">
        <v>169</v>
      </c>
      <c r="AS96" t="s">
        <v>169</v>
      </c>
      <c r="AT96" t="s">
        <v>169</v>
      </c>
      <c r="AU96" t="s">
        <v>169</v>
      </c>
      <c r="AV96" t="s">
        <v>169</v>
      </c>
      <c r="AW96" t="s">
        <v>169</v>
      </c>
      <c r="AX96" t="s">
        <v>169</v>
      </c>
      <c r="AY96" t="s">
        <v>169</v>
      </c>
      <c r="AZ96" t="s">
        <v>169</v>
      </c>
      <c r="BA96" t="s">
        <v>169</v>
      </c>
      <c r="BB96" t="s">
        <v>169</v>
      </c>
      <c r="BC96" t="s">
        <v>169</v>
      </c>
      <c r="BD96" t="s">
        <v>169</v>
      </c>
      <c r="BE96" t="s">
        <v>169</v>
      </c>
      <c r="BZ96">
        <v>1.3255241707714389</v>
      </c>
      <c r="CA96">
        <v>199.76562199656848</v>
      </c>
      <c r="CB96">
        <v>0.81023059668390596</v>
      </c>
      <c r="CC96">
        <v>0.88367171365022601</v>
      </c>
      <c r="CD96">
        <v>0.822907183790618</v>
      </c>
      <c r="CE96">
        <v>2.0344705600492698</v>
      </c>
      <c r="CF96">
        <v>0.73668864187058802</v>
      </c>
      <c r="CG96">
        <v>2.4419683169381701</v>
      </c>
      <c r="CH96">
        <v>0.690026689097195</v>
      </c>
      <c r="CI96">
        <v>1.2779891521828</v>
      </c>
      <c r="CJ96">
        <v>6.9951571981901397</v>
      </c>
      <c r="CK96">
        <v>0.822907183790618</v>
      </c>
      <c r="CL96">
        <v>0.85295728435863905</v>
      </c>
      <c r="CM96">
        <v>0.65625255955974104</v>
      </c>
      <c r="CN96">
        <v>0.78523879359677495</v>
      </c>
      <c r="CO96">
        <v>0.83570479796318897</v>
      </c>
      <c r="CP96">
        <v>1.6196810430062201</v>
      </c>
      <c r="CQ96">
        <v>1.0872384647870299</v>
      </c>
      <c r="CR96">
        <v>0.822907183790618</v>
      </c>
      <c r="CS96">
        <v>0.71701828966870895</v>
      </c>
      <c r="CT96">
        <v>0.84862386541023005</v>
      </c>
      <c r="CU96">
        <v>0.76884389704409295</v>
      </c>
    </row>
    <row r="97" spans="1:99" x14ac:dyDescent="0.25">
      <c r="A97" t="s">
        <v>121</v>
      </c>
      <c r="B97" t="s">
        <v>166</v>
      </c>
      <c r="C97" t="s">
        <v>154</v>
      </c>
      <c r="D97">
        <v>-1</v>
      </c>
      <c r="E97">
        <v>1</v>
      </c>
      <c r="F97">
        <v>18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1225.5</v>
      </c>
      <c r="N97">
        <v>143.17154306306699</v>
      </c>
      <c r="O97">
        <v>-1</v>
      </c>
      <c r="P97">
        <v>-1</v>
      </c>
      <c r="Q97">
        <v>-1</v>
      </c>
      <c r="R97">
        <v>0.96499999999999997</v>
      </c>
      <c r="S97">
        <v>0.88</v>
      </c>
      <c r="T97">
        <v>0.83599999999999997</v>
      </c>
      <c r="U97">
        <v>0.82499999999999996</v>
      </c>
      <c r="V97">
        <v>0.83199999999999996</v>
      </c>
      <c r="W97">
        <v>0.85</v>
      </c>
      <c r="X97">
        <v>0.80400000000000005</v>
      </c>
      <c r="Y97">
        <v>0.81799999999999995</v>
      </c>
      <c r="Z97">
        <v>0.82399999999999995</v>
      </c>
      <c r="AA97">
        <v>0.78600000000000003</v>
      </c>
      <c r="AB97">
        <v>0.94</v>
      </c>
      <c r="AC97">
        <v>0.83</v>
      </c>
      <c r="AD97">
        <v>0.78100000000000003</v>
      </c>
      <c r="AE97">
        <v>0.80200000000000005</v>
      </c>
      <c r="AF97">
        <v>0.77100000000000002</v>
      </c>
      <c r="AG97">
        <v>0.76800000000000002</v>
      </c>
      <c r="AH97">
        <v>0.79100000000000004</v>
      </c>
      <c r="AI97">
        <v>0.81299999999999994</v>
      </c>
      <c r="AJ97">
        <v>0.82599999999999996</v>
      </c>
      <c r="AL97" t="s">
        <v>156</v>
      </c>
      <c r="AM97" t="s">
        <v>156</v>
      </c>
      <c r="AN97" t="s">
        <v>156</v>
      </c>
      <c r="AO97" t="s">
        <v>156</v>
      </c>
      <c r="AP97" t="s">
        <v>156</v>
      </c>
      <c r="AQ97" t="s">
        <v>156</v>
      </c>
      <c r="AR97" t="s">
        <v>156</v>
      </c>
      <c r="AS97" t="s">
        <v>156</v>
      </c>
      <c r="AT97" t="s">
        <v>156</v>
      </c>
      <c r="AU97" t="s">
        <v>156</v>
      </c>
      <c r="AV97" t="s">
        <v>155</v>
      </c>
      <c r="AW97" t="s">
        <v>156</v>
      </c>
      <c r="AX97" t="s">
        <v>156</v>
      </c>
      <c r="AY97" t="s">
        <v>156</v>
      </c>
      <c r="AZ97" t="s">
        <v>156</v>
      </c>
      <c r="BA97" t="s">
        <v>156</v>
      </c>
      <c r="BB97" t="s">
        <v>156</v>
      </c>
      <c r="BC97" t="s">
        <v>156</v>
      </c>
      <c r="BD97" t="s">
        <v>156</v>
      </c>
      <c r="BZ97">
        <v>2.5499911329353937</v>
      </c>
      <c r="CA97">
        <v>365.0861652994987</v>
      </c>
      <c r="CB97">
        <v>4.5656464073515997</v>
      </c>
      <c r="CC97">
        <v>3.1661030665237901</v>
      </c>
      <c r="CD97">
        <v>2.5827820615271002</v>
      </c>
      <c r="CE97">
        <v>2.4504791728531501</v>
      </c>
      <c r="CF97">
        <v>2.5340690539667698</v>
      </c>
      <c r="CG97">
        <v>2.7588111657657999</v>
      </c>
      <c r="CH97">
        <v>2.2120521096297501</v>
      </c>
      <c r="CI97">
        <v>2.3689694248816302</v>
      </c>
      <c r="CJ97">
        <v>2.4387083787608899</v>
      </c>
      <c r="CK97">
        <v>2.0218845224020998</v>
      </c>
      <c r="CL97">
        <v>4.1138307371007699</v>
      </c>
      <c r="CM97">
        <v>2.5099719419613802</v>
      </c>
      <c r="CN97">
        <v>1.97130327968347</v>
      </c>
      <c r="CO97">
        <v>2.1902872851766801</v>
      </c>
      <c r="CP97">
        <v>1.87298681791993</v>
      </c>
      <c r="CQ97">
        <v>1.8442206623744499</v>
      </c>
      <c r="CR97">
        <v>2.07343048453611</v>
      </c>
      <c r="CS97">
        <v>2.31200253519168</v>
      </c>
      <c r="CT97">
        <v>2.4622924181654402</v>
      </c>
    </row>
    <row r="98" spans="1:99" x14ac:dyDescent="0.25">
      <c r="A98" t="s">
        <v>121</v>
      </c>
      <c r="B98" t="s">
        <v>198</v>
      </c>
      <c r="C98" t="s">
        <v>199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2351.25</v>
      </c>
      <c r="N98">
        <v>274.689588434955</v>
      </c>
      <c r="O98">
        <v>171</v>
      </c>
      <c r="P98">
        <v>-1</v>
      </c>
      <c r="Q98">
        <v>171</v>
      </c>
      <c r="R98">
        <v>7.8E-2</v>
      </c>
      <c r="S98">
        <v>8.6999999999999994E-2</v>
      </c>
      <c r="T98">
        <v>9.0999999999999998E-2</v>
      </c>
      <c r="U98">
        <v>8.4000000000000005E-2</v>
      </c>
      <c r="V98">
        <v>0.09</v>
      </c>
      <c r="W98">
        <v>8.1000000000000003E-2</v>
      </c>
      <c r="X98">
        <v>8.1000000000000003E-2</v>
      </c>
      <c r="Y98">
        <v>7.9000000000000001E-2</v>
      </c>
      <c r="Z98">
        <v>8.3000000000000004E-2</v>
      </c>
      <c r="AA98">
        <v>8.5999999999999993E-2</v>
      </c>
      <c r="AB98">
        <v>8.7999999999999995E-2</v>
      </c>
      <c r="AC98">
        <v>0.08</v>
      </c>
      <c r="AD98">
        <v>0.09</v>
      </c>
      <c r="AE98">
        <v>7.5999999999999998E-2</v>
      </c>
      <c r="AF98">
        <v>8.4000000000000005E-2</v>
      </c>
      <c r="AG98">
        <v>7.9000000000000001E-2</v>
      </c>
      <c r="AH98">
        <v>0.128</v>
      </c>
      <c r="AI98">
        <v>0.08</v>
      </c>
      <c r="AJ98">
        <v>7.3999999999999996E-2</v>
      </c>
      <c r="AK98">
        <v>7.8E-2</v>
      </c>
      <c r="BZ98">
        <v>0.11286584647235709</v>
      </c>
      <c r="CA98">
        <v>31.003072915854588</v>
      </c>
      <c r="CB98">
        <v>9.7893076299818055E-2</v>
      </c>
      <c r="CC98">
        <v>0.11459175145620078</v>
      </c>
      <c r="CD98">
        <v>0.12290059094102512</v>
      </c>
      <c r="CE98">
        <v>0.10873087852656856</v>
      </c>
      <c r="CF98">
        <v>0.12076854045275696</v>
      </c>
      <c r="CG98">
        <v>0.10316976392212798</v>
      </c>
      <c r="CH98">
        <v>0.10316976392212798</v>
      </c>
      <c r="CI98">
        <v>9.962128283722127E-2</v>
      </c>
      <c r="CJ98">
        <v>0.10684464086996007</v>
      </c>
      <c r="CK98">
        <v>0.11260384075721208</v>
      </c>
      <c r="CL98">
        <v>0.11661475677470312</v>
      </c>
      <c r="CM98">
        <v>0.1013799991711169</v>
      </c>
      <c r="CN98">
        <v>0.12076854045275696</v>
      </c>
      <c r="CO98">
        <v>9.4526084689219525E-2</v>
      </c>
      <c r="CP98">
        <v>0.10873087852656856</v>
      </c>
      <c r="CQ98">
        <v>9.962128283722127E-2</v>
      </c>
      <c r="CR98">
        <v>0.23483328218606961</v>
      </c>
      <c r="CS98">
        <v>0.1013799991711169</v>
      </c>
      <c r="CT98">
        <v>9.1274899353531794E-2</v>
      </c>
      <c r="CU98">
        <v>9.7893076299818055E-2</v>
      </c>
    </row>
    <row r="99" spans="1:99" x14ac:dyDescent="0.25">
      <c r="A99" t="s">
        <v>121</v>
      </c>
      <c r="B99" t="s">
        <v>201</v>
      </c>
      <c r="C99" t="s">
        <v>192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55</v>
      </c>
      <c r="N99">
        <v>6.4254874487708697</v>
      </c>
      <c r="O99">
        <v>4</v>
      </c>
      <c r="P99">
        <v>-1</v>
      </c>
      <c r="Q99">
        <v>4</v>
      </c>
      <c r="R99">
        <v>0.11799999999999999</v>
      </c>
      <c r="S99">
        <v>0.11700000000000001</v>
      </c>
      <c r="T99">
        <v>0.115</v>
      </c>
      <c r="U99">
        <v>0.13200000000000001</v>
      </c>
      <c r="BZ99">
        <v>5.3786027400000002E-3</v>
      </c>
      <c r="CA99">
        <v>3.4560144397794611E-2</v>
      </c>
      <c r="CB99">
        <v>5.0030324400000001E-3</v>
      </c>
      <c r="CC99">
        <v>4.8769115850000001E-3</v>
      </c>
      <c r="CD99">
        <v>4.6310643749999996E-3</v>
      </c>
      <c r="CE99">
        <v>7.0034025600000001E-3</v>
      </c>
    </row>
    <row r="100" spans="1:99" x14ac:dyDescent="0.25">
      <c r="A100" t="s">
        <v>121</v>
      </c>
      <c r="B100" t="s">
        <v>202</v>
      </c>
      <c r="C100" t="s">
        <v>192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41.25</v>
      </c>
      <c r="N100">
        <v>4.8191155865781496</v>
      </c>
      <c r="O100">
        <v>3</v>
      </c>
      <c r="P100">
        <v>-1</v>
      </c>
      <c r="Q100">
        <v>3</v>
      </c>
      <c r="R100">
        <v>9.8000000000000004E-2</v>
      </c>
      <c r="S100">
        <v>9.8000000000000004E-2</v>
      </c>
      <c r="T100">
        <v>0.112</v>
      </c>
      <c r="BZ100">
        <v>2.1915413333333331E-3</v>
      </c>
      <c r="CA100">
        <v>1.0561290998096926E-2</v>
      </c>
      <c r="CB100">
        <v>1.882384E-3</v>
      </c>
      <c r="CC100">
        <v>1.882384E-3</v>
      </c>
      <c r="CD100">
        <v>2.8098559999999999E-3</v>
      </c>
    </row>
    <row r="101" spans="1:99" x14ac:dyDescent="0.25">
      <c r="A101" t="s">
        <v>121</v>
      </c>
      <c r="B101" t="s">
        <v>204</v>
      </c>
      <c r="C101" t="s">
        <v>192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13.75</v>
      </c>
      <c r="N101">
        <v>1.6063718621927201</v>
      </c>
      <c r="O101">
        <v>1</v>
      </c>
      <c r="P101">
        <v>-1</v>
      </c>
      <c r="Q101">
        <v>1</v>
      </c>
      <c r="R101">
        <v>0.121</v>
      </c>
      <c r="BZ101">
        <v>3.5431220000000001E-3</v>
      </c>
      <c r="CA101">
        <v>5.6915714851159954E-3</v>
      </c>
      <c r="CB101">
        <v>3.5431220000000001E-3</v>
      </c>
    </row>
    <row r="102" spans="1:99" x14ac:dyDescent="0.25">
      <c r="A102" t="s">
        <v>121</v>
      </c>
      <c r="B102" t="s">
        <v>205</v>
      </c>
      <c r="C102" t="s">
        <v>192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41.25</v>
      </c>
      <c r="N102">
        <v>4.8191155865781496</v>
      </c>
      <c r="O102">
        <v>3</v>
      </c>
      <c r="P102">
        <v>-1</v>
      </c>
      <c r="Q102">
        <v>3</v>
      </c>
      <c r="R102">
        <v>0.122</v>
      </c>
      <c r="S102">
        <v>0.113</v>
      </c>
      <c r="T102">
        <v>0.11799999999999999</v>
      </c>
      <c r="BZ102">
        <v>3.2678513333333332E-3</v>
      </c>
      <c r="CA102">
        <v>1.5748153295086855E-2</v>
      </c>
      <c r="CB102">
        <v>3.6316959999999998E-3</v>
      </c>
      <c r="CC102">
        <v>2.8857940000000001E-3</v>
      </c>
      <c r="CD102">
        <v>3.286064E-3</v>
      </c>
    </row>
    <row r="103" spans="1:99" x14ac:dyDescent="0.25">
      <c r="A103" t="s">
        <v>121</v>
      </c>
      <c r="B103" t="s">
        <v>161</v>
      </c>
      <c r="C103" t="s">
        <v>154</v>
      </c>
      <c r="D103">
        <v>-1</v>
      </c>
      <c r="E103">
        <v>5</v>
      </c>
      <c r="F103">
        <v>6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709.5</v>
      </c>
      <c r="N103">
        <v>82.888788089144199</v>
      </c>
      <c r="O103">
        <v>-1</v>
      </c>
      <c r="P103">
        <v>-1</v>
      </c>
      <c r="Q103">
        <v>-1</v>
      </c>
      <c r="R103">
        <v>0.91200000000000003</v>
      </c>
      <c r="S103">
        <v>0.96399999999999997</v>
      </c>
      <c r="T103">
        <v>0.997</v>
      </c>
      <c r="U103">
        <v>1.006</v>
      </c>
      <c r="V103">
        <v>1.0569999999999999</v>
      </c>
      <c r="W103">
        <v>0.97299999999999998</v>
      </c>
      <c r="X103">
        <v>1.038</v>
      </c>
      <c r="Y103">
        <v>0.96</v>
      </c>
      <c r="Z103">
        <v>0.98099999999999998</v>
      </c>
      <c r="AA103">
        <v>0.98499999999999999</v>
      </c>
      <c r="AB103">
        <v>1.008</v>
      </c>
      <c r="AL103" t="s">
        <v>156</v>
      </c>
      <c r="AM103" t="s">
        <v>156</v>
      </c>
      <c r="AN103" t="s">
        <v>156</v>
      </c>
      <c r="AO103" t="s">
        <v>155</v>
      </c>
      <c r="AP103" t="s">
        <v>155</v>
      </c>
      <c r="AQ103" t="s">
        <v>156</v>
      </c>
      <c r="AR103" t="s">
        <v>155</v>
      </c>
      <c r="AS103" t="s">
        <v>156</v>
      </c>
      <c r="AT103" t="s">
        <v>156</v>
      </c>
      <c r="AU103" t="s">
        <v>155</v>
      </c>
      <c r="AV103" t="s">
        <v>155</v>
      </c>
      <c r="BZ103">
        <v>4.7816254460802972</v>
      </c>
      <c r="CA103">
        <v>396.34313832180936</v>
      </c>
      <c r="CB103">
        <v>3.86291238060014</v>
      </c>
      <c r="CC103">
        <v>4.4595161806715797</v>
      </c>
      <c r="CD103">
        <v>4.8657376190996899</v>
      </c>
      <c r="CE103">
        <v>4.98031710964508</v>
      </c>
      <c r="CF103">
        <v>5.6608603776044504</v>
      </c>
      <c r="CG103">
        <v>4.5681513309562298</v>
      </c>
      <c r="CH103">
        <v>5.4010646010744896</v>
      </c>
      <c r="CI103">
        <v>4.4117482267033301</v>
      </c>
      <c r="CJ103">
        <v>4.6660668367820897</v>
      </c>
      <c r="CK103">
        <v>4.7155034096386297</v>
      </c>
      <c r="CL103">
        <v>5.0060018341075603</v>
      </c>
    </row>
    <row r="104" spans="1:99" x14ac:dyDescent="0.25">
      <c r="A104" t="s">
        <v>121</v>
      </c>
      <c r="B104" t="s">
        <v>181</v>
      </c>
      <c r="C104" t="s">
        <v>154</v>
      </c>
      <c r="D104">
        <v>-1</v>
      </c>
      <c r="E104">
        <v>0</v>
      </c>
      <c r="F104">
        <v>3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193.5</v>
      </c>
      <c r="N104">
        <v>22.606033115221202</v>
      </c>
      <c r="O104">
        <v>-1</v>
      </c>
      <c r="P104">
        <v>-1</v>
      </c>
      <c r="Q104">
        <v>-1</v>
      </c>
      <c r="R104">
        <v>1.2989999999999999</v>
      </c>
      <c r="S104">
        <v>1.2909999999999999</v>
      </c>
      <c r="T104">
        <v>1.3380000000000001</v>
      </c>
      <c r="AL104" t="s">
        <v>156</v>
      </c>
      <c r="AM104" t="s">
        <v>156</v>
      </c>
      <c r="AN104" t="s">
        <v>156</v>
      </c>
      <c r="BZ104">
        <v>9.860718603338487</v>
      </c>
      <c r="CA104">
        <v>222.9117312869476</v>
      </c>
      <c r="CB104">
        <v>9.6555257747589707</v>
      </c>
      <c r="CC104">
        <v>9.5022662209244899</v>
      </c>
      <c r="CD104">
        <v>10.424363814332001</v>
      </c>
    </row>
    <row r="105" spans="1:99" x14ac:dyDescent="0.25">
      <c r="A105" t="s">
        <v>121</v>
      </c>
      <c r="B105" t="s">
        <v>230</v>
      </c>
      <c r="C105" t="s">
        <v>192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13.75</v>
      </c>
      <c r="N105">
        <v>1.6063718621927201</v>
      </c>
      <c r="O105">
        <v>1</v>
      </c>
      <c r="P105">
        <v>-1</v>
      </c>
      <c r="Q105">
        <v>1</v>
      </c>
      <c r="R105">
        <v>8.4000000000000005E-2</v>
      </c>
      <c r="BZ105">
        <v>7.8236928000000004E-3</v>
      </c>
      <c r="CA105">
        <v>1.2567759972359777E-2</v>
      </c>
      <c r="CB105">
        <v>7.8236928000000004E-3</v>
      </c>
    </row>
    <row r="106" spans="1:99" x14ac:dyDescent="0.25">
      <c r="A106" t="s">
        <v>121</v>
      </c>
      <c r="B106" t="s">
        <v>223</v>
      </c>
      <c r="C106" t="s">
        <v>192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302.5</v>
      </c>
      <c r="N106">
        <v>35.3401809682398</v>
      </c>
      <c r="O106">
        <v>22</v>
      </c>
      <c r="P106">
        <v>-1</v>
      </c>
      <c r="Q106">
        <v>22</v>
      </c>
      <c r="R106">
        <v>0.125</v>
      </c>
      <c r="S106">
        <v>0.12</v>
      </c>
      <c r="T106">
        <v>0.13600000000000001</v>
      </c>
      <c r="U106">
        <v>0.121</v>
      </c>
      <c r="V106">
        <v>0.11600000000000001</v>
      </c>
      <c r="W106">
        <v>0.15</v>
      </c>
      <c r="X106">
        <v>0.14000000000000001</v>
      </c>
      <c r="Y106">
        <v>0.123</v>
      </c>
      <c r="Z106">
        <v>0.126</v>
      </c>
      <c r="AA106">
        <v>0.13</v>
      </c>
      <c r="AB106">
        <v>0.14499999999999999</v>
      </c>
      <c r="AC106">
        <v>0.13900000000000001</v>
      </c>
      <c r="AD106">
        <v>0.11700000000000001</v>
      </c>
      <c r="AE106">
        <v>0.123</v>
      </c>
      <c r="AF106">
        <v>0.13700000000000001</v>
      </c>
      <c r="AG106">
        <v>0.11799999999999999</v>
      </c>
      <c r="AH106">
        <v>0.151</v>
      </c>
      <c r="AI106">
        <v>0.13600000000000001</v>
      </c>
      <c r="AJ106">
        <v>0.127</v>
      </c>
      <c r="AK106">
        <v>0.11799999999999999</v>
      </c>
      <c r="BZ106">
        <v>6.8941506479999984E-2</v>
      </c>
      <c r="CA106">
        <v>2.4364053152262763</v>
      </c>
      <c r="CB106">
        <v>6.0156250000000001E-2</v>
      </c>
      <c r="CC106">
        <v>5.3222400000000003E-2</v>
      </c>
      <c r="CD106">
        <v>7.7476044800000005E-2</v>
      </c>
      <c r="CE106">
        <v>5.4564078799999999E-2</v>
      </c>
      <c r="CF106">
        <v>4.8075596800000002E-2</v>
      </c>
      <c r="CG106">
        <v>0.10395</v>
      </c>
      <c r="CH106">
        <v>8.4515199999999999E-2</v>
      </c>
      <c r="CI106">
        <v>5.7314703600000003E-2</v>
      </c>
      <c r="CJ106">
        <v>6.1611580800000003E-2</v>
      </c>
      <c r="CK106">
        <v>6.7667599999999994E-2</v>
      </c>
      <c r="CL106">
        <v>9.3897649999999999E-2</v>
      </c>
      <c r="CM106">
        <v>8.2717065199999995E-2</v>
      </c>
      <c r="CN106">
        <v>4.9329680399999999E-2</v>
      </c>
      <c r="CO106">
        <v>5.7314703600000003E-2</v>
      </c>
      <c r="CP106">
        <v>7.9197672400000002E-2</v>
      </c>
      <c r="CQ106">
        <v>5.0605385599999997E-2</v>
      </c>
      <c r="CR106">
        <v>0.1060428908</v>
      </c>
      <c r="CS106">
        <v>7.7476044800000005E-2</v>
      </c>
      <c r="CT106">
        <v>6.3090196400000007E-2</v>
      </c>
      <c r="CU106">
        <v>5.0605385599999997E-2</v>
      </c>
    </row>
    <row r="107" spans="1:99" x14ac:dyDescent="0.25">
      <c r="A107" t="s">
        <v>121</v>
      </c>
      <c r="B107" t="s">
        <v>209</v>
      </c>
      <c r="C107" t="s">
        <v>192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41.25</v>
      </c>
      <c r="N107">
        <v>4.8191155865781496</v>
      </c>
      <c r="O107">
        <v>3</v>
      </c>
      <c r="P107">
        <v>-1</v>
      </c>
      <c r="Q107">
        <v>3</v>
      </c>
      <c r="R107">
        <v>0.124</v>
      </c>
      <c r="S107">
        <v>0.10100000000000001</v>
      </c>
      <c r="T107">
        <v>0.11700000000000001</v>
      </c>
      <c r="BZ107">
        <v>4.6595656799999996E-2</v>
      </c>
      <c r="CA107">
        <v>0.22454985595172613</v>
      </c>
      <c r="CB107">
        <v>5.8724019199999998E-2</v>
      </c>
      <c r="CC107">
        <v>3.1733270799999998E-2</v>
      </c>
      <c r="CD107">
        <v>4.9329680399999999E-2</v>
      </c>
    </row>
    <row r="108" spans="1:99" x14ac:dyDescent="0.25">
      <c r="A108" t="s">
        <v>121</v>
      </c>
      <c r="B108" t="s">
        <v>153</v>
      </c>
      <c r="C108" t="s">
        <v>154</v>
      </c>
      <c r="D108">
        <v>-1</v>
      </c>
      <c r="E108">
        <v>1</v>
      </c>
      <c r="F108">
        <v>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129</v>
      </c>
      <c r="N108">
        <v>15.070688743480799</v>
      </c>
      <c r="O108">
        <v>-1</v>
      </c>
      <c r="P108">
        <v>-1</v>
      </c>
      <c r="Q108">
        <v>-1</v>
      </c>
      <c r="R108">
        <v>1.288</v>
      </c>
      <c r="S108">
        <v>1.2350000000000001</v>
      </c>
      <c r="AL108" t="s">
        <v>155</v>
      </c>
      <c r="AM108" t="s">
        <v>156</v>
      </c>
      <c r="BZ108">
        <v>8.9581977249855544</v>
      </c>
      <c r="CA108">
        <v>135.0062096158151</v>
      </c>
      <c r="CB108">
        <v>9.4451815794461194</v>
      </c>
      <c r="CC108">
        <v>8.4712138705249895</v>
      </c>
    </row>
    <row r="109" spans="1:99" x14ac:dyDescent="0.25">
      <c r="A109" t="s">
        <v>121</v>
      </c>
      <c r="B109" t="s">
        <v>210</v>
      </c>
      <c r="C109" t="s">
        <v>192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2200</v>
      </c>
      <c r="N109">
        <v>257.01949795083499</v>
      </c>
      <c r="O109">
        <v>160</v>
      </c>
      <c r="P109">
        <v>-1</v>
      </c>
      <c r="Q109">
        <v>160</v>
      </c>
      <c r="R109">
        <v>0.128</v>
      </c>
      <c r="S109">
        <v>0.13100000000000001</v>
      </c>
      <c r="T109">
        <v>0.193</v>
      </c>
      <c r="U109">
        <v>0.124</v>
      </c>
      <c r="V109">
        <v>0.19900000000000001</v>
      </c>
      <c r="W109">
        <v>0.182</v>
      </c>
      <c r="X109">
        <v>0.13500000000000001</v>
      </c>
      <c r="Y109">
        <v>0.18</v>
      </c>
      <c r="Z109">
        <v>0.13200000000000001</v>
      </c>
      <c r="AA109">
        <v>0.183</v>
      </c>
      <c r="AB109">
        <v>0.124</v>
      </c>
      <c r="AC109">
        <v>0.20599999999999999</v>
      </c>
      <c r="AD109">
        <v>0.23599999999999999</v>
      </c>
      <c r="AE109">
        <v>0.186</v>
      </c>
      <c r="AF109">
        <v>0.20899999999999999</v>
      </c>
      <c r="AG109">
        <v>0.17</v>
      </c>
      <c r="AH109">
        <v>0.17599999999999999</v>
      </c>
      <c r="AI109">
        <v>0.19800000000000001</v>
      </c>
      <c r="AJ109">
        <v>0.22500000000000001</v>
      </c>
      <c r="AK109">
        <v>0.189</v>
      </c>
      <c r="BZ109">
        <v>5.9848432000000007E-2</v>
      </c>
      <c r="CA109">
        <v>15.38221394578469</v>
      </c>
      <c r="CB109">
        <v>2.097152E-2</v>
      </c>
      <c r="CC109">
        <v>2.248091E-2</v>
      </c>
      <c r="CD109">
        <v>7.1890570000000001E-2</v>
      </c>
      <c r="CE109">
        <v>1.9066240000000002E-2</v>
      </c>
      <c r="CF109">
        <v>7.8805990000000006E-2</v>
      </c>
      <c r="CG109">
        <v>6.0285680000000001E-2</v>
      </c>
      <c r="CH109">
        <v>2.4603750000000001E-2</v>
      </c>
      <c r="CI109">
        <v>5.8319999999999997E-2</v>
      </c>
      <c r="CJ109">
        <v>2.2999680000000002E-2</v>
      </c>
      <c r="CK109">
        <v>6.1284869999999998E-2</v>
      </c>
      <c r="CL109">
        <v>1.9066240000000002E-2</v>
      </c>
      <c r="CM109">
        <v>8.7418159999999995E-2</v>
      </c>
      <c r="CN109">
        <v>0.13144256000000001</v>
      </c>
      <c r="CO109">
        <v>6.4348559999999999E-2</v>
      </c>
      <c r="CP109">
        <v>9.1293289999999999E-2</v>
      </c>
      <c r="CQ109">
        <v>4.913E-2</v>
      </c>
      <c r="CR109">
        <v>5.4517759999999998E-2</v>
      </c>
      <c r="CS109">
        <v>7.7623919999999999E-2</v>
      </c>
      <c r="CT109">
        <v>0.11390625</v>
      </c>
      <c r="CU109">
        <v>6.751269E-2</v>
      </c>
    </row>
    <row r="110" spans="1:99" x14ac:dyDescent="0.25">
      <c r="A110" t="s">
        <v>123</v>
      </c>
      <c r="B110" t="s">
        <v>224</v>
      </c>
      <c r="C110" t="s">
        <v>192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1</v>
      </c>
      <c r="N110">
        <v>0.28692722134874998</v>
      </c>
      <c r="O110">
        <v>1</v>
      </c>
      <c r="P110">
        <v>-1</v>
      </c>
      <c r="Q110">
        <v>1</v>
      </c>
      <c r="R110">
        <v>0.17</v>
      </c>
      <c r="BZ110">
        <v>5.15865E-2</v>
      </c>
      <c r="CA110">
        <v>1.4801571104107292E-2</v>
      </c>
      <c r="CB110">
        <v>5.15865E-2</v>
      </c>
    </row>
    <row r="111" spans="1:99" x14ac:dyDescent="0.25">
      <c r="A111" t="s">
        <v>123</v>
      </c>
      <c r="B111" t="s">
        <v>195</v>
      </c>
      <c r="C111" t="s">
        <v>192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1</v>
      </c>
      <c r="N111">
        <v>0.28692722134874998</v>
      </c>
      <c r="O111">
        <v>1</v>
      </c>
      <c r="P111">
        <v>-1</v>
      </c>
      <c r="Q111">
        <v>1</v>
      </c>
      <c r="R111">
        <v>0.14499999999999999</v>
      </c>
      <c r="BF111">
        <v>8.5000000000000006E-2</v>
      </c>
      <c r="BZ111">
        <v>2.7238249999999999E-2</v>
      </c>
      <c r="CA111">
        <v>7.8153953869025891E-3</v>
      </c>
      <c r="CB111">
        <v>2.7238249999999999E-2</v>
      </c>
    </row>
    <row r="112" spans="1:99" x14ac:dyDescent="0.25">
      <c r="A112" t="s">
        <v>123</v>
      </c>
      <c r="B112" t="s">
        <v>196</v>
      </c>
      <c r="C112" t="s">
        <v>197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231</v>
      </c>
      <c r="N112">
        <v>66.280188131561303</v>
      </c>
      <c r="O112">
        <v>231</v>
      </c>
      <c r="P112">
        <v>-1</v>
      </c>
      <c r="Q112">
        <v>231</v>
      </c>
      <c r="R112">
        <v>0.184</v>
      </c>
      <c r="S112">
        <v>0.182</v>
      </c>
      <c r="T112">
        <v>0.125</v>
      </c>
      <c r="U112">
        <v>0.19</v>
      </c>
      <c r="V112">
        <v>0.14399999999999999</v>
      </c>
      <c r="W112">
        <v>0.161</v>
      </c>
      <c r="X112">
        <v>0.13600000000000001</v>
      </c>
      <c r="Y112">
        <v>0.125</v>
      </c>
      <c r="Z112">
        <v>0.128</v>
      </c>
      <c r="AA112">
        <v>0.153</v>
      </c>
      <c r="AB112">
        <v>0.17899999999999999</v>
      </c>
      <c r="AC112">
        <v>0.129</v>
      </c>
      <c r="AD112">
        <v>0.14299999999999999</v>
      </c>
      <c r="AE112">
        <v>0.13</v>
      </c>
      <c r="AF112">
        <v>0.14899999999999999</v>
      </c>
      <c r="AG112">
        <v>0.151</v>
      </c>
      <c r="AH112">
        <v>0.111</v>
      </c>
      <c r="AI112">
        <v>0.153</v>
      </c>
      <c r="AJ112">
        <v>0.14799999999999999</v>
      </c>
      <c r="AK112">
        <v>0.13300000000000001</v>
      </c>
      <c r="BZ112">
        <v>7.4155518083496533E-2</v>
      </c>
      <c r="CA112">
        <v>4.9150416895675466</v>
      </c>
      <c r="CB112">
        <v>0.1212662362035863</v>
      </c>
      <c r="CC112">
        <v>0.1181268040891094</v>
      </c>
      <c r="CD112">
        <v>4.7946968582758688E-2</v>
      </c>
      <c r="CE112">
        <v>0.13097420332287191</v>
      </c>
      <c r="CF112">
        <v>6.7335967442926234E-2</v>
      </c>
      <c r="CG112">
        <v>8.8015513207260532E-2</v>
      </c>
      <c r="CH112">
        <v>5.8704379673962324E-2</v>
      </c>
      <c r="CI112">
        <v>4.7946968582758688E-2</v>
      </c>
      <c r="CJ112">
        <v>5.0755259236681539E-2</v>
      </c>
      <c r="CK112">
        <v>7.7881903430931224E-2</v>
      </c>
      <c r="CL112">
        <v>0.11350745793518947</v>
      </c>
      <c r="CM112">
        <v>5.1712130158977757E-2</v>
      </c>
      <c r="CN112">
        <v>6.6219151722577044E-2</v>
      </c>
      <c r="CO112">
        <v>5.2679442313682365E-2</v>
      </c>
      <c r="CP112">
        <v>7.3084312737679707E-2</v>
      </c>
      <c r="CQ112">
        <v>7.5460868039834816E-2</v>
      </c>
      <c r="CR112">
        <v>3.6053901860956812E-2</v>
      </c>
      <c r="CS112">
        <v>7.7881903430931224E-2</v>
      </c>
      <c r="CT112">
        <v>7.1912641255667167E-2</v>
      </c>
      <c r="CU112">
        <v>5.564434844158727E-2</v>
      </c>
    </row>
    <row r="113" spans="1:99" x14ac:dyDescent="0.25">
      <c r="A113" t="s">
        <v>123</v>
      </c>
      <c r="B113" t="s">
        <v>231</v>
      </c>
      <c r="C113" t="s">
        <v>192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1</v>
      </c>
      <c r="N113">
        <v>0.28692722134874998</v>
      </c>
      <c r="O113">
        <v>1</v>
      </c>
      <c r="P113">
        <v>-1</v>
      </c>
      <c r="Q113">
        <v>1</v>
      </c>
      <c r="R113">
        <v>0.20499999999999999</v>
      </c>
      <c r="BZ113">
        <v>9.0458812499999999E-2</v>
      </c>
      <c r="CA113">
        <v>2.5955095717132573E-2</v>
      </c>
      <c r="CB113">
        <v>9.0458812499999999E-2</v>
      </c>
    </row>
    <row r="114" spans="1:99" x14ac:dyDescent="0.25">
      <c r="A114" t="s">
        <v>123</v>
      </c>
      <c r="B114" t="s">
        <v>173</v>
      </c>
      <c r="C114" t="s">
        <v>168</v>
      </c>
      <c r="D114">
        <v>-1</v>
      </c>
      <c r="E114">
        <v>78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377</v>
      </c>
      <c r="N114">
        <v>108.17156244847899</v>
      </c>
      <c r="O114">
        <v>-1</v>
      </c>
      <c r="P114">
        <v>-1</v>
      </c>
      <c r="Q114">
        <v>-1</v>
      </c>
      <c r="R114">
        <v>0.56799999999999995</v>
      </c>
      <c r="S114">
        <v>0.80100000000000005</v>
      </c>
      <c r="T114">
        <v>0.67500000000000004</v>
      </c>
      <c r="U114">
        <v>0.70099999999999996</v>
      </c>
      <c r="V114">
        <v>0.747</v>
      </c>
      <c r="W114">
        <v>0.82299999999999995</v>
      </c>
      <c r="X114">
        <v>0.83499999999999996</v>
      </c>
      <c r="Y114">
        <v>0.60699999999999998</v>
      </c>
      <c r="Z114">
        <v>0.78600000000000003</v>
      </c>
      <c r="AA114">
        <v>0.77600000000000002</v>
      </c>
      <c r="AB114">
        <v>0.72099999999999997</v>
      </c>
      <c r="AC114">
        <v>0.89</v>
      </c>
      <c r="AD114">
        <v>0.64900000000000002</v>
      </c>
      <c r="AE114">
        <v>0.80100000000000005</v>
      </c>
      <c r="AF114">
        <v>0.69599999999999995</v>
      </c>
      <c r="AG114">
        <v>0.84799999999999998</v>
      </c>
      <c r="AH114">
        <v>0.74</v>
      </c>
      <c r="AI114">
        <v>0.72399999999999998</v>
      </c>
      <c r="AJ114">
        <v>0.51600000000000001</v>
      </c>
      <c r="AK114">
        <v>0.77</v>
      </c>
      <c r="AL114" t="s">
        <v>169</v>
      </c>
      <c r="AM114" t="s">
        <v>169</v>
      </c>
      <c r="AN114" t="s">
        <v>169</v>
      </c>
      <c r="AO114" t="s">
        <v>169</v>
      </c>
      <c r="AP114" t="s">
        <v>169</v>
      </c>
      <c r="AQ114" t="s">
        <v>169</v>
      </c>
      <c r="AR114" t="s">
        <v>169</v>
      </c>
      <c r="AS114" t="s">
        <v>169</v>
      </c>
      <c r="AT114" t="s">
        <v>169</v>
      </c>
      <c r="AU114" t="s">
        <v>169</v>
      </c>
      <c r="AV114" t="s">
        <v>169</v>
      </c>
      <c r="AW114" t="s">
        <v>169</v>
      </c>
      <c r="AX114" t="s">
        <v>169</v>
      </c>
      <c r="AY114" t="s">
        <v>169</v>
      </c>
      <c r="AZ114" t="s">
        <v>169</v>
      </c>
      <c r="BA114" t="s">
        <v>169</v>
      </c>
      <c r="BB114" t="s">
        <v>169</v>
      </c>
      <c r="BC114" t="s">
        <v>169</v>
      </c>
      <c r="BD114" t="s">
        <v>169</v>
      </c>
      <c r="BE114" t="s">
        <v>169</v>
      </c>
      <c r="BZ114">
        <v>1.679436727556531</v>
      </c>
      <c r="CA114">
        <v>181.66729485315048</v>
      </c>
      <c r="CB114">
        <v>0.55679039234622396</v>
      </c>
      <c r="CC114">
        <v>2.1794651492149</v>
      </c>
      <c r="CD114">
        <v>1.10475205503151</v>
      </c>
      <c r="CE114">
        <v>1.28359900356054</v>
      </c>
      <c r="CF114">
        <v>1.6520060336426901</v>
      </c>
      <c r="CG114">
        <v>2.4269799345799301</v>
      </c>
      <c r="CH114">
        <v>2.5705387058146498</v>
      </c>
      <c r="CI114">
        <v>0.724749531904054</v>
      </c>
      <c r="CJ114">
        <v>2.0218845224020998</v>
      </c>
      <c r="CK114">
        <v>1.92167470408387</v>
      </c>
      <c r="CL114">
        <v>1.43526416225078</v>
      </c>
      <c r="CM114">
        <v>3.3113658555772898</v>
      </c>
      <c r="CN114">
        <v>0.94523607086767103</v>
      </c>
      <c r="CO114">
        <v>2.1794651492149</v>
      </c>
      <c r="CP114">
        <v>1.24763491858824</v>
      </c>
      <c r="CQ114">
        <v>2.7331305300733102</v>
      </c>
      <c r="CR114">
        <v>1.5913978511125999</v>
      </c>
      <c r="CS114">
        <v>1.45911978979715</v>
      </c>
      <c r="CT114">
        <v>0.38031911643132399</v>
      </c>
      <c r="CU114">
        <v>1.86336107463689</v>
      </c>
    </row>
    <row r="115" spans="1:99" x14ac:dyDescent="0.25">
      <c r="A115" t="s">
        <v>123</v>
      </c>
      <c r="B115" t="s">
        <v>166</v>
      </c>
      <c r="C115" t="s">
        <v>154</v>
      </c>
      <c r="D115">
        <v>-1</v>
      </c>
      <c r="E115">
        <v>5</v>
      </c>
      <c r="F115">
        <v>24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140.166666666667</v>
      </c>
      <c r="N115">
        <v>40.2176321923831</v>
      </c>
      <c r="O115">
        <v>-1</v>
      </c>
      <c r="P115">
        <v>-1</v>
      </c>
      <c r="Q115">
        <v>-1</v>
      </c>
      <c r="R115">
        <v>0.92</v>
      </c>
      <c r="S115">
        <v>1.012</v>
      </c>
      <c r="T115">
        <v>0.78800000000000003</v>
      </c>
      <c r="U115">
        <v>0.75800000000000001</v>
      </c>
      <c r="V115">
        <v>0.79</v>
      </c>
      <c r="W115">
        <v>0.88100000000000001</v>
      </c>
      <c r="X115">
        <v>0.79600000000000004</v>
      </c>
      <c r="Y115">
        <v>0.99299999999999999</v>
      </c>
      <c r="Z115">
        <v>0.85499999999999998</v>
      </c>
      <c r="AA115">
        <v>1.0149999999999999</v>
      </c>
      <c r="AB115">
        <v>0.85399999999999998</v>
      </c>
      <c r="AC115">
        <v>0.871</v>
      </c>
      <c r="AD115">
        <v>0.872</v>
      </c>
      <c r="AE115">
        <v>0.91400000000000003</v>
      </c>
      <c r="AF115">
        <v>0.92</v>
      </c>
      <c r="AG115">
        <v>0.81299999999999994</v>
      </c>
      <c r="AH115">
        <v>0.80600000000000005</v>
      </c>
      <c r="AI115">
        <v>0.79700000000000004</v>
      </c>
      <c r="AJ115">
        <v>0.81299999999999994</v>
      </c>
      <c r="AK115">
        <v>0.76500000000000001</v>
      </c>
      <c r="AL115" t="s">
        <v>156</v>
      </c>
      <c r="AM115" t="s">
        <v>155</v>
      </c>
      <c r="AN115" t="s">
        <v>156</v>
      </c>
      <c r="AO115" t="s">
        <v>156</v>
      </c>
      <c r="AP115" t="s">
        <v>156</v>
      </c>
      <c r="AQ115" t="s">
        <v>156</v>
      </c>
      <c r="AR115" t="s">
        <v>156</v>
      </c>
      <c r="AS115" t="s">
        <v>155</v>
      </c>
      <c r="AT115" t="s">
        <v>156</v>
      </c>
      <c r="AU115" t="s">
        <v>155</v>
      </c>
      <c r="AV115" t="s">
        <v>156</v>
      </c>
      <c r="AW115" t="s">
        <v>156</v>
      </c>
      <c r="AX115" t="s">
        <v>156</v>
      </c>
      <c r="AY115" t="s">
        <v>155</v>
      </c>
      <c r="AZ115" t="s">
        <v>155</v>
      </c>
      <c r="BA115" t="s">
        <v>156</v>
      </c>
      <c r="BB115" t="s">
        <v>156</v>
      </c>
      <c r="BC115" t="s">
        <v>156</v>
      </c>
      <c r="BD115" t="s">
        <v>156</v>
      </c>
      <c r="BE115" t="s">
        <v>156</v>
      </c>
      <c r="BZ115">
        <v>3.0571734027428632</v>
      </c>
      <c r="CA115">
        <v>122.95227545984876</v>
      </c>
      <c r="CB115">
        <v>3.7771698509072502</v>
      </c>
      <c r="CC115">
        <v>5.5143645631778799</v>
      </c>
      <c r="CD115">
        <v>2.0423864634905899</v>
      </c>
      <c r="CE115">
        <v>1.7507155383794599</v>
      </c>
      <c r="CF115">
        <v>2.0630435335392199</v>
      </c>
      <c r="CG115">
        <v>3.1804106300670099</v>
      </c>
      <c r="CH115">
        <v>2.1259532929805398</v>
      </c>
      <c r="CI115">
        <v>5.1146669184477904</v>
      </c>
      <c r="CJ115">
        <v>2.8238024807844102</v>
      </c>
      <c r="CK115">
        <v>5.57954812315272</v>
      </c>
      <c r="CL115">
        <v>2.8107135451850001</v>
      </c>
      <c r="CM115">
        <v>3.0394913749407499</v>
      </c>
      <c r="CN115">
        <v>3.0533689517175402</v>
      </c>
      <c r="CO115">
        <v>3.6803170785330099</v>
      </c>
      <c r="CP115">
        <v>3.7771698509072502</v>
      </c>
      <c r="CQ115">
        <v>2.31200253519168</v>
      </c>
      <c r="CR115">
        <v>2.2339783292891302</v>
      </c>
      <c r="CS115">
        <v>2.1365761486443402</v>
      </c>
      <c r="CT115">
        <v>2.31200253519168</v>
      </c>
      <c r="CU115">
        <v>1.81578631033002</v>
      </c>
    </row>
    <row r="116" spans="1:99" x14ac:dyDescent="0.25">
      <c r="A116" t="s">
        <v>123</v>
      </c>
      <c r="B116" t="s">
        <v>225</v>
      </c>
      <c r="C116" t="s">
        <v>192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1</v>
      </c>
      <c r="N116">
        <v>0.28692722134874998</v>
      </c>
      <c r="O116">
        <v>1</v>
      </c>
      <c r="P116">
        <v>-1</v>
      </c>
      <c r="Q116">
        <v>1</v>
      </c>
      <c r="R116">
        <v>0.17</v>
      </c>
      <c r="BZ116">
        <v>5.15865E-2</v>
      </c>
      <c r="CA116">
        <v>1.4801571104107292E-2</v>
      </c>
      <c r="CB116">
        <v>5.15865E-2</v>
      </c>
    </row>
    <row r="117" spans="1:99" x14ac:dyDescent="0.25">
      <c r="A117" t="s">
        <v>123</v>
      </c>
      <c r="B117" t="s">
        <v>184</v>
      </c>
      <c r="C117" t="s">
        <v>154</v>
      </c>
      <c r="D117">
        <v>-1</v>
      </c>
      <c r="E117">
        <v>4</v>
      </c>
      <c r="F117">
        <v>0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19.3333333333333</v>
      </c>
      <c r="N117">
        <v>5.5472596127424998</v>
      </c>
      <c r="O117">
        <v>-1</v>
      </c>
      <c r="P117">
        <v>-1</v>
      </c>
      <c r="Q117">
        <v>-1</v>
      </c>
      <c r="R117">
        <v>0.42699999999999999</v>
      </c>
      <c r="S117">
        <v>0.55800000000000005</v>
      </c>
      <c r="T117">
        <v>1.006</v>
      </c>
      <c r="U117">
        <v>0.46500000000000002</v>
      </c>
      <c r="AL117" t="s">
        <v>155</v>
      </c>
      <c r="AM117" t="s">
        <v>155</v>
      </c>
      <c r="AN117" t="s">
        <v>155</v>
      </c>
      <c r="AO117" t="s">
        <v>155</v>
      </c>
      <c r="BZ117">
        <v>1.8196465307268388</v>
      </c>
      <c r="CA117">
        <v>10.094051709367998</v>
      </c>
      <c r="CB117">
        <v>0.54117337598746795</v>
      </c>
      <c r="CC117">
        <v>1.08220815308457</v>
      </c>
      <c r="CD117">
        <v>4.98031710964508</v>
      </c>
      <c r="CE117">
        <v>0.67488748419023703</v>
      </c>
    </row>
    <row r="118" spans="1:99" x14ac:dyDescent="0.25">
      <c r="A118" t="s">
        <v>123</v>
      </c>
      <c r="B118" t="s">
        <v>202</v>
      </c>
      <c r="C118" t="s">
        <v>192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1</v>
      </c>
      <c r="N118">
        <v>0.28692722134874998</v>
      </c>
      <c r="O118">
        <v>1</v>
      </c>
      <c r="P118">
        <v>-1</v>
      </c>
      <c r="Q118">
        <v>1</v>
      </c>
      <c r="R118">
        <v>0.107</v>
      </c>
      <c r="BZ118">
        <v>2.4500860000000002E-3</v>
      </c>
      <c r="CA118">
        <v>7.0299636804547355E-4</v>
      </c>
      <c r="CB118">
        <v>2.4500860000000002E-3</v>
      </c>
    </row>
    <row r="119" spans="1:99" x14ac:dyDescent="0.25">
      <c r="A119" t="s">
        <v>123</v>
      </c>
      <c r="B119" t="s">
        <v>204</v>
      </c>
      <c r="C119" t="s">
        <v>192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2</v>
      </c>
      <c r="N119">
        <v>0.57385444269749997</v>
      </c>
      <c r="O119">
        <v>2</v>
      </c>
      <c r="P119">
        <v>-1</v>
      </c>
      <c r="Q119">
        <v>2</v>
      </c>
      <c r="R119">
        <v>0.13100000000000001</v>
      </c>
      <c r="S119">
        <v>0.14000000000000001</v>
      </c>
      <c r="BZ119">
        <v>4.9920909999999997E-3</v>
      </c>
      <c r="CA119">
        <v>2.8647335987002052E-3</v>
      </c>
      <c r="CB119">
        <v>4.4961819999999996E-3</v>
      </c>
      <c r="CC119">
        <v>5.4879999999999998E-3</v>
      </c>
    </row>
    <row r="120" spans="1:99" x14ac:dyDescent="0.25">
      <c r="A120" t="s">
        <v>123</v>
      </c>
      <c r="B120" t="s">
        <v>205</v>
      </c>
      <c r="C120" t="s">
        <v>192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4</v>
      </c>
      <c r="N120">
        <v>1.1477088853949999</v>
      </c>
      <c r="O120">
        <v>4</v>
      </c>
      <c r="P120">
        <v>-1</v>
      </c>
      <c r="Q120">
        <v>4</v>
      </c>
      <c r="R120">
        <v>0.124</v>
      </c>
      <c r="S120">
        <v>0.126</v>
      </c>
      <c r="T120">
        <v>0.14599999999999999</v>
      </c>
      <c r="U120">
        <v>0.111</v>
      </c>
      <c r="BZ120">
        <v>4.1933834999999999E-3</v>
      </c>
      <c r="CA120">
        <v>4.8127835028187833E-3</v>
      </c>
      <c r="CB120">
        <v>3.813248E-3</v>
      </c>
      <c r="CC120">
        <v>4.0007519999999998E-3</v>
      </c>
      <c r="CD120">
        <v>6.2242720000000003E-3</v>
      </c>
      <c r="CE120">
        <v>2.735262E-3</v>
      </c>
    </row>
    <row r="121" spans="1:99" x14ac:dyDescent="0.25">
      <c r="A121" t="s">
        <v>123</v>
      </c>
      <c r="B121" t="s">
        <v>226</v>
      </c>
      <c r="C121" t="s">
        <v>192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10</v>
      </c>
      <c r="N121">
        <v>2.8692722134875002</v>
      </c>
      <c r="O121">
        <v>10</v>
      </c>
      <c r="P121">
        <v>-1</v>
      </c>
      <c r="Q121">
        <v>10</v>
      </c>
      <c r="R121">
        <v>0.13400000000000001</v>
      </c>
      <c r="S121">
        <v>0.13900000000000001</v>
      </c>
      <c r="T121">
        <v>0.13500000000000001</v>
      </c>
      <c r="U121">
        <v>0.13400000000000001</v>
      </c>
      <c r="V121">
        <v>0.125</v>
      </c>
      <c r="W121">
        <v>0.121</v>
      </c>
      <c r="X121">
        <v>0.122</v>
      </c>
      <c r="Y121">
        <v>0.125</v>
      </c>
      <c r="Z121">
        <v>0.13100000000000001</v>
      </c>
      <c r="AA121">
        <v>0.13</v>
      </c>
      <c r="BZ121">
        <v>4.3793904000000005E-3</v>
      </c>
      <c r="CA121">
        <v>1.2565663186733911E-2</v>
      </c>
      <c r="CB121">
        <v>4.8122080000000001E-3</v>
      </c>
      <c r="CC121">
        <v>5.3712380000000004E-3</v>
      </c>
      <c r="CD121">
        <v>4.9207499999999998E-3</v>
      </c>
      <c r="CE121">
        <v>4.8122080000000001E-3</v>
      </c>
      <c r="CF121">
        <v>3.90625E-3</v>
      </c>
      <c r="CG121">
        <v>3.5431220000000001E-3</v>
      </c>
      <c r="CH121">
        <v>3.6316959999999998E-3</v>
      </c>
      <c r="CI121">
        <v>3.90625E-3</v>
      </c>
      <c r="CJ121">
        <v>4.4961819999999996E-3</v>
      </c>
      <c r="CK121">
        <v>4.3940000000000003E-3</v>
      </c>
    </row>
    <row r="122" spans="1:99" x14ac:dyDescent="0.25">
      <c r="A122" t="s">
        <v>123</v>
      </c>
      <c r="B122" t="s">
        <v>161</v>
      </c>
      <c r="C122" t="s">
        <v>154</v>
      </c>
      <c r="D122">
        <v>-1</v>
      </c>
      <c r="E122">
        <v>2</v>
      </c>
      <c r="F122">
        <v>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14.5</v>
      </c>
      <c r="N122">
        <v>4.1604447095568799</v>
      </c>
      <c r="O122">
        <v>-1</v>
      </c>
      <c r="P122">
        <v>-1</v>
      </c>
      <c r="Q122">
        <v>-1</v>
      </c>
      <c r="R122">
        <v>1.042</v>
      </c>
      <c r="S122">
        <v>1.014</v>
      </c>
      <c r="T122">
        <v>0.95599999999999996</v>
      </c>
      <c r="AL122" t="s">
        <v>155</v>
      </c>
      <c r="AM122" t="s">
        <v>155</v>
      </c>
      <c r="AN122" t="s">
        <v>156</v>
      </c>
      <c r="BZ122">
        <v>4.9676584908640002</v>
      </c>
      <c r="CA122">
        <v>20.667668487200444</v>
      </c>
      <c r="CB122">
        <v>5.4551364527640898</v>
      </c>
      <c r="CC122">
        <v>5.0835433301828701</v>
      </c>
      <c r="CD122">
        <v>4.36429568964504</v>
      </c>
    </row>
    <row r="123" spans="1:99" x14ac:dyDescent="0.25">
      <c r="A123" t="s">
        <v>123</v>
      </c>
      <c r="B123" t="s">
        <v>181</v>
      </c>
      <c r="C123" t="s">
        <v>154</v>
      </c>
      <c r="D123">
        <v>-1</v>
      </c>
      <c r="E123">
        <v>40</v>
      </c>
      <c r="F123">
        <v>17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275.5</v>
      </c>
      <c r="N123">
        <v>79.048449481580604</v>
      </c>
      <c r="O123">
        <v>-1</v>
      </c>
      <c r="P123">
        <v>-1</v>
      </c>
      <c r="Q123">
        <v>-1</v>
      </c>
      <c r="R123">
        <v>1.4970000000000001</v>
      </c>
      <c r="S123">
        <v>1.26</v>
      </c>
      <c r="T123">
        <v>1.474</v>
      </c>
      <c r="U123">
        <v>1.3049999999999999</v>
      </c>
      <c r="V123">
        <v>1.3660000000000001</v>
      </c>
      <c r="W123">
        <v>1.43</v>
      </c>
      <c r="X123">
        <v>1.4410000000000001</v>
      </c>
      <c r="Y123">
        <v>1.484</v>
      </c>
      <c r="Z123">
        <v>1.4910000000000001</v>
      </c>
      <c r="AA123">
        <v>1.492</v>
      </c>
      <c r="AB123">
        <v>1.359</v>
      </c>
      <c r="AC123">
        <v>1.319</v>
      </c>
      <c r="AD123">
        <v>1.1850000000000001</v>
      </c>
      <c r="AE123">
        <v>1.1990000000000001</v>
      </c>
      <c r="AF123">
        <v>1.2729999999999999</v>
      </c>
      <c r="AG123">
        <v>1.45</v>
      </c>
      <c r="AH123">
        <v>1.331</v>
      </c>
      <c r="AI123">
        <v>1.431</v>
      </c>
      <c r="AJ123">
        <v>1.24</v>
      </c>
      <c r="AK123">
        <v>1.4339999999999999</v>
      </c>
      <c r="AL123" t="s">
        <v>155</v>
      </c>
      <c r="AM123" t="s">
        <v>156</v>
      </c>
      <c r="AN123" t="s">
        <v>155</v>
      </c>
      <c r="AO123" t="s">
        <v>156</v>
      </c>
      <c r="AP123" t="s">
        <v>155</v>
      </c>
      <c r="AQ123" t="s">
        <v>155</v>
      </c>
      <c r="AR123" t="s">
        <v>155</v>
      </c>
      <c r="AS123" t="s">
        <v>155</v>
      </c>
      <c r="AT123" t="s">
        <v>155</v>
      </c>
      <c r="AU123" t="s">
        <v>155</v>
      </c>
      <c r="AV123" t="s">
        <v>156</v>
      </c>
      <c r="AW123" t="s">
        <v>155</v>
      </c>
      <c r="AX123" t="s">
        <v>156</v>
      </c>
      <c r="AY123" t="s">
        <v>156</v>
      </c>
      <c r="AZ123" t="s">
        <v>156</v>
      </c>
      <c r="BA123" t="s">
        <v>155</v>
      </c>
      <c r="BB123" t="s">
        <v>156</v>
      </c>
      <c r="BC123" t="s">
        <v>155</v>
      </c>
      <c r="BD123" t="s">
        <v>156</v>
      </c>
      <c r="BE123" t="s">
        <v>155</v>
      </c>
      <c r="BZ123">
        <v>11.268944622656033</v>
      </c>
      <c r="CA123">
        <v>890.79259971475483</v>
      </c>
      <c r="CB123">
        <v>13.942886405032199</v>
      </c>
      <c r="CC123">
        <v>8.9225283817413192</v>
      </c>
      <c r="CD123">
        <v>13.3948146527965</v>
      </c>
      <c r="CE123">
        <v>9.7714598403741402</v>
      </c>
      <c r="CF123">
        <v>10.9988058891599</v>
      </c>
      <c r="CG123">
        <v>12.383646984456799</v>
      </c>
      <c r="CH123">
        <v>12.631878406490401</v>
      </c>
      <c r="CI123">
        <v>13.631449207483101</v>
      </c>
      <c r="CJ123">
        <v>13.7986094511538</v>
      </c>
      <c r="CK123">
        <v>13.822591648791001</v>
      </c>
      <c r="CL123">
        <v>10.8534202430666</v>
      </c>
      <c r="CM123">
        <v>10.0452846261663</v>
      </c>
      <c r="CN123">
        <v>7.6112984856430899</v>
      </c>
      <c r="CO123">
        <v>7.8463903573914102</v>
      </c>
      <c r="CP123">
        <v>9.1629178239901794</v>
      </c>
      <c r="CQ123">
        <v>12.8372308762572</v>
      </c>
      <c r="CR123">
        <v>10.283699790521499</v>
      </c>
      <c r="CS123">
        <v>12.406088578368999</v>
      </c>
      <c r="CT123">
        <v>8.5603277092170895</v>
      </c>
      <c r="CU123">
        <v>12.473563095019101</v>
      </c>
    </row>
    <row r="124" spans="1:99" x14ac:dyDescent="0.25">
      <c r="A124" t="s">
        <v>123</v>
      </c>
      <c r="B124" t="s">
        <v>186</v>
      </c>
      <c r="C124" t="s">
        <v>154</v>
      </c>
      <c r="D124">
        <v>-1</v>
      </c>
      <c r="E124">
        <v>22</v>
      </c>
      <c r="F124">
        <v>19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198.166666666667</v>
      </c>
      <c r="N124">
        <v>56.859411030610602</v>
      </c>
      <c r="O124">
        <v>-1</v>
      </c>
      <c r="P124">
        <v>-1</v>
      </c>
      <c r="Q124">
        <v>-1</v>
      </c>
      <c r="R124">
        <v>2.3889999999999998</v>
      </c>
      <c r="S124">
        <v>2.524</v>
      </c>
      <c r="T124">
        <v>2.177</v>
      </c>
      <c r="U124">
        <v>2.42</v>
      </c>
      <c r="V124">
        <v>2.4089999999999998</v>
      </c>
      <c r="W124">
        <v>2.2770000000000001</v>
      </c>
      <c r="X124">
        <v>2.6230000000000002</v>
      </c>
      <c r="Y124">
        <v>2.4380000000000002</v>
      </c>
      <c r="Z124">
        <v>2.5630000000000002</v>
      </c>
      <c r="AA124">
        <v>2.4889999999999999</v>
      </c>
      <c r="AB124">
        <v>2.5489999999999999</v>
      </c>
      <c r="AC124">
        <v>2.35</v>
      </c>
      <c r="AD124">
        <v>2.359</v>
      </c>
      <c r="AE124">
        <v>2.4159999999999999</v>
      </c>
      <c r="AF124">
        <v>2.302</v>
      </c>
      <c r="AG124">
        <v>2.5449999999999999</v>
      </c>
      <c r="AH124">
        <v>2.2799999999999998</v>
      </c>
      <c r="AI124">
        <v>2.23</v>
      </c>
      <c r="AJ124">
        <v>2.5230000000000001</v>
      </c>
      <c r="AK124">
        <v>2.6139999999999999</v>
      </c>
      <c r="AL124" t="s">
        <v>156</v>
      </c>
      <c r="AM124" t="s">
        <v>155</v>
      </c>
      <c r="AN124" t="s">
        <v>156</v>
      </c>
      <c r="AO124" t="s">
        <v>156</v>
      </c>
      <c r="AP124" t="s">
        <v>155</v>
      </c>
      <c r="AQ124" t="s">
        <v>156</v>
      </c>
      <c r="AR124" t="s">
        <v>155</v>
      </c>
      <c r="AS124" t="s">
        <v>156</v>
      </c>
      <c r="AT124" t="s">
        <v>156</v>
      </c>
      <c r="AU124" t="s">
        <v>155</v>
      </c>
      <c r="AV124" t="s">
        <v>155</v>
      </c>
      <c r="AW124" t="s">
        <v>155</v>
      </c>
      <c r="AX124" t="s">
        <v>156</v>
      </c>
      <c r="AY124" t="s">
        <v>155</v>
      </c>
      <c r="AZ124" t="s">
        <v>155</v>
      </c>
      <c r="BA124" t="s">
        <v>155</v>
      </c>
      <c r="BB124" t="s">
        <v>156</v>
      </c>
      <c r="BC124" t="s">
        <v>156</v>
      </c>
      <c r="BD124" t="s">
        <v>155</v>
      </c>
      <c r="BE124" t="s">
        <v>155</v>
      </c>
      <c r="BZ124">
        <v>48.84230077048413</v>
      </c>
      <c r="CA124">
        <v>2777.1444551896661</v>
      </c>
      <c r="CB124">
        <v>46.785153000404598</v>
      </c>
      <c r="CC124">
        <v>53.943564958835303</v>
      </c>
      <c r="CD124">
        <v>36.777445234353401</v>
      </c>
      <c r="CE124">
        <v>48.373779885982003</v>
      </c>
      <c r="CF124">
        <v>47.806344662241003</v>
      </c>
      <c r="CG124">
        <v>41.314117041293798</v>
      </c>
      <c r="CH124">
        <v>59.5958198753179</v>
      </c>
      <c r="CI124">
        <v>49.311193326645601</v>
      </c>
      <c r="CJ124">
        <v>56.128975623662697</v>
      </c>
      <c r="CK124">
        <v>52.027470116604</v>
      </c>
      <c r="CL124">
        <v>55.338336527381102</v>
      </c>
      <c r="CM124">
        <v>44.832606570734903</v>
      </c>
      <c r="CN124">
        <v>45.278662865446201</v>
      </c>
      <c r="CO124">
        <v>48.1669641691743</v>
      </c>
      <c r="CP124">
        <v>42.499224286276998</v>
      </c>
      <c r="CQ124">
        <v>55.113703274559001</v>
      </c>
      <c r="CR124">
        <v>41.455244407571797</v>
      </c>
      <c r="CS124">
        <v>39.141532141984101</v>
      </c>
      <c r="CT124">
        <v>53.888228259098298</v>
      </c>
      <c r="CU124">
        <v>59.067649182115701</v>
      </c>
    </row>
    <row r="125" spans="1:99" x14ac:dyDescent="0.25">
      <c r="A125" t="s">
        <v>123</v>
      </c>
      <c r="B125" t="s">
        <v>227</v>
      </c>
      <c r="C125" t="s">
        <v>192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3</v>
      </c>
      <c r="N125">
        <v>0.860781664046251</v>
      </c>
      <c r="O125">
        <v>3</v>
      </c>
      <c r="P125">
        <v>-1</v>
      </c>
      <c r="Q125">
        <v>3</v>
      </c>
      <c r="R125">
        <v>0.29899999999999999</v>
      </c>
      <c r="S125">
        <v>0.17100000000000001</v>
      </c>
      <c r="T125">
        <v>0.193</v>
      </c>
      <c r="BZ125">
        <v>4.5406861499999999E-2</v>
      </c>
      <c r="CA125">
        <v>3.9085393801087651E-2</v>
      </c>
      <c r="CB125">
        <v>9.3558146499999995E-2</v>
      </c>
      <c r="CC125">
        <v>1.7500738500000002E-2</v>
      </c>
      <c r="CD125">
        <v>2.5161699499999999E-2</v>
      </c>
    </row>
    <row r="126" spans="1:99" x14ac:dyDescent="0.25">
      <c r="A126" t="s">
        <v>123</v>
      </c>
      <c r="B126" t="s">
        <v>221</v>
      </c>
      <c r="C126" t="s">
        <v>192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1</v>
      </c>
      <c r="N126">
        <v>0.28692722134874998</v>
      </c>
      <c r="O126">
        <v>1</v>
      </c>
      <c r="P126">
        <v>-1</v>
      </c>
      <c r="Q126">
        <v>1</v>
      </c>
      <c r="R126">
        <v>0.23</v>
      </c>
      <c r="BZ126">
        <v>4.2584499999999997E-2</v>
      </c>
      <c r="CA126">
        <v>1.2218652257525843E-2</v>
      </c>
      <c r="CB126">
        <v>4.2584499999999997E-2</v>
      </c>
    </row>
    <row r="127" spans="1:99" x14ac:dyDescent="0.25">
      <c r="A127" t="s">
        <v>123</v>
      </c>
      <c r="B127" t="s">
        <v>223</v>
      </c>
      <c r="C127" t="s">
        <v>192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6</v>
      </c>
      <c r="N127">
        <v>1.7215633280925</v>
      </c>
      <c r="O127">
        <v>6</v>
      </c>
      <c r="P127">
        <v>-1</v>
      </c>
      <c r="Q127">
        <v>6</v>
      </c>
      <c r="R127">
        <v>0.13700000000000001</v>
      </c>
      <c r="S127">
        <v>0.124</v>
      </c>
      <c r="T127">
        <v>0.11700000000000001</v>
      </c>
      <c r="U127">
        <v>0.11</v>
      </c>
      <c r="V127">
        <v>0.106</v>
      </c>
      <c r="W127">
        <v>0.112</v>
      </c>
      <c r="BZ127">
        <v>5.1366874533333336E-2</v>
      </c>
      <c r="CA127">
        <v>8.8431327475315222E-2</v>
      </c>
      <c r="CB127">
        <v>7.9197672400000002E-2</v>
      </c>
      <c r="CC127">
        <v>5.8724019199999998E-2</v>
      </c>
      <c r="CD127">
        <v>4.9329680399999999E-2</v>
      </c>
      <c r="CE127">
        <v>4.0994799999999998E-2</v>
      </c>
      <c r="CF127">
        <v>3.6683292800000003E-2</v>
      </c>
      <c r="CG127">
        <v>4.32717824E-2</v>
      </c>
    </row>
    <row r="128" spans="1:99" x14ac:dyDescent="0.25">
      <c r="A128" t="s">
        <v>123</v>
      </c>
      <c r="B128" t="s">
        <v>153</v>
      </c>
      <c r="C128" t="s">
        <v>154</v>
      </c>
      <c r="D128">
        <v>-1</v>
      </c>
      <c r="E128">
        <v>1</v>
      </c>
      <c r="F128">
        <v>0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4.8333333333333304</v>
      </c>
      <c r="N128">
        <v>1.3868149031856301</v>
      </c>
      <c r="O128">
        <v>-1</v>
      </c>
      <c r="P128">
        <v>-1</v>
      </c>
      <c r="Q128">
        <v>-1</v>
      </c>
      <c r="R128">
        <v>1.258</v>
      </c>
      <c r="AL128" t="s">
        <v>155</v>
      </c>
      <c r="BZ128">
        <v>8.8858931502862699</v>
      </c>
      <c r="CA128">
        <v>12.323089048932106</v>
      </c>
      <c r="CB128">
        <v>8.8858931502862699</v>
      </c>
    </row>
    <row r="129" spans="1:99" x14ac:dyDescent="0.25">
      <c r="A129" t="s">
        <v>123</v>
      </c>
      <c r="B129" t="s">
        <v>210</v>
      </c>
      <c r="C129" t="s">
        <v>192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21</v>
      </c>
      <c r="N129">
        <v>6.0254716483237498</v>
      </c>
      <c r="O129">
        <v>21</v>
      </c>
      <c r="P129">
        <v>-1</v>
      </c>
      <c r="Q129">
        <v>21</v>
      </c>
      <c r="R129">
        <v>0.159</v>
      </c>
      <c r="S129">
        <v>0.17199999999999999</v>
      </c>
      <c r="T129">
        <v>0.16200000000000001</v>
      </c>
      <c r="U129">
        <v>0.14599999999999999</v>
      </c>
      <c r="V129">
        <v>0.16500000000000001</v>
      </c>
      <c r="W129">
        <v>0.107</v>
      </c>
      <c r="X129">
        <v>0.17399999999999999</v>
      </c>
      <c r="Y129">
        <v>0.19500000000000001</v>
      </c>
      <c r="Z129">
        <v>0.17899999999999999</v>
      </c>
      <c r="AA129">
        <v>0.161</v>
      </c>
      <c r="AB129">
        <v>0.185</v>
      </c>
      <c r="AC129">
        <v>0.16300000000000001</v>
      </c>
      <c r="AD129">
        <v>0.16600000000000001</v>
      </c>
      <c r="AE129">
        <v>0.13400000000000001</v>
      </c>
      <c r="AF129">
        <v>0.16800000000000001</v>
      </c>
      <c r="AG129">
        <v>0.159</v>
      </c>
      <c r="AH129">
        <v>0.14199999999999999</v>
      </c>
      <c r="AI129">
        <v>0.159</v>
      </c>
      <c r="AJ129">
        <v>0.20499999999999999</v>
      </c>
      <c r="AK129">
        <v>0.124</v>
      </c>
      <c r="BZ129">
        <v>4.4294638499999997E-2</v>
      </c>
      <c r="CA129">
        <v>0.26689608845449964</v>
      </c>
      <c r="CB129">
        <v>4.0196790000000003E-2</v>
      </c>
      <c r="CC129">
        <v>5.0884480000000003E-2</v>
      </c>
      <c r="CD129">
        <v>4.2515280000000003E-2</v>
      </c>
      <c r="CE129">
        <v>3.1121360000000001E-2</v>
      </c>
      <c r="CF129">
        <v>4.4921250000000003E-2</v>
      </c>
      <c r="CG129">
        <v>1.225043E-2</v>
      </c>
      <c r="CH129">
        <v>5.2680240000000003E-2</v>
      </c>
      <c r="CI129">
        <v>7.4148749999999999E-2</v>
      </c>
      <c r="CJ129">
        <v>5.7353389999999997E-2</v>
      </c>
      <c r="CK129">
        <v>4.1732810000000002E-2</v>
      </c>
      <c r="CL129">
        <v>6.3316250000000004E-2</v>
      </c>
      <c r="CM129">
        <v>4.3307470000000001E-2</v>
      </c>
      <c r="CN129">
        <v>4.5742959999999999E-2</v>
      </c>
      <c r="CO129">
        <v>2.4061039999999999E-2</v>
      </c>
      <c r="CP129">
        <v>4.7416319999999998E-2</v>
      </c>
      <c r="CQ129">
        <v>4.0196790000000003E-2</v>
      </c>
      <c r="CR129">
        <v>2.8632879999999999E-2</v>
      </c>
      <c r="CS129">
        <v>4.0196790000000003E-2</v>
      </c>
      <c r="CT129">
        <v>8.6151249999999999E-2</v>
      </c>
      <c r="CU129">
        <v>1.9066240000000002E-2</v>
      </c>
    </row>
    <row r="130" spans="1:99" x14ac:dyDescent="0.25">
      <c r="A130" t="s">
        <v>125</v>
      </c>
      <c r="B130" t="s">
        <v>172</v>
      </c>
      <c r="C130" t="s">
        <v>158</v>
      </c>
      <c r="D130">
        <v>-1</v>
      </c>
      <c r="E130">
        <v>3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89.25</v>
      </c>
      <c r="N130">
        <v>10.8878633101088</v>
      </c>
      <c r="O130">
        <v>-1</v>
      </c>
      <c r="P130">
        <v>-1</v>
      </c>
      <c r="Q130">
        <v>-1</v>
      </c>
      <c r="R130">
        <v>0.29799999999999999</v>
      </c>
      <c r="S130">
        <v>0.29299999999999998</v>
      </c>
      <c r="T130">
        <v>0.36899999999999999</v>
      </c>
      <c r="AL130" t="s">
        <v>159</v>
      </c>
      <c r="AM130" t="s">
        <v>159</v>
      </c>
      <c r="AN130" t="s">
        <v>159</v>
      </c>
      <c r="BZ130">
        <v>0.86246062125286527</v>
      </c>
      <c r="CA130">
        <v>9.3903533545527136</v>
      </c>
      <c r="CB130">
        <v>0.704001821854362</v>
      </c>
      <c r="CC130">
        <v>0.67449962789376405</v>
      </c>
      <c r="CD130">
        <v>1.2088804140104701</v>
      </c>
    </row>
    <row r="131" spans="1:99" x14ac:dyDescent="0.25">
      <c r="A131" t="s">
        <v>125</v>
      </c>
      <c r="B131" t="s">
        <v>195</v>
      </c>
      <c r="C131" t="s">
        <v>192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12</v>
      </c>
      <c r="N131">
        <v>1.4639143946364801</v>
      </c>
      <c r="O131">
        <v>2</v>
      </c>
      <c r="P131">
        <v>-1</v>
      </c>
      <c r="Q131">
        <v>2</v>
      </c>
      <c r="R131">
        <v>0.151</v>
      </c>
      <c r="S131">
        <v>0.156</v>
      </c>
      <c r="BF131">
        <v>5.3999999999999999E-2</v>
      </c>
      <c r="BG131">
        <v>9.2999999999999999E-2</v>
      </c>
      <c r="BZ131">
        <v>2.3264279999999998E-2</v>
      </c>
      <c r="CA131">
        <v>3.4056914372853568E-2</v>
      </c>
      <c r="CB131">
        <v>1.1448216000000001E-2</v>
      </c>
      <c r="CC131">
        <v>3.5080343999999999E-2</v>
      </c>
    </row>
    <row r="132" spans="1:99" x14ac:dyDescent="0.25">
      <c r="A132" t="s">
        <v>125</v>
      </c>
      <c r="B132" t="s">
        <v>196</v>
      </c>
      <c r="C132" t="s">
        <v>197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474</v>
      </c>
      <c r="N132">
        <v>57.824618588141</v>
      </c>
      <c r="O132">
        <v>79</v>
      </c>
      <c r="P132">
        <v>-1</v>
      </c>
      <c r="Q132">
        <v>79</v>
      </c>
      <c r="R132">
        <v>0.19800000000000001</v>
      </c>
      <c r="S132">
        <v>0.16800000000000001</v>
      </c>
      <c r="T132">
        <v>0.19800000000000001</v>
      </c>
      <c r="U132">
        <v>0.151</v>
      </c>
      <c r="V132">
        <v>0.14299999999999999</v>
      </c>
      <c r="W132">
        <v>0.13800000000000001</v>
      </c>
      <c r="X132">
        <v>0.14000000000000001</v>
      </c>
      <c r="Y132">
        <v>0.17399999999999999</v>
      </c>
      <c r="Z132">
        <v>0.16200000000000001</v>
      </c>
      <c r="AA132">
        <v>0.114</v>
      </c>
      <c r="AB132">
        <v>0.14299999999999999</v>
      </c>
      <c r="AC132">
        <v>0.16800000000000001</v>
      </c>
      <c r="AD132">
        <v>0.14799999999999999</v>
      </c>
      <c r="AE132">
        <v>0.14899999999999999</v>
      </c>
      <c r="AF132">
        <v>0.13100000000000001</v>
      </c>
      <c r="AG132">
        <v>0.13300000000000001</v>
      </c>
      <c r="AH132">
        <v>0.14000000000000001</v>
      </c>
      <c r="AI132">
        <v>0.14799999999999999</v>
      </c>
      <c r="AJ132">
        <v>0.188</v>
      </c>
      <c r="AK132">
        <v>0.109</v>
      </c>
      <c r="BZ132">
        <v>8.0048080335310315E-2</v>
      </c>
      <c r="CA132">
        <v>4.6287497141021889</v>
      </c>
      <c r="CB132">
        <v>0.14460176027961549</v>
      </c>
      <c r="CC132">
        <v>9.7480870620755999E-2</v>
      </c>
      <c r="CD132">
        <v>0.14460176027961549</v>
      </c>
      <c r="CE132">
        <v>7.5460868039834816E-2</v>
      </c>
      <c r="CF132">
        <v>6.6219151722577044E-2</v>
      </c>
      <c r="CG132">
        <v>6.0797669266349663E-2</v>
      </c>
      <c r="CH132">
        <v>6.2933865666250186E-2</v>
      </c>
      <c r="CI132">
        <v>0.10604625083069369</v>
      </c>
      <c r="CJ132">
        <v>8.9333254911206222E-2</v>
      </c>
      <c r="CK132">
        <v>3.84369365105749E-2</v>
      </c>
      <c r="CL132">
        <v>6.6219151722577044E-2</v>
      </c>
      <c r="CM132">
        <v>9.7480870620755999E-2</v>
      </c>
      <c r="CN132">
        <v>7.1912641255667167E-2</v>
      </c>
      <c r="CO132">
        <v>7.3084312737679707E-2</v>
      </c>
      <c r="CP132">
        <v>5.3657228001919549E-2</v>
      </c>
      <c r="CQ132">
        <v>5.564434844158727E-2</v>
      </c>
      <c r="CR132">
        <v>6.2933865666250186E-2</v>
      </c>
      <c r="CS132">
        <v>7.1912641255667167E-2</v>
      </c>
      <c r="CT132">
        <v>0.12768972786484611</v>
      </c>
      <c r="CU132">
        <v>3.4514431011782545E-2</v>
      </c>
    </row>
    <row r="133" spans="1:99" x14ac:dyDescent="0.25">
      <c r="A133" t="s">
        <v>125</v>
      </c>
      <c r="B133" t="s">
        <v>173</v>
      </c>
      <c r="C133" t="s">
        <v>168</v>
      </c>
      <c r="D133">
        <v>-1</v>
      </c>
      <c r="E133">
        <v>100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2975</v>
      </c>
      <c r="N133">
        <v>362.92877700362698</v>
      </c>
      <c r="O133">
        <v>-1</v>
      </c>
      <c r="P133">
        <v>-1</v>
      </c>
      <c r="Q133">
        <v>-1</v>
      </c>
      <c r="R133">
        <v>0.45600000000000002</v>
      </c>
      <c r="S133">
        <v>0.41399999999999998</v>
      </c>
      <c r="T133">
        <v>0.84399999999999997</v>
      </c>
      <c r="U133">
        <v>0.81399999999999995</v>
      </c>
      <c r="V133">
        <v>0.878</v>
      </c>
      <c r="W133">
        <v>0.65400000000000003</v>
      </c>
      <c r="X133">
        <v>0.67700000000000005</v>
      </c>
      <c r="Y133">
        <v>0.76900000000000002</v>
      </c>
      <c r="Z133">
        <v>0.83699999999999997</v>
      </c>
      <c r="AA133">
        <v>0.82599999999999996</v>
      </c>
      <c r="AB133">
        <v>0.67700000000000005</v>
      </c>
      <c r="AC133">
        <v>0.55800000000000005</v>
      </c>
      <c r="AD133">
        <v>0.81599999999999995</v>
      </c>
      <c r="AE133">
        <v>0.63600000000000001</v>
      </c>
      <c r="AF133">
        <v>0.35</v>
      </c>
      <c r="AG133">
        <v>0.69199999999999995</v>
      </c>
      <c r="AH133">
        <v>0.80600000000000005</v>
      </c>
      <c r="AI133">
        <v>0.63200000000000001</v>
      </c>
      <c r="AJ133">
        <v>0.377</v>
      </c>
      <c r="AK133">
        <v>0.54500000000000004</v>
      </c>
      <c r="AL133" t="s">
        <v>169</v>
      </c>
      <c r="AM133" t="s">
        <v>169</v>
      </c>
      <c r="AN133" t="s">
        <v>169</v>
      </c>
      <c r="AO133" t="s">
        <v>169</v>
      </c>
      <c r="AP133" t="s">
        <v>169</v>
      </c>
      <c r="AQ133" t="s">
        <v>169</v>
      </c>
      <c r="AR133" t="s">
        <v>169</v>
      </c>
      <c r="AS133" t="s">
        <v>169</v>
      </c>
      <c r="AT133" t="s">
        <v>169</v>
      </c>
      <c r="AU133" t="s">
        <v>169</v>
      </c>
      <c r="AV133" t="s">
        <v>169</v>
      </c>
      <c r="AW133" t="s">
        <v>169</v>
      </c>
      <c r="AX133" t="s">
        <v>169</v>
      </c>
      <c r="AY133" t="s">
        <v>169</v>
      </c>
      <c r="AZ133" t="s">
        <v>169</v>
      </c>
      <c r="BA133" t="s">
        <v>169</v>
      </c>
      <c r="BB133" t="s">
        <v>169</v>
      </c>
      <c r="BC133" t="s">
        <v>169</v>
      </c>
      <c r="BD133" t="s">
        <v>169</v>
      </c>
      <c r="BE133" t="s">
        <v>169</v>
      </c>
      <c r="BZ133">
        <v>1.3680301866006472</v>
      </c>
      <c r="CA133">
        <v>496.49752252701649</v>
      </c>
      <c r="CB133">
        <v>0.23281945342660601</v>
      </c>
      <c r="CC133">
        <v>0.15864273708680801</v>
      </c>
      <c r="CD133">
        <v>2.6823061976212301</v>
      </c>
      <c r="CE133">
        <v>2.3233130260173298</v>
      </c>
      <c r="CF133">
        <v>3.1376324514621898</v>
      </c>
      <c r="CG133">
        <v>0.97447903654810897</v>
      </c>
      <c r="CH133">
        <v>1.1178045025624499</v>
      </c>
      <c r="CI133">
        <v>1.85377238770398</v>
      </c>
      <c r="CJ133">
        <v>2.5950689907210802</v>
      </c>
      <c r="CK133">
        <v>2.4622924181654402</v>
      </c>
      <c r="CL133">
        <v>1.1178045025624499</v>
      </c>
      <c r="CM133">
        <v>0.51887961577876396</v>
      </c>
      <c r="CN133">
        <v>2.3460581379249699</v>
      </c>
      <c r="CO133">
        <v>0.87227532860314405</v>
      </c>
      <c r="CP133">
        <v>8.1447728364652805E-2</v>
      </c>
      <c r="CQ133">
        <v>1.2194107938735299</v>
      </c>
      <c r="CR133">
        <v>2.2339783292891302</v>
      </c>
      <c r="CS133">
        <v>0.85069844849835996</v>
      </c>
      <c r="CT133">
        <v>0.10939664427252099</v>
      </c>
      <c r="CU133">
        <v>0.47252300153019799</v>
      </c>
    </row>
    <row r="134" spans="1:99" x14ac:dyDescent="0.25">
      <c r="A134" t="s">
        <v>125</v>
      </c>
      <c r="B134" t="s">
        <v>167</v>
      </c>
      <c r="C134" t="s">
        <v>168</v>
      </c>
      <c r="D134">
        <v>-1</v>
      </c>
      <c r="E134">
        <v>12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357</v>
      </c>
      <c r="N134">
        <v>43.551453240435301</v>
      </c>
      <c r="O134">
        <v>-1</v>
      </c>
      <c r="P134">
        <v>-1</v>
      </c>
      <c r="Q134">
        <v>-1</v>
      </c>
      <c r="R134">
        <v>0.53200000000000003</v>
      </c>
      <c r="S134">
        <v>0.47699999999999998</v>
      </c>
      <c r="T134">
        <v>0.74399999999999999</v>
      </c>
      <c r="U134">
        <v>0.46500000000000002</v>
      </c>
      <c r="V134">
        <v>0.48299999999999998</v>
      </c>
      <c r="W134">
        <v>0.67100000000000004</v>
      </c>
      <c r="X134">
        <v>0.64700000000000002</v>
      </c>
      <c r="Y134">
        <v>0.48099999999999998</v>
      </c>
      <c r="Z134">
        <v>0.44400000000000001</v>
      </c>
      <c r="AA134">
        <v>0.495</v>
      </c>
      <c r="AB134">
        <v>0.66400000000000003</v>
      </c>
      <c r="AC134">
        <v>0.44900000000000001</v>
      </c>
      <c r="AL134" t="s">
        <v>169</v>
      </c>
      <c r="AM134" t="s">
        <v>169</v>
      </c>
      <c r="AN134" t="s">
        <v>169</v>
      </c>
      <c r="AO134" t="s">
        <v>169</v>
      </c>
      <c r="AP134" t="s">
        <v>169</v>
      </c>
      <c r="AQ134" t="s">
        <v>169</v>
      </c>
      <c r="AR134" t="s">
        <v>169</v>
      </c>
      <c r="AS134" t="s">
        <v>169</v>
      </c>
      <c r="AT134" t="s">
        <v>169</v>
      </c>
      <c r="AU134" t="s">
        <v>169</v>
      </c>
      <c r="AV134" t="s">
        <v>169</v>
      </c>
      <c r="AW134" t="s">
        <v>169</v>
      </c>
      <c r="BZ134">
        <v>1.096044411525676</v>
      </c>
      <c r="CA134">
        <v>47.734326938000905</v>
      </c>
      <c r="CB134">
        <v>0.95639952967041897</v>
      </c>
      <c r="CC134">
        <v>0.72092623143924395</v>
      </c>
      <c r="CD134">
        <v>2.2798282419575902</v>
      </c>
      <c r="CE134">
        <v>0.67488748419023703</v>
      </c>
      <c r="CF134">
        <v>0.74464845861086204</v>
      </c>
      <c r="CG134">
        <v>1.74477549670273</v>
      </c>
      <c r="CH134">
        <v>1.58770683044659</v>
      </c>
      <c r="CI134">
        <v>0.73668864187058802</v>
      </c>
      <c r="CJ134">
        <v>0.59875633145112805</v>
      </c>
      <c r="CK134">
        <v>0.79351600625052998</v>
      </c>
      <c r="CL134">
        <v>1.69802293451633</v>
      </c>
      <c r="CM134">
        <v>0.61637675120186597</v>
      </c>
    </row>
    <row r="135" spans="1:99" x14ac:dyDescent="0.25">
      <c r="A135" t="s">
        <v>125</v>
      </c>
      <c r="B135" t="s">
        <v>166</v>
      </c>
      <c r="C135" t="s">
        <v>154</v>
      </c>
      <c r="D135">
        <v>-1</v>
      </c>
      <c r="E135">
        <v>29</v>
      </c>
      <c r="F135">
        <v>89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3510.5</v>
      </c>
      <c r="N135">
        <v>428.25595686427999</v>
      </c>
      <c r="O135">
        <v>-1</v>
      </c>
      <c r="P135">
        <v>-1</v>
      </c>
      <c r="Q135">
        <v>-1</v>
      </c>
      <c r="R135">
        <v>0.80800000000000005</v>
      </c>
      <c r="S135">
        <v>1.0609999999999999</v>
      </c>
      <c r="T135">
        <v>0.79500000000000004</v>
      </c>
      <c r="U135">
        <v>0.81</v>
      </c>
      <c r="V135">
        <v>0.76900000000000002</v>
      </c>
      <c r="W135">
        <v>0.753</v>
      </c>
      <c r="X135">
        <v>1.012</v>
      </c>
      <c r="Y135">
        <v>1.093</v>
      </c>
      <c r="Z135">
        <v>0.80800000000000005</v>
      </c>
      <c r="AA135">
        <v>0.81100000000000005</v>
      </c>
      <c r="AB135">
        <v>0.83699999999999997</v>
      </c>
      <c r="AC135">
        <v>0.95699999999999996</v>
      </c>
      <c r="AD135">
        <v>0.81499999999999995</v>
      </c>
      <c r="AE135">
        <v>0.80600000000000005</v>
      </c>
      <c r="AF135">
        <v>0.79800000000000004</v>
      </c>
      <c r="AG135">
        <v>0.78700000000000003</v>
      </c>
      <c r="AH135">
        <v>0.76900000000000002</v>
      </c>
      <c r="AI135">
        <v>0.81299999999999994</v>
      </c>
      <c r="AJ135">
        <v>0.99399999999999999</v>
      </c>
      <c r="AK135">
        <v>0.97199999999999998</v>
      </c>
      <c r="AL135" t="s">
        <v>156</v>
      </c>
      <c r="AM135" t="s">
        <v>155</v>
      </c>
      <c r="AN135" t="s">
        <v>156</v>
      </c>
      <c r="AO135" t="s">
        <v>156</v>
      </c>
      <c r="AP135" t="s">
        <v>156</v>
      </c>
      <c r="AQ135" t="s">
        <v>156</v>
      </c>
      <c r="AR135" t="s">
        <v>155</v>
      </c>
      <c r="AS135" t="s">
        <v>155</v>
      </c>
      <c r="AT135" t="s">
        <v>156</v>
      </c>
      <c r="AU135" t="s">
        <v>156</v>
      </c>
      <c r="AV135" t="s">
        <v>156</v>
      </c>
      <c r="AW135" t="s">
        <v>155</v>
      </c>
      <c r="AX135" t="s">
        <v>156</v>
      </c>
      <c r="AY135" t="s">
        <v>156</v>
      </c>
      <c r="AZ135" t="s">
        <v>156</v>
      </c>
      <c r="BA135" t="s">
        <v>156</v>
      </c>
      <c r="BB135" t="s">
        <v>156</v>
      </c>
      <c r="BC135" t="s">
        <v>156</v>
      </c>
      <c r="BD135" t="s">
        <v>155</v>
      </c>
      <c r="BE135" t="s">
        <v>155</v>
      </c>
      <c r="BZ135">
        <v>3.208378996158868</v>
      </c>
      <c r="CA135">
        <v>1374.0074169832742</v>
      </c>
      <c r="CB135">
        <v>2.2560667360250299</v>
      </c>
      <c r="CC135">
        <v>6.6530213027982503</v>
      </c>
      <c r="CD135">
        <v>2.1153699989897001</v>
      </c>
      <c r="CE135">
        <v>2.27831812361593</v>
      </c>
      <c r="CF135">
        <v>1.85377238770398</v>
      </c>
      <c r="CG135">
        <v>1.7053161125516001</v>
      </c>
      <c r="CH135">
        <v>5.5143645631778799</v>
      </c>
      <c r="CI135">
        <v>7.4860182734945502</v>
      </c>
      <c r="CJ135">
        <v>2.2560667360250299</v>
      </c>
      <c r="CK135">
        <v>2.2895051838095601</v>
      </c>
      <c r="CL135">
        <v>2.5950689907210802</v>
      </c>
      <c r="CM135">
        <v>4.41722206537513</v>
      </c>
      <c r="CN135">
        <v>2.3346648602228699</v>
      </c>
      <c r="CO135">
        <v>2.2339783292891302</v>
      </c>
      <c r="CP135">
        <v>2.1472386639509198</v>
      </c>
      <c r="CQ135">
        <v>2.03211615028916</v>
      </c>
      <c r="CR135">
        <v>1.85377238770398</v>
      </c>
      <c r="CS135">
        <v>2.31200253519168</v>
      </c>
      <c r="CT135">
        <v>5.1351458847879599</v>
      </c>
      <c r="CU135">
        <v>4.6985506374539199</v>
      </c>
    </row>
    <row r="136" spans="1:99" x14ac:dyDescent="0.25">
      <c r="A136" t="s">
        <v>125</v>
      </c>
      <c r="B136" t="s">
        <v>198</v>
      </c>
      <c r="C136" t="s">
        <v>199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1110</v>
      </c>
      <c r="N136">
        <v>135.41208150387399</v>
      </c>
      <c r="O136">
        <v>185</v>
      </c>
      <c r="P136">
        <v>-1</v>
      </c>
      <c r="Q136">
        <v>185</v>
      </c>
      <c r="R136">
        <v>7.5999999999999998E-2</v>
      </c>
      <c r="S136">
        <v>7.6999999999999999E-2</v>
      </c>
      <c r="T136">
        <v>7.6999999999999999E-2</v>
      </c>
      <c r="U136">
        <v>8.4000000000000005E-2</v>
      </c>
      <c r="V136">
        <v>7.2999999999999995E-2</v>
      </c>
      <c r="W136">
        <v>8.4000000000000005E-2</v>
      </c>
      <c r="X136">
        <v>7.8E-2</v>
      </c>
      <c r="Y136">
        <v>7.6999999999999999E-2</v>
      </c>
      <c r="Z136">
        <v>8.7999999999999995E-2</v>
      </c>
      <c r="AA136">
        <v>8.1000000000000003E-2</v>
      </c>
      <c r="AB136">
        <v>8.5999999999999993E-2</v>
      </c>
      <c r="AC136">
        <v>7.9000000000000001E-2</v>
      </c>
      <c r="AD136">
        <v>7.9000000000000001E-2</v>
      </c>
      <c r="AE136">
        <v>7.8E-2</v>
      </c>
      <c r="AF136">
        <v>7.2999999999999995E-2</v>
      </c>
      <c r="AG136">
        <v>8.4000000000000005E-2</v>
      </c>
      <c r="AH136">
        <v>8.8999999999999996E-2</v>
      </c>
      <c r="AI136">
        <v>7.8E-2</v>
      </c>
      <c r="AJ136">
        <v>7.8E-2</v>
      </c>
      <c r="AK136">
        <v>8.5000000000000006E-2</v>
      </c>
      <c r="BZ136">
        <v>0.10206066817006447</v>
      </c>
      <c r="CA136">
        <v>13.820247516584608</v>
      </c>
      <c r="CB136">
        <v>9.4526084689219525E-2</v>
      </c>
      <c r="CC136">
        <v>9.619485028214779E-2</v>
      </c>
      <c r="CD136">
        <v>9.619485028214779E-2</v>
      </c>
      <c r="CE136">
        <v>0.10873087852656856</v>
      </c>
      <c r="CF136">
        <v>8.9691483909852543E-2</v>
      </c>
      <c r="CG136">
        <v>0.10873087852656856</v>
      </c>
      <c r="CH136">
        <v>9.7893076299818055E-2</v>
      </c>
      <c r="CI136">
        <v>9.619485028214779E-2</v>
      </c>
      <c r="CJ136">
        <v>0.11661475677470312</v>
      </c>
      <c r="CK136">
        <v>0.10316976392212798</v>
      </c>
      <c r="CL136">
        <v>0.11260384075721208</v>
      </c>
      <c r="CM136">
        <v>9.962128283722127E-2</v>
      </c>
      <c r="CN136">
        <v>9.962128283722127E-2</v>
      </c>
      <c r="CO136">
        <v>9.7893076299818055E-2</v>
      </c>
      <c r="CP136">
        <v>8.9691483909852543E-2</v>
      </c>
      <c r="CQ136">
        <v>0.10873087852656856</v>
      </c>
      <c r="CR136">
        <v>0.11867347627390945</v>
      </c>
      <c r="CS136">
        <v>9.7893076299818055E-2</v>
      </c>
      <c r="CT136">
        <v>9.7893076299818055E-2</v>
      </c>
      <c r="CU136">
        <v>0.11065041586454837</v>
      </c>
    </row>
    <row r="137" spans="1:99" x14ac:dyDescent="0.25">
      <c r="A137" t="s">
        <v>125</v>
      </c>
      <c r="B137" t="s">
        <v>204</v>
      </c>
      <c r="C137" t="s">
        <v>192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12</v>
      </c>
      <c r="N137">
        <v>1.4639143946364801</v>
      </c>
      <c r="O137">
        <v>2</v>
      </c>
      <c r="P137">
        <v>-1</v>
      </c>
      <c r="Q137">
        <v>2</v>
      </c>
      <c r="R137">
        <v>0.127</v>
      </c>
      <c r="S137">
        <v>0.127</v>
      </c>
      <c r="BZ137">
        <v>4.0967659999999999E-3</v>
      </c>
      <c r="CA137">
        <v>5.9973147188573141E-3</v>
      </c>
      <c r="CB137">
        <v>4.0967659999999999E-3</v>
      </c>
      <c r="CC137">
        <v>4.0967659999999999E-3</v>
      </c>
    </row>
    <row r="138" spans="1:99" x14ac:dyDescent="0.25">
      <c r="A138" t="s">
        <v>125</v>
      </c>
      <c r="B138" t="s">
        <v>205</v>
      </c>
      <c r="C138" t="s">
        <v>192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6</v>
      </c>
      <c r="N138">
        <v>0.73195719731824005</v>
      </c>
      <c r="O138">
        <v>1</v>
      </c>
      <c r="P138">
        <v>-1</v>
      </c>
      <c r="Q138">
        <v>1</v>
      </c>
      <c r="R138">
        <v>0.112</v>
      </c>
      <c r="BZ138">
        <v>2.8098559999999999E-3</v>
      </c>
      <c r="CA138">
        <v>2.0566943226278406E-3</v>
      </c>
      <c r="CB138">
        <v>2.8098559999999999E-3</v>
      </c>
    </row>
    <row r="139" spans="1:99" x14ac:dyDescent="0.25">
      <c r="A139" t="s">
        <v>125</v>
      </c>
      <c r="B139" t="s">
        <v>226</v>
      </c>
      <c r="C139" t="s">
        <v>192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30</v>
      </c>
      <c r="N139">
        <v>3.6597859865912001</v>
      </c>
      <c r="O139">
        <v>5</v>
      </c>
      <c r="P139">
        <v>-1</v>
      </c>
      <c r="Q139">
        <v>5</v>
      </c>
      <c r="R139">
        <v>0.13200000000000001</v>
      </c>
      <c r="S139">
        <v>0.125</v>
      </c>
      <c r="T139">
        <v>0.121</v>
      </c>
      <c r="U139">
        <v>0.11700000000000001</v>
      </c>
      <c r="V139">
        <v>0.124</v>
      </c>
      <c r="BZ139">
        <v>3.8131563999999991E-3</v>
      </c>
      <c r="CA139">
        <v>1.3955336357400545E-2</v>
      </c>
      <c r="CB139">
        <v>4.5999359999999998E-3</v>
      </c>
      <c r="CC139">
        <v>3.90625E-3</v>
      </c>
      <c r="CD139">
        <v>3.5431220000000001E-3</v>
      </c>
      <c r="CE139">
        <v>3.203226E-3</v>
      </c>
      <c r="CF139">
        <v>3.813248E-3</v>
      </c>
    </row>
    <row r="140" spans="1:99" x14ac:dyDescent="0.25">
      <c r="A140" t="s">
        <v>125</v>
      </c>
      <c r="B140" t="s">
        <v>230</v>
      </c>
      <c r="C140" t="s">
        <v>192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6</v>
      </c>
      <c r="N140">
        <v>0.73195719731824005</v>
      </c>
      <c r="O140">
        <v>1</v>
      </c>
      <c r="P140">
        <v>-1</v>
      </c>
      <c r="Q140">
        <v>1</v>
      </c>
      <c r="R140">
        <v>8.5000000000000006E-2</v>
      </c>
      <c r="BZ140">
        <v>8.1064499999999994E-3</v>
      </c>
      <c r="CA140">
        <v>5.933574422200447E-3</v>
      </c>
      <c r="CB140">
        <v>8.1064499999999994E-3</v>
      </c>
    </row>
    <row r="141" spans="1:99" x14ac:dyDescent="0.25">
      <c r="A141" t="s">
        <v>125</v>
      </c>
      <c r="B141" t="s">
        <v>223</v>
      </c>
      <c r="C141" t="s">
        <v>192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30</v>
      </c>
      <c r="N141">
        <v>3.6597859865912001</v>
      </c>
      <c r="O141">
        <v>5</v>
      </c>
      <c r="P141">
        <v>-1</v>
      </c>
      <c r="Q141">
        <v>5</v>
      </c>
      <c r="R141">
        <v>0.124</v>
      </c>
      <c r="S141">
        <v>0.128</v>
      </c>
      <c r="T141">
        <v>0.115</v>
      </c>
      <c r="U141">
        <v>0.13500000000000001</v>
      </c>
      <c r="V141">
        <v>0.13100000000000001</v>
      </c>
      <c r="BZ141">
        <v>6.3036000719999999E-2</v>
      </c>
      <c r="CA141">
        <v>0.23069827208580879</v>
      </c>
      <c r="CB141">
        <v>5.8724019199999998E-2</v>
      </c>
      <c r="CC141">
        <v>6.4592281599999996E-2</v>
      </c>
      <c r="CD141">
        <v>4.6842950000000001E-2</v>
      </c>
      <c r="CE141">
        <v>7.5779550000000001E-2</v>
      </c>
      <c r="CF141">
        <v>6.9241202799999998E-2</v>
      </c>
    </row>
    <row r="142" spans="1:99" x14ac:dyDescent="0.25">
      <c r="A142" t="s">
        <v>125</v>
      </c>
      <c r="B142" t="s">
        <v>210</v>
      </c>
      <c r="C142" t="s">
        <v>192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1032</v>
      </c>
      <c r="N142">
        <v>125.896637938737</v>
      </c>
      <c r="O142">
        <v>172</v>
      </c>
      <c r="P142">
        <v>-1</v>
      </c>
      <c r="Q142">
        <v>172</v>
      </c>
      <c r="R142">
        <v>0.13500000000000001</v>
      </c>
      <c r="S142">
        <v>0.19400000000000001</v>
      </c>
      <c r="T142">
        <v>0.219</v>
      </c>
      <c r="U142">
        <v>0.17799999999999999</v>
      </c>
      <c r="V142">
        <v>0.20100000000000001</v>
      </c>
      <c r="W142">
        <v>0.17499999999999999</v>
      </c>
      <c r="X142">
        <v>0.158</v>
      </c>
      <c r="Y142">
        <v>0.20899999999999999</v>
      </c>
      <c r="Z142">
        <v>0.20899999999999999</v>
      </c>
      <c r="AA142">
        <v>0.193</v>
      </c>
      <c r="AB142">
        <v>0.128</v>
      </c>
      <c r="AC142">
        <v>0.13600000000000001</v>
      </c>
      <c r="AD142">
        <v>0.2</v>
      </c>
      <c r="AE142">
        <v>0.19600000000000001</v>
      </c>
      <c r="AF142">
        <v>0.13900000000000001</v>
      </c>
      <c r="AG142">
        <v>0.17599999999999999</v>
      </c>
      <c r="AH142">
        <v>0.125</v>
      </c>
      <c r="AI142">
        <v>0.124</v>
      </c>
      <c r="AJ142">
        <v>0.19900000000000001</v>
      </c>
      <c r="AK142">
        <v>0.16800000000000001</v>
      </c>
      <c r="BZ142">
        <v>5.6769245999999995E-2</v>
      </c>
      <c r="CA142">
        <v>7.1470572097170928</v>
      </c>
      <c r="CB142">
        <v>2.4603750000000001E-2</v>
      </c>
      <c r="CC142">
        <v>7.3013839999999997E-2</v>
      </c>
      <c r="CD142">
        <v>0.10503459</v>
      </c>
      <c r="CE142">
        <v>5.639752E-2</v>
      </c>
      <c r="CF142">
        <v>8.1206009999999995E-2</v>
      </c>
      <c r="CG142">
        <v>5.3593750000000002E-2</v>
      </c>
      <c r="CH142">
        <v>3.9443119999999998E-2</v>
      </c>
      <c r="CI142">
        <v>9.1293289999999999E-2</v>
      </c>
      <c r="CJ142">
        <v>9.1293289999999999E-2</v>
      </c>
      <c r="CK142">
        <v>7.1890570000000001E-2</v>
      </c>
      <c r="CL142">
        <v>2.097152E-2</v>
      </c>
      <c r="CM142">
        <v>2.5154559999999999E-2</v>
      </c>
      <c r="CN142">
        <v>0.08</v>
      </c>
      <c r="CO142">
        <v>7.5295360000000006E-2</v>
      </c>
      <c r="CP142">
        <v>2.6856189999999999E-2</v>
      </c>
      <c r="CQ142">
        <v>5.4517759999999998E-2</v>
      </c>
      <c r="CR142">
        <v>1.953125E-2</v>
      </c>
      <c r="CS142">
        <v>1.9066240000000002E-2</v>
      </c>
      <c r="CT142">
        <v>7.8805990000000006E-2</v>
      </c>
      <c r="CU142">
        <v>4.7416319999999998E-2</v>
      </c>
    </row>
    <row r="143" spans="1:99" x14ac:dyDescent="0.25">
      <c r="A143" t="s">
        <v>127</v>
      </c>
      <c r="B143" t="s">
        <v>224</v>
      </c>
      <c r="C143" t="s">
        <v>192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6</v>
      </c>
      <c r="N143">
        <v>3.07422022873661</v>
      </c>
      <c r="O143">
        <v>6</v>
      </c>
      <c r="P143">
        <v>-1</v>
      </c>
      <c r="Q143">
        <v>6</v>
      </c>
      <c r="R143">
        <v>0.24099999999999999</v>
      </c>
      <c r="S143">
        <v>0.23200000000000001</v>
      </c>
      <c r="T143">
        <v>0.20799999999999999</v>
      </c>
      <c r="U143">
        <v>0.158</v>
      </c>
      <c r="V143">
        <v>0.188</v>
      </c>
      <c r="W143">
        <v>0.13300000000000001</v>
      </c>
      <c r="BZ143">
        <v>8.4744138499999996E-2</v>
      </c>
      <c r="CA143">
        <v>0.26052214484355696</v>
      </c>
      <c r="CB143">
        <v>0.1469739705</v>
      </c>
      <c r="CC143">
        <v>0.13111526400000001</v>
      </c>
      <c r="CD143">
        <v>9.4488576000000005E-2</v>
      </c>
      <c r="CE143">
        <v>4.1415276000000001E-2</v>
      </c>
      <c r="CF143">
        <v>6.9769055999999996E-2</v>
      </c>
      <c r="CG143">
        <v>2.47026885E-2</v>
      </c>
    </row>
    <row r="144" spans="1:99" x14ac:dyDescent="0.25">
      <c r="A144" t="s">
        <v>127</v>
      </c>
      <c r="B144" t="s">
        <v>194</v>
      </c>
      <c r="C144" t="s">
        <v>192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2</v>
      </c>
      <c r="N144">
        <v>1.0247400762455401</v>
      </c>
      <c r="O144">
        <v>2</v>
      </c>
      <c r="P144">
        <v>-1</v>
      </c>
      <c r="Q144">
        <v>2</v>
      </c>
      <c r="BF144">
        <v>3.7999999999999999E-2</v>
      </c>
      <c r="BG144">
        <v>0.06</v>
      </c>
      <c r="BZ144">
        <v>2.4378480000000001E-2</v>
      </c>
      <c r="CA144">
        <v>2.4981605453950374E-2</v>
      </c>
      <c r="CB144">
        <v>9.8769600000000006E-3</v>
      </c>
      <c r="CC144">
        <v>3.8879999999999998E-2</v>
      </c>
    </row>
    <row r="145" spans="1:99" x14ac:dyDescent="0.25">
      <c r="A145" t="s">
        <v>127</v>
      </c>
      <c r="B145" t="s">
        <v>195</v>
      </c>
      <c r="C145" t="s">
        <v>192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2</v>
      </c>
      <c r="N145">
        <v>1.0247400762455401</v>
      </c>
      <c r="O145">
        <v>2</v>
      </c>
      <c r="P145">
        <v>-1</v>
      </c>
      <c r="Q145">
        <v>2</v>
      </c>
      <c r="R145">
        <v>9.9000000000000005E-2</v>
      </c>
      <c r="S145">
        <v>0.154</v>
      </c>
      <c r="BF145">
        <v>5.2999999999999999E-2</v>
      </c>
      <c r="BG145">
        <v>5.1999999999999998E-2</v>
      </c>
      <c r="BZ145">
        <v>9.028590999999999E-3</v>
      </c>
      <c r="CA145">
        <v>9.2519590297297956E-3</v>
      </c>
      <c r="CB145">
        <v>7.2303660000000002E-3</v>
      </c>
      <c r="CC145">
        <v>1.0826816E-2</v>
      </c>
    </row>
    <row r="146" spans="1:99" x14ac:dyDescent="0.25">
      <c r="A146" t="s">
        <v>127</v>
      </c>
      <c r="B146" t="s">
        <v>196</v>
      </c>
      <c r="C146" t="s">
        <v>197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649</v>
      </c>
      <c r="N146">
        <v>332.52815474167699</v>
      </c>
      <c r="O146">
        <v>649</v>
      </c>
      <c r="P146">
        <v>-1</v>
      </c>
      <c r="Q146">
        <v>649</v>
      </c>
      <c r="R146">
        <v>0.09</v>
      </c>
      <c r="S146">
        <v>0.113</v>
      </c>
      <c r="T146">
        <v>0.13300000000000001</v>
      </c>
      <c r="U146">
        <v>0.122</v>
      </c>
      <c r="V146">
        <v>0.127</v>
      </c>
      <c r="W146">
        <v>0.122</v>
      </c>
      <c r="X146">
        <v>0.11</v>
      </c>
      <c r="Y146">
        <v>9.9000000000000005E-2</v>
      </c>
      <c r="Z146">
        <v>9.2999999999999999E-2</v>
      </c>
      <c r="AA146">
        <v>0.11600000000000001</v>
      </c>
      <c r="AB146">
        <v>0.109</v>
      </c>
      <c r="AC146">
        <v>0.125</v>
      </c>
      <c r="AD146">
        <v>0.123</v>
      </c>
      <c r="AE146">
        <v>0.128</v>
      </c>
      <c r="AF146">
        <v>9.2999999999999999E-2</v>
      </c>
      <c r="AG146">
        <v>0.109</v>
      </c>
      <c r="AH146">
        <v>9.8000000000000004E-2</v>
      </c>
      <c r="AI146">
        <v>9.7000000000000003E-2</v>
      </c>
      <c r="AJ146">
        <v>0.113</v>
      </c>
      <c r="AK146">
        <v>0.11700000000000001</v>
      </c>
      <c r="BZ146">
        <v>3.7523941699983451E-2</v>
      </c>
      <c r="CA146">
        <v>12.477767092129763</v>
      </c>
      <c r="CB146">
        <v>2.1795114043230611E-2</v>
      </c>
      <c r="CC146">
        <v>3.7632700791829184E-2</v>
      </c>
      <c r="CD146">
        <v>5.564434844158727E-2</v>
      </c>
      <c r="CE146">
        <v>4.5231471504872452E-2</v>
      </c>
      <c r="CF146">
        <v>4.9808797095077323E-2</v>
      </c>
      <c r="CG146">
        <v>4.5231471504872452E-2</v>
      </c>
      <c r="CH146">
        <v>3.5279268165910829E-2</v>
      </c>
      <c r="CI146">
        <v>2.7396910450297313E-2</v>
      </c>
      <c r="CJ146">
        <v>2.3579587303706791E-2</v>
      </c>
      <c r="CK146">
        <v>4.0075255261918477E-2</v>
      </c>
      <c r="CL146">
        <v>3.4514431011782545E-2</v>
      </c>
      <c r="CM146">
        <v>4.7946968582758688E-2</v>
      </c>
      <c r="CN146">
        <v>4.6126381923769305E-2</v>
      </c>
      <c r="CO146">
        <v>5.0755259236681539E-2</v>
      </c>
      <c r="CP146">
        <v>2.3579587303706791E-2</v>
      </c>
      <c r="CQ146">
        <v>3.4514431011782545E-2</v>
      </c>
      <c r="CR146">
        <v>2.6737432723878494E-2</v>
      </c>
      <c r="CS146">
        <v>2.6087309181848019E-2</v>
      </c>
      <c r="CT146">
        <v>3.7632700791829184E-2</v>
      </c>
      <c r="CU146">
        <v>4.090940766832931E-2</v>
      </c>
    </row>
    <row r="147" spans="1:99" x14ac:dyDescent="0.25">
      <c r="A147" t="s">
        <v>127</v>
      </c>
      <c r="B147" t="s">
        <v>173</v>
      </c>
      <c r="C147" t="s">
        <v>168</v>
      </c>
      <c r="D147">
        <v>-1</v>
      </c>
      <c r="E147">
        <v>76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950</v>
      </c>
      <c r="N147">
        <v>486.75153621662997</v>
      </c>
      <c r="O147">
        <v>-1</v>
      </c>
      <c r="P147">
        <v>-1</v>
      </c>
      <c r="Q147">
        <v>-1</v>
      </c>
      <c r="R147">
        <v>0.66200000000000003</v>
      </c>
      <c r="S147">
        <v>0.71299999999999997</v>
      </c>
      <c r="T147">
        <v>0.65800000000000003</v>
      </c>
      <c r="U147">
        <v>0.66200000000000003</v>
      </c>
      <c r="V147">
        <v>0.77700000000000002</v>
      </c>
      <c r="W147">
        <v>0.76300000000000001</v>
      </c>
      <c r="X147">
        <v>0.64</v>
      </c>
      <c r="Y147">
        <v>0.82499999999999996</v>
      </c>
      <c r="Z147">
        <v>0.66600000000000004</v>
      </c>
      <c r="AA147">
        <v>0.56000000000000005</v>
      </c>
      <c r="AB147">
        <v>0.55800000000000005</v>
      </c>
      <c r="AC147">
        <v>0.78700000000000003</v>
      </c>
      <c r="AD147">
        <v>0.69799999999999995</v>
      </c>
      <c r="AE147">
        <v>0.56699999999999995</v>
      </c>
      <c r="AF147">
        <v>0.73799999999999999</v>
      </c>
      <c r="AG147">
        <v>0.86299999999999999</v>
      </c>
      <c r="AH147">
        <v>0.82099999999999995</v>
      </c>
      <c r="AI147">
        <v>0.77700000000000002</v>
      </c>
      <c r="AJ147">
        <v>0.79</v>
      </c>
      <c r="AK147">
        <v>0.80400000000000005</v>
      </c>
      <c r="AL147" t="s">
        <v>169</v>
      </c>
      <c r="AM147" t="s">
        <v>169</v>
      </c>
      <c r="AN147" t="s">
        <v>169</v>
      </c>
      <c r="AO147" t="s">
        <v>169</v>
      </c>
      <c r="AP147" t="s">
        <v>169</v>
      </c>
      <c r="AQ147" t="s">
        <v>169</v>
      </c>
      <c r="AR147" t="s">
        <v>169</v>
      </c>
      <c r="AS147" t="s">
        <v>169</v>
      </c>
      <c r="AT147" t="s">
        <v>169</v>
      </c>
      <c r="AU147" t="s">
        <v>169</v>
      </c>
      <c r="AV147" t="s">
        <v>169</v>
      </c>
      <c r="AW147" t="s">
        <v>169</v>
      </c>
      <c r="AX147" t="s">
        <v>169</v>
      </c>
      <c r="AY147" t="s">
        <v>169</v>
      </c>
      <c r="AZ147" t="s">
        <v>169</v>
      </c>
      <c r="BA147" t="s">
        <v>169</v>
      </c>
      <c r="BB147" t="s">
        <v>169</v>
      </c>
      <c r="BC147" t="s">
        <v>169</v>
      </c>
      <c r="BD147" t="s">
        <v>169</v>
      </c>
      <c r="BE147" t="s">
        <v>169</v>
      </c>
      <c r="BZ147">
        <v>1.527221326682247</v>
      </c>
      <c r="CA147">
        <v>743.37732690538337</v>
      </c>
      <c r="CB147">
        <v>1.0226689213157001</v>
      </c>
      <c r="CC147">
        <v>1.3730750429535801</v>
      </c>
      <c r="CD147">
        <v>0.99835647187642296</v>
      </c>
      <c r="CE147">
        <v>1.0226689213157001</v>
      </c>
      <c r="CF147">
        <v>1.93152478183761</v>
      </c>
      <c r="CG147">
        <v>1.7970131520014301</v>
      </c>
      <c r="CH147">
        <v>0.89425903501841097</v>
      </c>
      <c r="CI147">
        <v>2.4504791728531501</v>
      </c>
      <c r="CJ147">
        <v>1.0474216097848601</v>
      </c>
      <c r="CK147">
        <v>0.52630234754966199</v>
      </c>
      <c r="CL147">
        <v>0.51887961577876396</v>
      </c>
      <c r="CM147">
        <v>2.03211615028916</v>
      </c>
      <c r="CN147">
        <v>1.2619288457620901</v>
      </c>
      <c r="CO147">
        <v>0.55290890390602798</v>
      </c>
      <c r="CP147">
        <v>1.57439099255107</v>
      </c>
      <c r="CQ147">
        <v>2.9301624525319099</v>
      </c>
      <c r="CR147">
        <v>2.4036496913128098</v>
      </c>
      <c r="CS147">
        <v>1.93152478183761</v>
      </c>
      <c r="CT147">
        <v>2.0630435335392199</v>
      </c>
      <c r="CU147">
        <v>2.2120521096297501</v>
      </c>
    </row>
    <row r="148" spans="1:99" x14ac:dyDescent="0.25">
      <c r="A148" t="s">
        <v>127</v>
      </c>
      <c r="B148" t="s">
        <v>167</v>
      </c>
      <c r="C148" t="s">
        <v>168</v>
      </c>
      <c r="D148">
        <v>-1</v>
      </c>
      <c r="E148">
        <v>2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25</v>
      </c>
      <c r="N148">
        <v>12.809250953069199</v>
      </c>
      <c r="O148">
        <v>-1</v>
      </c>
      <c r="P148">
        <v>-1</v>
      </c>
      <c r="Q148">
        <v>-1</v>
      </c>
      <c r="R148">
        <v>0.46400000000000002</v>
      </c>
      <c r="S148">
        <v>0.81599999999999995</v>
      </c>
      <c r="AL148" t="s">
        <v>169</v>
      </c>
      <c r="AM148" t="s">
        <v>169</v>
      </c>
      <c r="BZ148">
        <v>1.7835913676832229</v>
      </c>
      <c r="CA148">
        <v>22.84646942638232</v>
      </c>
      <c r="CB148">
        <v>0.671134857517246</v>
      </c>
      <c r="CC148">
        <v>2.8960478778491998</v>
      </c>
    </row>
    <row r="149" spans="1:99" x14ac:dyDescent="0.25">
      <c r="A149" t="s">
        <v>127</v>
      </c>
      <c r="B149" t="s">
        <v>166</v>
      </c>
      <c r="C149" t="s">
        <v>154</v>
      </c>
      <c r="D149">
        <v>-1</v>
      </c>
      <c r="E149">
        <v>35</v>
      </c>
      <c r="F149">
        <v>62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1212.5</v>
      </c>
      <c r="N149">
        <v>621.24867122385604</v>
      </c>
      <c r="O149">
        <v>-1</v>
      </c>
      <c r="P149">
        <v>-1</v>
      </c>
      <c r="Q149">
        <v>-1</v>
      </c>
      <c r="R149">
        <v>0.752</v>
      </c>
      <c r="S149">
        <v>0.95699999999999996</v>
      </c>
      <c r="T149">
        <v>0.78700000000000003</v>
      </c>
      <c r="U149">
        <v>0.94299999999999995</v>
      </c>
      <c r="V149">
        <v>0.95299999999999996</v>
      </c>
      <c r="W149">
        <v>0.76400000000000001</v>
      </c>
      <c r="X149">
        <v>0.83399999999999996</v>
      </c>
      <c r="Y149">
        <v>0.79</v>
      </c>
      <c r="Z149">
        <v>0.747</v>
      </c>
      <c r="AA149">
        <v>0.97099999999999997</v>
      </c>
      <c r="AB149">
        <v>0.83899999999999997</v>
      </c>
      <c r="AC149">
        <v>0.77600000000000002</v>
      </c>
      <c r="AD149">
        <v>0.79700000000000004</v>
      </c>
      <c r="AE149">
        <v>0.90400000000000003</v>
      </c>
      <c r="AF149">
        <v>0.997</v>
      </c>
      <c r="AG149">
        <v>0.77</v>
      </c>
      <c r="AH149">
        <v>0.76300000000000001</v>
      </c>
      <c r="AI149">
        <v>0.77200000000000002</v>
      </c>
      <c r="AJ149">
        <v>0.91900000000000004</v>
      </c>
      <c r="AK149">
        <v>0.96099999999999997</v>
      </c>
      <c r="AL149" t="s">
        <v>156</v>
      </c>
      <c r="AM149" t="s">
        <v>155</v>
      </c>
      <c r="AN149" t="s">
        <v>156</v>
      </c>
      <c r="AO149" t="s">
        <v>155</v>
      </c>
      <c r="AP149" t="s">
        <v>155</v>
      </c>
      <c r="AQ149" t="s">
        <v>156</v>
      </c>
      <c r="AR149" t="s">
        <v>156</v>
      </c>
      <c r="AS149" t="s">
        <v>156</v>
      </c>
      <c r="AT149" t="s">
        <v>156</v>
      </c>
      <c r="AU149" t="s">
        <v>155</v>
      </c>
      <c r="AV149" t="s">
        <v>156</v>
      </c>
      <c r="AW149" t="s">
        <v>156</v>
      </c>
      <c r="AX149" t="s">
        <v>156</v>
      </c>
      <c r="AY149" t="s">
        <v>155</v>
      </c>
      <c r="AZ149" t="s">
        <v>155</v>
      </c>
      <c r="BA149" t="s">
        <v>156</v>
      </c>
      <c r="BB149" t="s">
        <v>156</v>
      </c>
      <c r="BC149" t="s">
        <v>156</v>
      </c>
      <c r="BD149" t="s">
        <v>155</v>
      </c>
      <c r="BE149" t="s">
        <v>155</v>
      </c>
      <c r="BZ149">
        <v>2.9304165944441523</v>
      </c>
      <c r="CA149">
        <v>1820.517415430767</v>
      </c>
      <c r="CB149">
        <v>1.6963429847904099</v>
      </c>
      <c r="CC149">
        <v>4.41722206537513</v>
      </c>
      <c r="CD149">
        <v>2.03211615028916</v>
      </c>
      <c r="CE149">
        <v>4.1662013962107798</v>
      </c>
      <c r="CF149">
        <v>4.3443784975512196</v>
      </c>
      <c r="CG149">
        <v>1.80638148633513</v>
      </c>
      <c r="CH149">
        <v>2.55833882096419</v>
      </c>
      <c r="CI149">
        <v>2.0630435335392199</v>
      </c>
      <c r="CJ149">
        <v>1.6520060336426901</v>
      </c>
      <c r="CK149">
        <v>4.6793893542606204</v>
      </c>
      <c r="CL149">
        <v>2.61977398062748</v>
      </c>
      <c r="CM149">
        <v>1.92167470408387</v>
      </c>
      <c r="CN149">
        <v>2.1365761486443402</v>
      </c>
      <c r="CO149">
        <v>3.5230394713450499</v>
      </c>
      <c r="CP149">
        <v>5.1969509569900803</v>
      </c>
      <c r="CQ149">
        <v>1.86336107463689</v>
      </c>
      <c r="CR149">
        <v>1.7970131520014301</v>
      </c>
      <c r="CS149">
        <v>1.8826497124193</v>
      </c>
      <c r="CT149">
        <v>3.7608968323137502</v>
      </c>
      <c r="CU149">
        <v>4.4909755328623104</v>
      </c>
    </row>
    <row r="150" spans="1:99" x14ac:dyDescent="0.25">
      <c r="A150" t="s">
        <v>127</v>
      </c>
      <c r="B150" t="s">
        <v>198</v>
      </c>
      <c r="C150" t="s">
        <v>199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42</v>
      </c>
      <c r="N150">
        <v>21.519541601156298</v>
      </c>
      <c r="O150">
        <v>42</v>
      </c>
      <c r="P150">
        <v>-1</v>
      </c>
      <c r="Q150">
        <v>42</v>
      </c>
      <c r="R150">
        <v>7.8E-2</v>
      </c>
      <c r="S150">
        <v>7.3999999999999996E-2</v>
      </c>
      <c r="T150">
        <v>7.1999999999999995E-2</v>
      </c>
      <c r="U150">
        <v>7.6999999999999999E-2</v>
      </c>
      <c r="V150">
        <v>0.126</v>
      </c>
      <c r="W150">
        <v>7.0000000000000007E-2</v>
      </c>
      <c r="X150">
        <v>7.9000000000000001E-2</v>
      </c>
      <c r="Y150">
        <v>7.3999999999999996E-2</v>
      </c>
      <c r="Z150">
        <v>8.3000000000000004E-2</v>
      </c>
      <c r="AA150">
        <v>0.11899999999999999</v>
      </c>
      <c r="AB150">
        <v>0.14399999999999999</v>
      </c>
      <c r="AC150">
        <v>7.6999999999999999E-2</v>
      </c>
      <c r="AD150">
        <v>6.8000000000000005E-2</v>
      </c>
      <c r="AE150">
        <v>6.5000000000000002E-2</v>
      </c>
      <c r="AF150">
        <v>0.10199999999999999</v>
      </c>
      <c r="AG150">
        <v>0.114</v>
      </c>
      <c r="AH150">
        <v>7.5999999999999998E-2</v>
      </c>
      <c r="AI150">
        <v>8.1000000000000003E-2</v>
      </c>
      <c r="AJ150">
        <v>6.9000000000000006E-2</v>
      </c>
      <c r="AK150">
        <v>6.9000000000000006E-2</v>
      </c>
      <c r="BZ150">
        <v>0.12242595381548298</v>
      </c>
      <c r="CA150">
        <v>2.6345504061935254</v>
      </c>
      <c r="CB150">
        <v>9.7893076299818055E-2</v>
      </c>
      <c r="CC150">
        <v>9.1274899353531794E-2</v>
      </c>
      <c r="CD150">
        <v>8.8135537184134569E-2</v>
      </c>
      <c r="CE150">
        <v>9.619485028214779E-2</v>
      </c>
      <c r="CF150">
        <v>0.2267562891964103</v>
      </c>
      <c r="CG150">
        <v>8.5104152069770483E-2</v>
      </c>
      <c r="CH150">
        <v>9.962128283722127E-2</v>
      </c>
      <c r="CI150">
        <v>9.1274899353531794E-2</v>
      </c>
      <c r="CJ150">
        <v>0.10684464086996007</v>
      </c>
      <c r="CK150">
        <v>0.20061262803513641</v>
      </c>
      <c r="CL150">
        <v>0.31071491658943862</v>
      </c>
      <c r="CM150">
        <v>9.619485028214779E-2</v>
      </c>
      <c r="CN150">
        <v>8.2177030184577976E-2</v>
      </c>
      <c r="CO150">
        <v>7.7974030182169807E-2</v>
      </c>
      <c r="CP150">
        <v>0.14898949868956468</v>
      </c>
      <c r="CQ150">
        <v>0.18380507569726992</v>
      </c>
      <c r="CR150">
        <v>9.4526084689219525E-2</v>
      </c>
      <c r="CS150">
        <v>0.10316976392212798</v>
      </c>
      <c r="CT150">
        <v>8.3627785295740331E-2</v>
      </c>
      <c r="CU150">
        <v>8.3627785295740331E-2</v>
      </c>
    </row>
    <row r="151" spans="1:99" x14ac:dyDescent="0.25">
      <c r="A151" t="s">
        <v>127</v>
      </c>
      <c r="B151" t="s">
        <v>225</v>
      </c>
      <c r="C151" t="s">
        <v>192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15</v>
      </c>
      <c r="N151">
        <v>7.68555057184152</v>
      </c>
      <c r="O151">
        <v>15</v>
      </c>
      <c r="P151">
        <v>-1</v>
      </c>
      <c r="Q151">
        <v>15</v>
      </c>
      <c r="R151">
        <v>0.14599999999999999</v>
      </c>
      <c r="S151">
        <v>0.246</v>
      </c>
      <c r="T151">
        <v>0.22</v>
      </c>
      <c r="U151">
        <v>0.24199999999999999</v>
      </c>
      <c r="V151">
        <v>0.20499999999999999</v>
      </c>
      <c r="W151">
        <v>0.23</v>
      </c>
      <c r="X151">
        <v>0.22</v>
      </c>
      <c r="Y151">
        <v>0.26300000000000001</v>
      </c>
      <c r="Z151">
        <v>0.184</v>
      </c>
      <c r="AA151">
        <v>0.27800000000000002</v>
      </c>
      <c r="AB151">
        <v>0.27100000000000002</v>
      </c>
      <c r="AC151">
        <v>0.20100000000000001</v>
      </c>
      <c r="AD151">
        <v>0.26200000000000001</v>
      </c>
      <c r="AE151">
        <v>0.23200000000000001</v>
      </c>
      <c r="AF151">
        <v>0.27500000000000002</v>
      </c>
      <c r="BZ151">
        <v>0.13961322970000001</v>
      </c>
      <c r="CA151">
        <v>1.0730045373574766</v>
      </c>
      <c r="CB151">
        <v>3.2677428000000001E-2</v>
      </c>
      <c r="CC151">
        <v>0.15631282799999999</v>
      </c>
      <c r="CD151">
        <v>0.111804</v>
      </c>
      <c r="CE151">
        <v>0.14881112399999999</v>
      </c>
      <c r="CF151">
        <v>9.0458812499999999E-2</v>
      </c>
      <c r="CG151">
        <v>0.12775349999999999</v>
      </c>
      <c r="CH151">
        <v>0.111804</v>
      </c>
      <c r="CI151">
        <v>0.19101019350000001</v>
      </c>
      <c r="CJ151">
        <v>6.5409791999999994E-2</v>
      </c>
      <c r="CK151">
        <v>0.22559199599999999</v>
      </c>
      <c r="CL151">
        <v>0.20897636550000001</v>
      </c>
      <c r="CM151">
        <v>8.5266310499999998E-2</v>
      </c>
      <c r="CN151">
        <v>0.188839644</v>
      </c>
      <c r="CO151">
        <v>0.13111526400000001</v>
      </c>
      <c r="CP151">
        <v>0.2183671875</v>
      </c>
    </row>
    <row r="152" spans="1:99" x14ac:dyDescent="0.25">
      <c r="A152" t="s">
        <v>127</v>
      </c>
      <c r="B152" t="s">
        <v>184</v>
      </c>
      <c r="C152" t="s">
        <v>154</v>
      </c>
      <c r="D152">
        <v>-1</v>
      </c>
      <c r="E152">
        <v>2</v>
      </c>
      <c r="F152">
        <v>0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25</v>
      </c>
      <c r="N152">
        <v>12.809250953069199</v>
      </c>
      <c r="O152">
        <v>-1</v>
      </c>
      <c r="P152">
        <v>-1</v>
      </c>
      <c r="Q152">
        <v>-1</v>
      </c>
      <c r="R152">
        <v>0.628</v>
      </c>
      <c r="S152">
        <v>0.57899999999999996</v>
      </c>
      <c r="AL152" t="s">
        <v>155</v>
      </c>
      <c r="AM152" t="s">
        <v>155</v>
      </c>
      <c r="BZ152">
        <v>1.3303122499864499</v>
      </c>
      <c r="CA152">
        <v>17.040303456018563</v>
      </c>
      <c r="CB152">
        <v>1.4697507940894901</v>
      </c>
      <c r="CC152">
        <v>1.19087370588341</v>
      </c>
    </row>
    <row r="153" spans="1:99" x14ac:dyDescent="0.25">
      <c r="A153" t="s">
        <v>127</v>
      </c>
      <c r="B153" t="s">
        <v>201</v>
      </c>
      <c r="C153" t="s">
        <v>192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2</v>
      </c>
      <c r="N153">
        <v>1.0247400762455401</v>
      </c>
      <c r="O153">
        <v>2</v>
      </c>
      <c r="P153">
        <v>-1</v>
      </c>
      <c r="Q153">
        <v>2</v>
      </c>
      <c r="R153">
        <v>0.115</v>
      </c>
      <c r="S153">
        <v>0.13</v>
      </c>
      <c r="BZ153">
        <v>5.6604646875000001E-3</v>
      </c>
      <c r="CA153">
        <v>5.8005050154539377E-3</v>
      </c>
      <c r="CB153">
        <v>4.6310643749999996E-3</v>
      </c>
      <c r="CC153">
        <v>6.6898649999999997E-3</v>
      </c>
    </row>
    <row r="154" spans="1:99" x14ac:dyDescent="0.25">
      <c r="A154" t="s">
        <v>127</v>
      </c>
      <c r="B154" t="s">
        <v>204</v>
      </c>
      <c r="C154" t="s">
        <v>192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1</v>
      </c>
      <c r="N154">
        <v>0.51237003812276805</v>
      </c>
      <c r="O154">
        <v>1</v>
      </c>
      <c r="P154">
        <v>-1</v>
      </c>
      <c r="Q154">
        <v>1</v>
      </c>
      <c r="R154">
        <v>0.11700000000000001</v>
      </c>
      <c r="BZ154">
        <v>3.203226E-3</v>
      </c>
      <c r="CA154">
        <v>1.6412370277358419E-3</v>
      </c>
      <c r="CB154">
        <v>3.203226E-3</v>
      </c>
    </row>
    <row r="155" spans="1:99" x14ac:dyDescent="0.25">
      <c r="A155" t="s">
        <v>127</v>
      </c>
      <c r="B155" t="s">
        <v>216</v>
      </c>
      <c r="C155" t="s">
        <v>192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1</v>
      </c>
      <c r="N155">
        <v>0.51237003812276805</v>
      </c>
      <c r="O155">
        <v>1</v>
      </c>
      <c r="P155">
        <v>-1</v>
      </c>
      <c r="Q155">
        <v>1</v>
      </c>
      <c r="R155">
        <v>0.13</v>
      </c>
      <c r="BZ155">
        <v>5.0750700000000003E-2</v>
      </c>
      <c r="CA155">
        <v>2.6003138093757167E-2</v>
      </c>
      <c r="CB155">
        <v>5.0750700000000003E-2</v>
      </c>
    </row>
    <row r="156" spans="1:99" x14ac:dyDescent="0.25">
      <c r="A156" t="s">
        <v>127</v>
      </c>
      <c r="B156" t="s">
        <v>226</v>
      </c>
      <c r="C156" t="s">
        <v>192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3</v>
      </c>
      <c r="N156">
        <v>1.5371101143682999</v>
      </c>
      <c r="O156">
        <v>3</v>
      </c>
      <c r="P156">
        <v>-1</v>
      </c>
      <c r="Q156">
        <v>3</v>
      </c>
      <c r="R156">
        <v>0.10299999999999999</v>
      </c>
      <c r="S156">
        <v>0.11899999999999999</v>
      </c>
      <c r="T156">
        <v>0.123</v>
      </c>
      <c r="BZ156">
        <v>3.0925020000000004E-3</v>
      </c>
      <c r="CA156">
        <v>4.7535161029041966E-3</v>
      </c>
      <c r="CB156">
        <v>2.1854539999999999E-3</v>
      </c>
      <c r="CC156">
        <v>3.3703180000000002E-3</v>
      </c>
      <c r="CD156">
        <v>3.721734E-3</v>
      </c>
    </row>
    <row r="157" spans="1:99" x14ac:dyDescent="0.25">
      <c r="A157" t="s">
        <v>127</v>
      </c>
      <c r="B157" t="s">
        <v>181</v>
      </c>
      <c r="C157" t="s">
        <v>154</v>
      </c>
      <c r="D157">
        <v>-1</v>
      </c>
      <c r="E157">
        <v>4</v>
      </c>
      <c r="F157">
        <v>3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87.5</v>
      </c>
      <c r="N157">
        <v>44.832378335742199</v>
      </c>
      <c r="O157">
        <v>-1</v>
      </c>
      <c r="P157">
        <v>-1</v>
      </c>
      <c r="Q157">
        <v>-1</v>
      </c>
      <c r="R157">
        <v>1.36</v>
      </c>
      <c r="S157">
        <v>1.2769999999999999</v>
      </c>
      <c r="T157">
        <v>1.232</v>
      </c>
      <c r="U157">
        <v>1.4139999999999999</v>
      </c>
      <c r="V157">
        <v>1.2709999999999999</v>
      </c>
      <c r="W157">
        <v>1.3720000000000001</v>
      </c>
      <c r="X157">
        <v>1.4219999999999999</v>
      </c>
      <c r="AL157" t="s">
        <v>155</v>
      </c>
      <c r="AM157" t="s">
        <v>156</v>
      </c>
      <c r="AN157" t="s">
        <v>156</v>
      </c>
      <c r="AO157" t="s">
        <v>155</v>
      </c>
      <c r="AP157" t="s">
        <v>156</v>
      </c>
      <c r="AQ157" t="s">
        <v>155</v>
      </c>
      <c r="AR157" t="s">
        <v>155</v>
      </c>
      <c r="BZ157">
        <v>10.430405249078689</v>
      </c>
      <c r="CA157">
        <v>467.61987432180712</v>
      </c>
      <c r="CB157">
        <v>10.8741169355306</v>
      </c>
      <c r="CC157">
        <v>9.2376743898150604</v>
      </c>
      <c r="CD157">
        <v>8.4180201214849397</v>
      </c>
      <c r="CE157">
        <v>12.0279661368057</v>
      </c>
      <c r="CF157">
        <v>9.1256792934622197</v>
      </c>
      <c r="CG157">
        <v>11.1243687058047</v>
      </c>
      <c r="CH157">
        <v>12.205011160647601</v>
      </c>
    </row>
    <row r="158" spans="1:99" x14ac:dyDescent="0.25">
      <c r="A158" t="s">
        <v>127</v>
      </c>
      <c r="B158" t="s">
        <v>186</v>
      </c>
      <c r="C158" t="s">
        <v>154</v>
      </c>
      <c r="D158">
        <v>-1</v>
      </c>
      <c r="E158">
        <v>2</v>
      </c>
      <c r="F158">
        <v>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37.5</v>
      </c>
      <c r="N158">
        <v>19.2138764296038</v>
      </c>
      <c r="O158">
        <v>-1</v>
      </c>
      <c r="P158">
        <v>-1</v>
      </c>
      <c r="Q158">
        <v>-1</v>
      </c>
      <c r="R158">
        <v>2.6070000000000002</v>
      </c>
      <c r="S158">
        <v>2.4350000000000001</v>
      </c>
      <c r="T158">
        <v>2.4319999999999999</v>
      </c>
      <c r="AL158" t="s">
        <v>155</v>
      </c>
      <c r="AM158" t="s">
        <v>156</v>
      </c>
      <c r="AN158" t="s">
        <v>155</v>
      </c>
      <c r="BZ158">
        <v>52.270176194337431</v>
      </c>
      <c r="CA158">
        <v>1004.3127063516176</v>
      </c>
      <c r="CB158">
        <v>58.658843586676497</v>
      </c>
      <c r="CC158">
        <v>49.154190355276498</v>
      </c>
      <c r="CD158">
        <v>48.997494641059298</v>
      </c>
    </row>
    <row r="159" spans="1:99" x14ac:dyDescent="0.25">
      <c r="A159" t="s">
        <v>127</v>
      </c>
      <c r="B159" t="s">
        <v>188</v>
      </c>
      <c r="C159" t="s">
        <v>189</v>
      </c>
      <c r="D159">
        <v>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1</v>
      </c>
      <c r="N159">
        <v>0.51237003812276805</v>
      </c>
      <c r="O159">
        <v>-1</v>
      </c>
      <c r="P159">
        <v>-1</v>
      </c>
      <c r="Q159">
        <v>-1</v>
      </c>
      <c r="R159">
        <v>4.7480000000000002</v>
      </c>
      <c r="AL159" t="s">
        <v>159</v>
      </c>
      <c r="BZ159">
        <v>245.42903854440499</v>
      </c>
      <c r="CA159">
        <v>125.75048583543109</v>
      </c>
      <c r="CB159">
        <v>245.42903854440499</v>
      </c>
    </row>
    <row r="160" spans="1:99" x14ac:dyDescent="0.25">
      <c r="A160" t="s">
        <v>127</v>
      </c>
      <c r="B160" t="s">
        <v>227</v>
      </c>
      <c r="C160" t="s">
        <v>192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4</v>
      </c>
      <c r="N160">
        <v>2.04948015249107</v>
      </c>
      <c r="O160">
        <v>4</v>
      </c>
      <c r="P160">
        <v>-1</v>
      </c>
      <c r="Q160">
        <v>4</v>
      </c>
      <c r="R160">
        <v>0.185</v>
      </c>
      <c r="S160">
        <v>0.13400000000000001</v>
      </c>
      <c r="T160">
        <v>0.14299999999999999</v>
      </c>
      <c r="U160">
        <v>0.14799999999999999</v>
      </c>
      <c r="BZ160">
        <v>1.3040761999999999E-2</v>
      </c>
      <c r="CA160">
        <v>2.672678289235975E-2</v>
      </c>
      <c r="CB160">
        <v>2.2160687500000002E-2</v>
      </c>
      <c r="CC160">
        <v>8.4213640000000006E-3</v>
      </c>
      <c r="CD160">
        <v>1.02347245E-2</v>
      </c>
      <c r="CE160">
        <v>1.1346271999999999E-2</v>
      </c>
    </row>
    <row r="161" spans="1:99" x14ac:dyDescent="0.25">
      <c r="A161" t="s">
        <v>127</v>
      </c>
      <c r="B161" t="s">
        <v>228</v>
      </c>
      <c r="C161" t="s">
        <v>192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1</v>
      </c>
      <c r="N161">
        <v>0.51237003812276805</v>
      </c>
      <c r="O161">
        <v>1</v>
      </c>
      <c r="P161">
        <v>-1</v>
      </c>
      <c r="Q161">
        <v>1</v>
      </c>
      <c r="R161">
        <v>0.28899999999999998</v>
      </c>
      <c r="BZ161">
        <v>8.4481491500000006E-2</v>
      </c>
      <c r="CA161">
        <v>4.3285785020523306E-2</v>
      </c>
      <c r="CB161">
        <v>8.4481491500000006E-2</v>
      </c>
    </row>
    <row r="162" spans="1:99" x14ac:dyDescent="0.25">
      <c r="A162" t="s">
        <v>127</v>
      </c>
      <c r="B162" t="s">
        <v>153</v>
      </c>
      <c r="C162" t="s">
        <v>154</v>
      </c>
      <c r="D162">
        <v>-1</v>
      </c>
      <c r="E162">
        <v>2</v>
      </c>
      <c r="F162">
        <v>0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25</v>
      </c>
      <c r="N162">
        <v>12.809250953069199</v>
      </c>
      <c r="O162">
        <v>-1</v>
      </c>
      <c r="P162">
        <v>-1</v>
      </c>
      <c r="Q162">
        <v>-1</v>
      </c>
      <c r="R162">
        <v>1.3140000000000001</v>
      </c>
      <c r="S162">
        <v>1.347</v>
      </c>
      <c r="AL162" t="s">
        <v>155</v>
      </c>
      <c r="AM162" t="s">
        <v>155</v>
      </c>
      <c r="BZ162">
        <v>10.276950572686754</v>
      </c>
      <c r="CA162">
        <v>131.64003891783287</v>
      </c>
      <c r="CB162">
        <v>9.9469565793647092</v>
      </c>
      <c r="CC162">
        <v>10.606944566008799</v>
      </c>
    </row>
    <row r="163" spans="1:99" x14ac:dyDescent="0.25">
      <c r="A163" t="s">
        <v>127</v>
      </c>
      <c r="B163" t="s">
        <v>210</v>
      </c>
      <c r="C163" t="s">
        <v>192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16</v>
      </c>
      <c r="N163">
        <v>8.1979206099642905</v>
      </c>
      <c r="O163">
        <v>16</v>
      </c>
      <c r="P163">
        <v>-1</v>
      </c>
      <c r="Q163">
        <v>16</v>
      </c>
      <c r="R163">
        <v>0.17399999999999999</v>
      </c>
      <c r="S163">
        <v>0.107</v>
      </c>
      <c r="T163">
        <v>0.153</v>
      </c>
      <c r="U163">
        <v>0.161</v>
      </c>
      <c r="V163">
        <v>0.13400000000000001</v>
      </c>
      <c r="W163">
        <v>0.2</v>
      </c>
      <c r="X163">
        <v>0.106</v>
      </c>
      <c r="Y163">
        <v>0.10299999999999999</v>
      </c>
      <c r="Z163">
        <v>0.152</v>
      </c>
      <c r="AA163">
        <v>0.154</v>
      </c>
      <c r="AB163">
        <v>0.11700000000000001</v>
      </c>
      <c r="AC163">
        <v>0.13600000000000001</v>
      </c>
      <c r="AD163">
        <v>0.121</v>
      </c>
      <c r="AE163">
        <v>9.1999999999999998E-2</v>
      </c>
      <c r="AF163">
        <v>0.14499999999999999</v>
      </c>
      <c r="AG163">
        <v>0.151</v>
      </c>
      <c r="BZ163">
        <v>2.9537961249999998E-2</v>
      </c>
      <c r="CA163">
        <v>0.24214986130770155</v>
      </c>
      <c r="CB163">
        <v>5.2680240000000003E-2</v>
      </c>
      <c r="CC163">
        <v>1.225043E-2</v>
      </c>
      <c r="CD163">
        <v>3.5815769999999997E-2</v>
      </c>
      <c r="CE163">
        <v>4.1732810000000002E-2</v>
      </c>
      <c r="CF163">
        <v>2.4061039999999999E-2</v>
      </c>
      <c r="CG163">
        <v>0.08</v>
      </c>
      <c r="CH163">
        <v>1.1910159999999999E-2</v>
      </c>
      <c r="CI163">
        <v>1.0927269999999999E-2</v>
      </c>
      <c r="CJ163">
        <v>3.5118080000000003E-2</v>
      </c>
      <c r="CK163">
        <v>3.6522640000000002E-2</v>
      </c>
      <c r="CL163">
        <v>1.601613E-2</v>
      </c>
      <c r="CM163">
        <v>2.5154559999999999E-2</v>
      </c>
      <c r="CN163">
        <v>1.771561E-2</v>
      </c>
      <c r="CO163">
        <v>7.7868800000000004E-3</v>
      </c>
      <c r="CP163">
        <v>3.0486249999999999E-2</v>
      </c>
      <c r="CQ163">
        <v>3.4429510000000003E-2</v>
      </c>
    </row>
    <row r="164" spans="1:99" x14ac:dyDescent="0.25">
      <c r="A164" t="s">
        <v>127</v>
      </c>
      <c r="B164" t="s">
        <v>229</v>
      </c>
      <c r="C164" t="s">
        <v>192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1</v>
      </c>
      <c r="N164">
        <v>0.51237003812276805</v>
      </c>
      <c r="O164">
        <v>1</v>
      </c>
      <c r="P164">
        <v>-1</v>
      </c>
      <c r="Q164">
        <v>1</v>
      </c>
      <c r="R164">
        <v>0.19800000000000001</v>
      </c>
      <c r="BZ164">
        <v>2.7168372E-2</v>
      </c>
      <c r="CA164">
        <v>1.3920259797373543E-2</v>
      </c>
      <c r="CB164">
        <v>2.7168372E-2</v>
      </c>
    </row>
    <row r="165" spans="1:99" x14ac:dyDescent="0.25">
      <c r="A165" t="s">
        <v>129</v>
      </c>
      <c r="B165" t="s">
        <v>172</v>
      </c>
      <c r="C165" t="s">
        <v>158</v>
      </c>
      <c r="D165">
        <v>-1</v>
      </c>
      <c r="E165">
        <v>6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57.6</v>
      </c>
      <c r="N165">
        <v>37.561381703836403</v>
      </c>
      <c r="O165">
        <v>-1</v>
      </c>
      <c r="P165">
        <v>-1</v>
      </c>
      <c r="Q165">
        <v>-1</v>
      </c>
      <c r="R165">
        <v>0.371</v>
      </c>
      <c r="S165">
        <v>0.28499999999999998</v>
      </c>
      <c r="T165">
        <v>0.34599999999999997</v>
      </c>
      <c r="U165">
        <v>0.28799999999999998</v>
      </c>
      <c r="V165">
        <v>0.28399999999999997</v>
      </c>
      <c r="W165">
        <v>0.28899999999999998</v>
      </c>
      <c r="AL165" t="s">
        <v>159</v>
      </c>
      <c r="AM165" t="s">
        <v>159</v>
      </c>
      <c r="AN165" t="s">
        <v>159</v>
      </c>
      <c r="AO165" t="s">
        <v>159</v>
      </c>
      <c r="AP165" t="s">
        <v>159</v>
      </c>
      <c r="AQ165" t="s">
        <v>159</v>
      </c>
      <c r="BZ165">
        <v>0.80035748212537416</v>
      </c>
      <c r="CA165">
        <v>30.062532885632599</v>
      </c>
      <c r="CB165">
        <v>1.22552627326874</v>
      </c>
      <c r="CC165">
        <v>0.628874710985174</v>
      </c>
      <c r="CD165">
        <v>1.0272334781416199</v>
      </c>
      <c r="CE165">
        <v>0.645757752872818</v>
      </c>
      <c r="CF165">
        <v>0.62330704450808005</v>
      </c>
      <c r="CG165">
        <v>0.65144563297581304</v>
      </c>
    </row>
    <row r="166" spans="1:99" x14ac:dyDescent="0.25">
      <c r="A166" t="s">
        <v>129</v>
      </c>
      <c r="B166" t="s">
        <v>194</v>
      </c>
      <c r="C166" t="s">
        <v>192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2.25</v>
      </c>
      <c r="N166">
        <v>1.4672414728061101</v>
      </c>
      <c r="O166">
        <v>1</v>
      </c>
      <c r="P166">
        <v>-1</v>
      </c>
      <c r="Q166">
        <v>1</v>
      </c>
      <c r="BF166">
        <v>0.05</v>
      </c>
      <c r="BZ166">
        <v>2.2499999999999999E-2</v>
      </c>
      <c r="CA166">
        <v>3.3012933138137475E-2</v>
      </c>
      <c r="CB166">
        <v>2.2499999999999999E-2</v>
      </c>
    </row>
    <row r="167" spans="1:99" x14ac:dyDescent="0.25">
      <c r="A167" t="s">
        <v>129</v>
      </c>
      <c r="B167" t="s">
        <v>195</v>
      </c>
      <c r="C167" t="s">
        <v>192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6.75</v>
      </c>
      <c r="N167">
        <v>4.40172441841833</v>
      </c>
      <c r="O167">
        <v>3</v>
      </c>
      <c r="P167">
        <v>-1</v>
      </c>
      <c r="Q167">
        <v>3</v>
      </c>
      <c r="R167">
        <v>0.11899999999999999</v>
      </c>
      <c r="S167">
        <v>0.11799999999999999</v>
      </c>
      <c r="T167">
        <v>0.113</v>
      </c>
      <c r="BF167">
        <v>5.8000000000000003E-2</v>
      </c>
      <c r="BG167">
        <v>7.5999999999999998E-2</v>
      </c>
      <c r="BH167">
        <v>7.2999999999999995E-2</v>
      </c>
      <c r="BZ167">
        <v>1.4595195333333333E-2</v>
      </c>
      <c r="CA167">
        <v>6.4244027690318589E-2</v>
      </c>
      <c r="CB167">
        <v>1.0408216E-2</v>
      </c>
      <c r="CC167">
        <v>1.7720768000000001E-2</v>
      </c>
      <c r="CD167">
        <v>1.5656601999999999E-2</v>
      </c>
    </row>
    <row r="168" spans="1:99" x14ac:dyDescent="0.25">
      <c r="A168" t="s">
        <v>129</v>
      </c>
      <c r="B168" t="s">
        <v>196</v>
      </c>
      <c r="C168" t="s">
        <v>197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4029.75</v>
      </c>
      <c r="N168">
        <v>2627.8294777957399</v>
      </c>
      <c r="O168">
        <v>1791</v>
      </c>
      <c r="P168">
        <v>-1</v>
      </c>
      <c r="Q168">
        <v>1791</v>
      </c>
      <c r="R168">
        <v>0.115</v>
      </c>
      <c r="S168">
        <v>0.11899999999999999</v>
      </c>
      <c r="T168">
        <v>0.113</v>
      </c>
      <c r="U168">
        <v>0.112</v>
      </c>
      <c r="V168">
        <v>0.109</v>
      </c>
      <c r="W168">
        <v>0.154</v>
      </c>
      <c r="X168">
        <v>0.128</v>
      </c>
      <c r="Y168">
        <v>9.9000000000000005E-2</v>
      </c>
      <c r="Z168">
        <v>0.14499999999999999</v>
      </c>
      <c r="AA168">
        <v>9.6000000000000002E-2</v>
      </c>
      <c r="AB168">
        <v>0.114</v>
      </c>
      <c r="AC168">
        <v>0.114</v>
      </c>
      <c r="AD168">
        <v>0.11799999999999999</v>
      </c>
      <c r="AE168">
        <v>0.14899999999999999</v>
      </c>
      <c r="AF168">
        <v>0.115</v>
      </c>
      <c r="AG168">
        <v>0.115</v>
      </c>
      <c r="AH168">
        <v>0.11</v>
      </c>
      <c r="AI168">
        <v>0.113</v>
      </c>
      <c r="AJ168">
        <v>0.10199999999999999</v>
      </c>
      <c r="AK168">
        <v>0.154</v>
      </c>
      <c r="BZ168">
        <v>4.4684150903663934E-2</v>
      </c>
      <c r="CA168">
        <v>117.42232893492124</v>
      </c>
      <c r="CB168">
        <v>3.9251109741472279E-2</v>
      </c>
      <c r="CC168">
        <v>4.2607870634685928E-2</v>
      </c>
      <c r="CD168">
        <v>3.7632700791829184E-2</v>
      </c>
      <c r="CE168">
        <v>3.6838367624309649E-2</v>
      </c>
      <c r="CF168">
        <v>3.4514431011782545E-2</v>
      </c>
      <c r="CG168">
        <v>7.9109174585155054E-2</v>
      </c>
      <c r="CH168">
        <v>5.0755259236681539E-2</v>
      </c>
      <c r="CI168">
        <v>2.7396910450297313E-2</v>
      </c>
      <c r="CJ168">
        <v>6.8463694073402304E-2</v>
      </c>
      <c r="CK168">
        <v>2.5446501525940385E-2</v>
      </c>
      <c r="CL168">
        <v>3.84369365105749E-2</v>
      </c>
      <c r="CM168">
        <v>3.84369365105749E-2</v>
      </c>
      <c r="CN168">
        <v>4.1753601378629192E-2</v>
      </c>
      <c r="CO168">
        <v>7.3084312737679707E-2</v>
      </c>
      <c r="CP168">
        <v>3.9251109741472279E-2</v>
      </c>
      <c r="CQ168">
        <v>3.9251109741472279E-2</v>
      </c>
      <c r="CR168">
        <v>3.5279268165910829E-2</v>
      </c>
      <c r="CS168">
        <v>3.7632700791829184E-2</v>
      </c>
      <c r="CT168">
        <v>2.9431848234424133E-2</v>
      </c>
      <c r="CU168">
        <v>7.9109174585155054E-2</v>
      </c>
    </row>
    <row r="169" spans="1:99" x14ac:dyDescent="0.25">
      <c r="A169" t="s">
        <v>129</v>
      </c>
      <c r="B169" t="s">
        <v>231</v>
      </c>
      <c r="C169" t="s">
        <v>192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2.25</v>
      </c>
      <c r="N169">
        <v>1.4672414728061101</v>
      </c>
      <c r="O169">
        <v>1</v>
      </c>
      <c r="P169">
        <v>-1</v>
      </c>
      <c r="Q169">
        <v>1</v>
      </c>
      <c r="R169">
        <v>8.4000000000000005E-2</v>
      </c>
      <c r="BZ169">
        <v>6.2233920000000003E-3</v>
      </c>
      <c r="CA169">
        <v>9.1312188439297629E-3</v>
      </c>
      <c r="CB169">
        <v>6.2233920000000003E-3</v>
      </c>
    </row>
    <row r="170" spans="1:99" x14ac:dyDescent="0.25">
      <c r="A170" t="s">
        <v>129</v>
      </c>
      <c r="B170" t="s">
        <v>173</v>
      </c>
      <c r="C170" t="s">
        <v>168</v>
      </c>
      <c r="D170">
        <v>-1</v>
      </c>
      <c r="E170">
        <v>36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345.6</v>
      </c>
      <c r="N170">
        <v>225.36829022301799</v>
      </c>
      <c r="O170">
        <v>-1</v>
      </c>
      <c r="P170">
        <v>-1</v>
      </c>
      <c r="Q170">
        <v>-1</v>
      </c>
      <c r="R170">
        <v>0.42799999999999999</v>
      </c>
      <c r="S170">
        <v>0.878</v>
      </c>
      <c r="T170">
        <v>0.84199999999999997</v>
      </c>
      <c r="U170">
        <v>0.66300000000000003</v>
      </c>
      <c r="V170">
        <v>0.69399999999999995</v>
      </c>
      <c r="W170">
        <v>0.76</v>
      </c>
      <c r="X170">
        <v>0.81299999999999994</v>
      </c>
      <c r="Y170">
        <v>0.96599999999999997</v>
      </c>
      <c r="Z170">
        <v>0.88700000000000001</v>
      </c>
      <c r="AA170">
        <v>0.91900000000000004</v>
      </c>
      <c r="AB170">
        <v>0.879</v>
      </c>
      <c r="AC170">
        <v>0.84199999999999997</v>
      </c>
      <c r="AD170">
        <v>0.41399999999999998</v>
      </c>
      <c r="AE170">
        <v>0.72199999999999998</v>
      </c>
      <c r="AF170">
        <v>0.35699999999999998</v>
      </c>
      <c r="AG170">
        <v>0.41399999999999998</v>
      </c>
      <c r="AH170">
        <v>0.91800000000000004</v>
      </c>
      <c r="AI170">
        <v>0.40899999999999997</v>
      </c>
      <c r="AJ170">
        <v>0.749</v>
      </c>
      <c r="AK170">
        <v>0.41399999999999998</v>
      </c>
      <c r="AL170" t="s">
        <v>169</v>
      </c>
      <c r="AM170" t="s">
        <v>169</v>
      </c>
      <c r="AN170" t="s">
        <v>169</v>
      </c>
      <c r="AO170" t="s">
        <v>169</v>
      </c>
      <c r="AP170" t="s">
        <v>169</v>
      </c>
      <c r="AQ170" t="s">
        <v>169</v>
      </c>
      <c r="AR170" t="s">
        <v>169</v>
      </c>
      <c r="AS170" t="s">
        <v>169</v>
      </c>
      <c r="AT170" t="s">
        <v>169</v>
      </c>
      <c r="AU170" t="s">
        <v>169</v>
      </c>
      <c r="AV170" t="s">
        <v>169</v>
      </c>
      <c r="AW170" t="s">
        <v>169</v>
      </c>
      <c r="AX170" t="s">
        <v>169</v>
      </c>
      <c r="AY170" t="s">
        <v>169</v>
      </c>
      <c r="AZ170" t="s">
        <v>169</v>
      </c>
      <c r="BA170" t="s">
        <v>169</v>
      </c>
      <c r="BB170" t="s">
        <v>169</v>
      </c>
      <c r="BC170" t="s">
        <v>169</v>
      </c>
      <c r="BD170" t="s">
        <v>169</v>
      </c>
      <c r="BE170" t="s">
        <v>169</v>
      </c>
      <c r="BZ170">
        <v>1.8656786331253605</v>
      </c>
      <c r="CA170">
        <v>420.46480365307974</v>
      </c>
      <c r="CB170">
        <v>0.18103418989640399</v>
      </c>
      <c r="CC170">
        <v>3.1376324514621898</v>
      </c>
      <c r="CD170">
        <v>2.6571608389373398</v>
      </c>
      <c r="CE170">
        <v>1.0288156162506501</v>
      </c>
      <c r="CF170">
        <v>1.23346246352023</v>
      </c>
      <c r="CG170">
        <v>1.76912614726404</v>
      </c>
      <c r="CH170">
        <v>2.31200253519168</v>
      </c>
      <c r="CI170">
        <v>4.5844583534761796</v>
      </c>
      <c r="CJ170">
        <v>3.2672744055172802</v>
      </c>
      <c r="CK170">
        <v>3.7608968323137502</v>
      </c>
      <c r="CL170">
        <v>3.15184370960805</v>
      </c>
      <c r="CM170">
        <v>2.6571608389373398</v>
      </c>
      <c r="CN170">
        <v>0.15864273708680801</v>
      </c>
      <c r="CO170">
        <v>1.4431833650788</v>
      </c>
      <c r="CP170">
        <v>8.8109281131908704E-2</v>
      </c>
      <c r="CQ170">
        <v>0.15864273708680801</v>
      </c>
      <c r="CR170">
        <v>3.7446763195390398</v>
      </c>
      <c r="CS170">
        <v>0.151171656764609</v>
      </c>
      <c r="CT170">
        <v>1.66963544635729</v>
      </c>
      <c r="CU170">
        <v>0.15864273708680801</v>
      </c>
    </row>
    <row r="171" spans="1:99" x14ac:dyDescent="0.25">
      <c r="A171" t="s">
        <v>129</v>
      </c>
      <c r="B171" t="s">
        <v>170</v>
      </c>
      <c r="C171" t="s">
        <v>158</v>
      </c>
      <c r="D171">
        <v>-1</v>
      </c>
      <c r="E171">
        <v>8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76.8</v>
      </c>
      <c r="N171">
        <v>50.081842271781902</v>
      </c>
      <c r="O171">
        <v>-1</v>
      </c>
      <c r="P171">
        <v>-1</v>
      </c>
      <c r="Q171">
        <v>-1</v>
      </c>
      <c r="R171">
        <v>0.59099999999999997</v>
      </c>
      <c r="S171">
        <v>0.55300000000000005</v>
      </c>
      <c r="T171">
        <v>0.56299999999999994</v>
      </c>
      <c r="U171">
        <v>0.54600000000000004</v>
      </c>
      <c r="V171">
        <v>1.2210000000000001</v>
      </c>
      <c r="W171">
        <v>1.0580000000000001</v>
      </c>
      <c r="X171">
        <v>1.4530000000000001</v>
      </c>
      <c r="Y171">
        <v>0.51200000000000001</v>
      </c>
      <c r="AL171" t="s">
        <v>159</v>
      </c>
      <c r="AM171" t="s">
        <v>159</v>
      </c>
      <c r="AN171" t="s">
        <v>159</v>
      </c>
      <c r="AO171" t="s">
        <v>159</v>
      </c>
      <c r="AP171" t="s">
        <v>159</v>
      </c>
      <c r="AQ171" t="s">
        <v>159</v>
      </c>
      <c r="AR171" t="s">
        <v>159</v>
      </c>
      <c r="AS171" t="s">
        <v>159</v>
      </c>
      <c r="BZ171">
        <v>4.1985885503484361</v>
      </c>
      <c r="CA171">
        <v>210.27304954265981</v>
      </c>
      <c r="CB171">
        <v>1.11553320026563</v>
      </c>
      <c r="CC171">
        <v>0.92366274552657701</v>
      </c>
      <c r="CD171">
        <v>0.97189175062572097</v>
      </c>
      <c r="CE171">
        <v>0.89084297537114898</v>
      </c>
      <c r="CF171">
        <v>8.7588389320913809</v>
      </c>
      <c r="CG171">
        <v>5.8306013756699198</v>
      </c>
      <c r="CH171">
        <v>14.3551719546555</v>
      </c>
      <c r="CI171">
        <v>0.74216546858161803</v>
      </c>
    </row>
    <row r="172" spans="1:99" x14ac:dyDescent="0.25">
      <c r="A172" t="s">
        <v>129</v>
      </c>
      <c r="B172" t="s">
        <v>167</v>
      </c>
      <c r="C172" t="s">
        <v>168</v>
      </c>
      <c r="D172">
        <v>-1</v>
      </c>
      <c r="E172">
        <v>11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105.6</v>
      </c>
      <c r="N172">
        <v>68.862533123700004</v>
      </c>
      <c r="O172">
        <v>-1</v>
      </c>
      <c r="P172">
        <v>-1</v>
      </c>
      <c r="Q172">
        <v>-1</v>
      </c>
      <c r="R172">
        <v>0.502</v>
      </c>
      <c r="S172">
        <v>0.96299999999999997</v>
      </c>
      <c r="T172">
        <v>0.5</v>
      </c>
      <c r="U172">
        <v>0.94599999999999995</v>
      </c>
      <c r="V172">
        <v>0.48599999999999999</v>
      </c>
      <c r="W172">
        <v>0.64900000000000002</v>
      </c>
      <c r="X172">
        <v>0.67600000000000005</v>
      </c>
      <c r="Y172">
        <v>0.64400000000000002</v>
      </c>
      <c r="Z172">
        <v>0.54300000000000004</v>
      </c>
      <c r="AA172">
        <v>0.78600000000000003</v>
      </c>
      <c r="AB172">
        <v>0.48699999999999999</v>
      </c>
      <c r="AL172" t="s">
        <v>169</v>
      </c>
      <c r="AM172" t="s">
        <v>169</v>
      </c>
      <c r="AN172" t="s">
        <v>169</v>
      </c>
      <c r="AO172" t="s">
        <v>169</v>
      </c>
      <c r="AP172" t="s">
        <v>169</v>
      </c>
      <c r="AQ172" t="s">
        <v>169</v>
      </c>
      <c r="AR172" t="s">
        <v>169</v>
      </c>
      <c r="AS172" t="s">
        <v>169</v>
      </c>
      <c r="AT172" t="s">
        <v>169</v>
      </c>
      <c r="AU172" t="s">
        <v>169</v>
      </c>
      <c r="AV172" t="s">
        <v>169</v>
      </c>
      <c r="BZ172">
        <v>1.8576275511613773</v>
      </c>
      <c r="CA172">
        <v>127.92093877334807</v>
      </c>
      <c r="CB172">
        <v>0.822907183790618</v>
      </c>
      <c r="CC172">
        <v>4.4475445794530604</v>
      </c>
      <c r="CD172">
        <v>0.81444270461981905</v>
      </c>
      <c r="CE172">
        <v>4.2470391997764096</v>
      </c>
      <c r="CF172">
        <v>0.75668680978987102</v>
      </c>
      <c r="CG172">
        <v>1.6004495582718401</v>
      </c>
      <c r="CH172">
        <v>1.7786486567659401</v>
      </c>
      <c r="CI172">
        <v>1.56870984702197</v>
      </c>
      <c r="CJ172">
        <v>1.00846257289259</v>
      </c>
      <c r="CK172">
        <v>2.6282859924326298</v>
      </c>
      <c r="CL172">
        <v>0.76072595796040199</v>
      </c>
    </row>
    <row r="173" spans="1:99" x14ac:dyDescent="0.25">
      <c r="A173" t="s">
        <v>129</v>
      </c>
      <c r="B173" t="s">
        <v>166</v>
      </c>
      <c r="C173" t="s">
        <v>154</v>
      </c>
      <c r="D173">
        <v>-1</v>
      </c>
      <c r="E173">
        <v>64</v>
      </c>
      <c r="F173">
        <v>64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1228.8</v>
      </c>
      <c r="N173">
        <v>801.30947634850997</v>
      </c>
      <c r="O173">
        <v>-1</v>
      </c>
      <c r="P173">
        <v>-1</v>
      </c>
      <c r="Q173">
        <v>-1</v>
      </c>
      <c r="R173">
        <v>1.1140000000000001</v>
      </c>
      <c r="S173">
        <v>0.91700000000000004</v>
      </c>
      <c r="T173">
        <v>1.087</v>
      </c>
      <c r="U173">
        <v>1.02</v>
      </c>
      <c r="V173">
        <v>1.0549999999999999</v>
      </c>
      <c r="W173">
        <v>0.83</v>
      </c>
      <c r="X173">
        <v>0.84799999999999998</v>
      </c>
      <c r="Y173">
        <v>0.82599999999999996</v>
      </c>
      <c r="Z173">
        <v>1.169</v>
      </c>
      <c r="AA173">
        <v>0.97299999999999998</v>
      </c>
      <c r="AB173">
        <v>0.879</v>
      </c>
      <c r="AC173">
        <v>1.097</v>
      </c>
      <c r="AD173">
        <v>0.873</v>
      </c>
      <c r="AE173">
        <v>1.0920000000000001</v>
      </c>
      <c r="AF173">
        <v>1.0229999999999999</v>
      </c>
      <c r="AG173">
        <v>0.86</v>
      </c>
      <c r="AH173">
        <v>0.81699999999999995</v>
      </c>
      <c r="AI173">
        <v>0.96199999999999997</v>
      </c>
      <c r="AJ173">
        <v>0.91400000000000003</v>
      </c>
      <c r="AK173">
        <v>0.86099999999999999</v>
      </c>
      <c r="AL173" t="s">
        <v>155</v>
      </c>
      <c r="AM173" t="s">
        <v>156</v>
      </c>
      <c r="AN173" t="s">
        <v>155</v>
      </c>
      <c r="AO173" t="s">
        <v>155</v>
      </c>
      <c r="AP173" t="s">
        <v>155</v>
      </c>
      <c r="AQ173" t="s">
        <v>156</v>
      </c>
      <c r="AR173" t="s">
        <v>156</v>
      </c>
      <c r="AS173" t="s">
        <v>156</v>
      </c>
      <c r="AT173" t="s">
        <v>155</v>
      </c>
      <c r="AU173" t="s">
        <v>155</v>
      </c>
      <c r="AV173" t="s">
        <v>156</v>
      </c>
      <c r="AW173" t="s">
        <v>155</v>
      </c>
      <c r="AX173" t="s">
        <v>156</v>
      </c>
      <c r="AY173" t="s">
        <v>155</v>
      </c>
      <c r="AZ173" t="s">
        <v>155</v>
      </c>
      <c r="BA173" t="s">
        <v>156</v>
      </c>
      <c r="BB173" t="s">
        <v>156</v>
      </c>
      <c r="BC173" t="s">
        <v>156</v>
      </c>
      <c r="BD173" t="s">
        <v>156</v>
      </c>
      <c r="BE173" t="s">
        <v>156</v>
      </c>
      <c r="BZ173">
        <v>4.8444866345419095</v>
      </c>
      <c r="CA173">
        <v>3881.9330483021331</v>
      </c>
      <c r="CB173">
        <v>8.0735222702611598</v>
      </c>
      <c r="CC173">
        <v>3.72850820008926</v>
      </c>
      <c r="CD173">
        <v>7.3241989042297799</v>
      </c>
      <c r="CE173">
        <v>5.6894662019152804</v>
      </c>
      <c r="CF173">
        <v>6.5049071921345201</v>
      </c>
      <c r="CG173">
        <v>2.5099719419613802</v>
      </c>
      <c r="CH173">
        <v>2.7331305300733102</v>
      </c>
      <c r="CI173">
        <v>2.4622924181654402</v>
      </c>
      <c r="CJ173">
        <v>9.7758031823186506</v>
      </c>
      <c r="CK173">
        <v>4.7177705585475804</v>
      </c>
      <c r="CL173">
        <v>3.15184370960805</v>
      </c>
      <c r="CM173">
        <v>7.5953737871416296</v>
      </c>
      <c r="CN173">
        <v>3.0672938755920001</v>
      </c>
      <c r="CO173">
        <v>7.4588644413519898</v>
      </c>
      <c r="CP173">
        <v>5.7561898028763201</v>
      </c>
      <c r="CQ173">
        <v>2.8899324488583402</v>
      </c>
      <c r="CR173">
        <v>2.35749295935952</v>
      </c>
      <c r="CS173">
        <v>4.5095569506553899</v>
      </c>
      <c r="CT173">
        <v>3.6803170785330099</v>
      </c>
      <c r="CU173">
        <v>2.9032962371655802</v>
      </c>
    </row>
    <row r="174" spans="1:99" x14ac:dyDescent="0.25">
      <c r="A174" t="s">
        <v>129</v>
      </c>
      <c r="B174" t="s">
        <v>198</v>
      </c>
      <c r="C174" t="s">
        <v>199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724.5</v>
      </c>
      <c r="N174">
        <v>472.451754243567</v>
      </c>
      <c r="O174">
        <v>322</v>
      </c>
      <c r="P174">
        <v>-1</v>
      </c>
      <c r="Q174">
        <v>322</v>
      </c>
      <c r="R174">
        <v>8.1000000000000003E-2</v>
      </c>
      <c r="S174">
        <v>8.1000000000000003E-2</v>
      </c>
      <c r="T174">
        <v>0.09</v>
      </c>
      <c r="U174">
        <v>7.6999999999999999E-2</v>
      </c>
      <c r="V174">
        <v>8.4000000000000005E-2</v>
      </c>
      <c r="W174">
        <v>0.107</v>
      </c>
      <c r="X174">
        <v>8.3000000000000004E-2</v>
      </c>
      <c r="Y174">
        <v>8.7999999999999995E-2</v>
      </c>
      <c r="Z174">
        <v>8.6999999999999994E-2</v>
      </c>
      <c r="AA174">
        <v>7.9000000000000001E-2</v>
      </c>
      <c r="AB174">
        <v>8.6999999999999994E-2</v>
      </c>
      <c r="AC174">
        <v>8.4000000000000005E-2</v>
      </c>
      <c r="AD174">
        <v>0.08</v>
      </c>
      <c r="AE174">
        <v>8.5000000000000006E-2</v>
      </c>
      <c r="AF174">
        <v>8.5999999999999993E-2</v>
      </c>
      <c r="AG174">
        <v>8.1000000000000003E-2</v>
      </c>
      <c r="AH174">
        <v>7.8E-2</v>
      </c>
      <c r="AI174">
        <v>7.6999999999999999E-2</v>
      </c>
      <c r="AJ174">
        <v>8.2000000000000003E-2</v>
      </c>
      <c r="AK174">
        <v>7.9000000000000001E-2</v>
      </c>
      <c r="BZ174">
        <v>0.10910733246042163</v>
      </c>
      <c r="CA174">
        <v>51.547950621762283</v>
      </c>
      <c r="CB174">
        <v>0.10316976392212798</v>
      </c>
      <c r="CC174">
        <v>0.10316976392212798</v>
      </c>
      <c r="CD174">
        <v>0.12076854045275696</v>
      </c>
      <c r="CE174">
        <v>9.619485028214779E-2</v>
      </c>
      <c r="CF174">
        <v>0.10873087852656856</v>
      </c>
      <c r="CG174">
        <v>0.16261343582795867</v>
      </c>
      <c r="CH174">
        <v>0.10684464086996007</v>
      </c>
      <c r="CI174">
        <v>0.11661475677470312</v>
      </c>
      <c r="CJ174">
        <v>0.11459175145620078</v>
      </c>
      <c r="CK174">
        <v>9.962128283722127E-2</v>
      </c>
      <c r="CL174">
        <v>0.11459175145620078</v>
      </c>
      <c r="CM174">
        <v>0.10873087852656856</v>
      </c>
      <c r="CN174">
        <v>0.1013799991711169</v>
      </c>
      <c r="CO174">
        <v>0.11065041586454837</v>
      </c>
      <c r="CP174">
        <v>0.11260384075721208</v>
      </c>
      <c r="CQ174">
        <v>0.10316976392212798</v>
      </c>
      <c r="CR174">
        <v>9.7893076299818055E-2</v>
      </c>
      <c r="CS174">
        <v>9.619485028214779E-2</v>
      </c>
      <c r="CT174">
        <v>0.10499112521969811</v>
      </c>
      <c r="CU174">
        <v>9.962128283722127E-2</v>
      </c>
    </row>
    <row r="175" spans="1:99" x14ac:dyDescent="0.25">
      <c r="A175" t="s">
        <v>129</v>
      </c>
      <c r="B175" t="s">
        <v>202</v>
      </c>
      <c r="C175" t="s">
        <v>192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22.5</v>
      </c>
      <c r="N175">
        <v>14.672414728061099</v>
      </c>
      <c r="O175">
        <v>10</v>
      </c>
      <c r="P175">
        <v>-1</v>
      </c>
      <c r="Q175">
        <v>10</v>
      </c>
      <c r="R175">
        <v>9.1999999999999998E-2</v>
      </c>
      <c r="S175">
        <v>0.105</v>
      </c>
      <c r="T175">
        <v>9.2999999999999999E-2</v>
      </c>
      <c r="U175">
        <v>0.10299999999999999</v>
      </c>
      <c r="V175">
        <v>0.106</v>
      </c>
      <c r="W175">
        <v>9.9000000000000005E-2</v>
      </c>
      <c r="X175">
        <v>9.5000000000000001E-2</v>
      </c>
      <c r="Y175">
        <v>0.128</v>
      </c>
      <c r="Z175">
        <v>0.10100000000000001</v>
      </c>
      <c r="AA175">
        <v>0.126</v>
      </c>
      <c r="BZ175">
        <v>2.3959831999999996E-3</v>
      </c>
      <c r="CA175">
        <v>3.5154859191866956E-2</v>
      </c>
      <c r="CB175">
        <v>1.5573760000000001E-3</v>
      </c>
      <c r="CC175">
        <v>2.31525E-3</v>
      </c>
      <c r="CD175">
        <v>1.608714E-3</v>
      </c>
      <c r="CE175">
        <v>2.1854539999999999E-3</v>
      </c>
      <c r="CF175">
        <v>2.3820320000000001E-3</v>
      </c>
      <c r="CG175">
        <v>1.940598E-3</v>
      </c>
      <c r="CH175">
        <v>1.7147499999999999E-3</v>
      </c>
      <c r="CI175">
        <v>4.1943040000000003E-3</v>
      </c>
      <c r="CJ175">
        <v>2.0606019999999999E-3</v>
      </c>
      <c r="CK175">
        <v>4.0007519999999998E-3</v>
      </c>
    </row>
    <row r="176" spans="1:99" x14ac:dyDescent="0.25">
      <c r="A176" t="s">
        <v>129</v>
      </c>
      <c r="B176" t="s">
        <v>204</v>
      </c>
      <c r="C176" t="s">
        <v>192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6.75</v>
      </c>
      <c r="N176">
        <v>4.40172441841833</v>
      </c>
      <c r="O176">
        <v>3</v>
      </c>
      <c r="P176">
        <v>-1</v>
      </c>
      <c r="Q176">
        <v>3</v>
      </c>
      <c r="R176">
        <v>0.107</v>
      </c>
      <c r="S176">
        <v>0.128</v>
      </c>
      <c r="T176">
        <v>0.124</v>
      </c>
      <c r="BZ176">
        <v>3.4858793333333335E-3</v>
      </c>
      <c r="CA176">
        <v>1.5343880181193143E-2</v>
      </c>
      <c r="CB176">
        <v>2.4500860000000002E-3</v>
      </c>
      <c r="CC176">
        <v>4.1943040000000003E-3</v>
      </c>
      <c r="CD176">
        <v>3.813248E-3</v>
      </c>
    </row>
    <row r="177" spans="1:99" x14ac:dyDescent="0.25">
      <c r="A177" t="s">
        <v>129</v>
      </c>
      <c r="B177" t="s">
        <v>205</v>
      </c>
      <c r="C177" t="s">
        <v>192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4.5</v>
      </c>
      <c r="N177">
        <v>2.9344829456122201</v>
      </c>
      <c r="O177">
        <v>2</v>
      </c>
      <c r="P177">
        <v>-1</v>
      </c>
      <c r="Q177">
        <v>2</v>
      </c>
      <c r="R177">
        <v>0.113</v>
      </c>
      <c r="S177">
        <v>0.121</v>
      </c>
      <c r="BZ177">
        <v>3.2144579999999999E-3</v>
      </c>
      <c r="CA177">
        <v>9.4327721803867653E-3</v>
      </c>
      <c r="CB177">
        <v>2.8857940000000001E-3</v>
      </c>
      <c r="CC177">
        <v>3.5431220000000001E-3</v>
      </c>
    </row>
    <row r="178" spans="1:99" x14ac:dyDescent="0.25">
      <c r="A178" t="s">
        <v>129</v>
      </c>
      <c r="B178" t="s">
        <v>232</v>
      </c>
      <c r="C178" t="s">
        <v>192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42.75</v>
      </c>
      <c r="N178">
        <v>27.877587983316101</v>
      </c>
      <c r="O178">
        <v>19</v>
      </c>
      <c r="P178">
        <v>-1</v>
      </c>
      <c r="Q178">
        <v>19</v>
      </c>
      <c r="R178">
        <v>0.128</v>
      </c>
      <c r="S178">
        <v>0.114</v>
      </c>
      <c r="T178">
        <v>0.11700000000000001</v>
      </c>
      <c r="U178">
        <v>0.13300000000000001</v>
      </c>
      <c r="V178">
        <v>0.129</v>
      </c>
      <c r="W178">
        <v>0.125</v>
      </c>
      <c r="X178">
        <v>0.125</v>
      </c>
      <c r="Y178">
        <v>0.127</v>
      </c>
      <c r="Z178">
        <v>0.125</v>
      </c>
      <c r="AA178">
        <v>0.12</v>
      </c>
      <c r="AB178">
        <v>0.121</v>
      </c>
      <c r="AC178">
        <v>0.115</v>
      </c>
      <c r="AD178">
        <v>0.13</v>
      </c>
      <c r="AE178">
        <v>0.11799999999999999</v>
      </c>
      <c r="AF178">
        <v>0.11799999999999999</v>
      </c>
      <c r="AG178">
        <v>0.123</v>
      </c>
      <c r="AH178">
        <v>0.13200000000000001</v>
      </c>
      <c r="AI178">
        <v>0.11799999999999999</v>
      </c>
      <c r="AJ178">
        <v>0.13</v>
      </c>
      <c r="BZ178">
        <v>4.3879981894736839E-2</v>
      </c>
      <c r="CA178">
        <v>1.2232680559768438</v>
      </c>
      <c r="CB178">
        <v>4.8444211199999997E-2</v>
      </c>
      <c r="CC178">
        <v>3.4223666399999998E-2</v>
      </c>
      <c r="CD178">
        <v>3.6997260300000001E-2</v>
      </c>
      <c r="CE178">
        <v>5.4345914699999998E-2</v>
      </c>
      <c r="CF178">
        <v>4.9588515899999998E-2</v>
      </c>
      <c r="CG178">
        <v>4.5117187500000003E-2</v>
      </c>
      <c r="CH178">
        <v>4.5117187500000003E-2</v>
      </c>
      <c r="CI178">
        <v>4.7317647300000001E-2</v>
      </c>
      <c r="CJ178">
        <v>4.5117187500000003E-2</v>
      </c>
      <c r="CK178">
        <v>3.9916800000000002E-2</v>
      </c>
      <c r="CL178">
        <v>4.0923059099999999E-2</v>
      </c>
      <c r="CM178">
        <v>3.5132212500000003E-2</v>
      </c>
      <c r="CN178">
        <v>5.0750700000000003E-2</v>
      </c>
      <c r="CO178">
        <v>3.7954039199999998E-2</v>
      </c>
      <c r="CP178">
        <v>3.7954039199999998E-2</v>
      </c>
      <c r="CQ178">
        <v>4.2986027699999999E-2</v>
      </c>
      <c r="CR178">
        <v>5.3129260800000001E-2</v>
      </c>
      <c r="CS178">
        <v>3.7954039199999998E-2</v>
      </c>
      <c r="CT178">
        <v>5.0750700000000003E-2</v>
      </c>
    </row>
    <row r="179" spans="1:99" x14ac:dyDescent="0.25">
      <c r="A179" t="s">
        <v>129</v>
      </c>
      <c r="B179" t="s">
        <v>216</v>
      </c>
      <c r="C179" t="s">
        <v>192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22.5</v>
      </c>
      <c r="N179">
        <v>14.672414728061099</v>
      </c>
      <c r="O179">
        <v>10</v>
      </c>
      <c r="P179">
        <v>-1</v>
      </c>
      <c r="Q179">
        <v>10</v>
      </c>
      <c r="R179">
        <v>0.151</v>
      </c>
      <c r="S179">
        <v>0.157</v>
      </c>
      <c r="T179">
        <v>0.16700000000000001</v>
      </c>
      <c r="U179">
        <v>0.156</v>
      </c>
      <c r="V179">
        <v>0.159</v>
      </c>
      <c r="W179">
        <v>0.14799999999999999</v>
      </c>
      <c r="X179">
        <v>0.161</v>
      </c>
      <c r="Y179">
        <v>0.14899999999999999</v>
      </c>
      <c r="Z179">
        <v>0.14399999999999999</v>
      </c>
      <c r="AA179">
        <v>0.14299999999999999</v>
      </c>
      <c r="BZ179">
        <v>8.4129310649999983E-2</v>
      </c>
      <c r="CA179">
        <v>1.2343801366426872</v>
      </c>
      <c r="CB179">
        <v>7.9532168099999995E-2</v>
      </c>
      <c r="CC179">
        <v>8.9394528299999998E-2</v>
      </c>
      <c r="CD179">
        <v>0.1075873953</v>
      </c>
      <c r="CE179">
        <v>8.7697209600000006E-2</v>
      </c>
      <c r="CF179">
        <v>9.2854584899999995E-2</v>
      </c>
      <c r="CG179">
        <v>7.4885395199999996E-2</v>
      </c>
      <c r="CH179">
        <v>9.6402791099999996E-2</v>
      </c>
      <c r="CI179">
        <v>7.6413621900000006E-2</v>
      </c>
      <c r="CJ179">
        <v>6.8976230400000005E-2</v>
      </c>
      <c r="CK179">
        <v>6.7549181700000002E-2</v>
      </c>
    </row>
    <row r="180" spans="1:99" x14ac:dyDescent="0.25">
      <c r="A180" t="s">
        <v>129</v>
      </c>
      <c r="B180" t="s">
        <v>226</v>
      </c>
      <c r="C180" t="s">
        <v>192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4.5</v>
      </c>
      <c r="N180">
        <v>2.9344829456122201</v>
      </c>
      <c r="O180">
        <v>2</v>
      </c>
      <c r="P180">
        <v>-1</v>
      </c>
      <c r="Q180">
        <v>2</v>
      </c>
      <c r="R180">
        <v>0.13100000000000001</v>
      </c>
      <c r="S180">
        <v>0.122</v>
      </c>
      <c r="BZ180">
        <v>4.0639389999999999E-3</v>
      </c>
      <c r="CA180">
        <v>1.1925559687508381E-2</v>
      </c>
      <c r="CB180">
        <v>4.4961819999999996E-3</v>
      </c>
      <c r="CC180">
        <v>3.6316959999999998E-3</v>
      </c>
    </row>
    <row r="181" spans="1:99" x14ac:dyDescent="0.25">
      <c r="A181" t="s">
        <v>129</v>
      </c>
      <c r="B181" t="s">
        <v>233</v>
      </c>
      <c r="C181" t="s">
        <v>192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2.25</v>
      </c>
      <c r="N181">
        <v>1.4672414728061101</v>
      </c>
      <c r="O181">
        <v>1</v>
      </c>
      <c r="P181">
        <v>-1</v>
      </c>
      <c r="Q181">
        <v>1</v>
      </c>
      <c r="R181">
        <v>8.1000000000000003E-2</v>
      </c>
      <c r="BZ181">
        <v>5.5801304999999997E-3</v>
      </c>
      <c r="CA181">
        <v>8.1873988932702948E-3</v>
      </c>
      <c r="CB181">
        <v>5.5801304999999997E-3</v>
      </c>
    </row>
    <row r="182" spans="1:99" x14ac:dyDescent="0.25">
      <c r="A182" t="s">
        <v>129</v>
      </c>
      <c r="B182" t="s">
        <v>161</v>
      </c>
      <c r="C182" t="s">
        <v>154</v>
      </c>
      <c r="D182">
        <v>-1</v>
      </c>
      <c r="E182">
        <v>2</v>
      </c>
      <c r="F182">
        <v>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28.8</v>
      </c>
      <c r="N182">
        <v>18.780690851918202</v>
      </c>
      <c r="O182">
        <v>-1</v>
      </c>
      <c r="P182">
        <v>-1</v>
      </c>
      <c r="Q182">
        <v>-1</v>
      </c>
      <c r="R182">
        <v>0.97799999999999998</v>
      </c>
      <c r="S182">
        <v>0.94</v>
      </c>
      <c r="T182">
        <v>1.026</v>
      </c>
      <c r="AL182" t="s">
        <v>156</v>
      </c>
      <c r="AM182" t="s">
        <v>155</v>
      </c>
      <c r="AN182" t="s">
        <v>155</v>
      </c>
      <c r="BZ182">
        <v>4.682550358748987</v>
      </c>
      <c r="CA182">
        <v>87.941530686203393</v>
      </c>
      <c r="CB182">
        <v>4.6291991011698803</v>
      </c>
      <c r="CC182">
        <v>4.1776241691879799</v>
      </c>
      <c r="CD182">
        <v>5.2408278058890998</v>
      </c>
    </row>
    <row r="183" spans="1:99" x14ac:dyDescent="0.25">
      <c r="A183" t="s">
        <v>129</v>
      </c>
      <c r="B183" t="s">
        <v>181</v>
      </c>
      <c r="C183" t="s">
        <v>154</v>
      </c>
      <c r="D183">
        <v>-1</v>
      </c>
      <c r="E183">
        <v>4</v>
      </c>
      <c r="F183">
        <v>10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134.4</v>
      </c>
      <c r="N183">
        <v>87.643223975618199</v>
      </c>
      <c r="O183">
        <v>-1</v>
      </c>
      <c r="P183">
        <v>-1</v>
      </c>
      <c r="Q183">
        <v>-1</v>
      </c>
      <c r="R183">
        <v>1.29</v>
      </c>
      <c r="S183">
        <v>1.2669999999999999</v>
      </c>
      <c r="T183">
        <v>1.2909999999999999</v>
      </c>
      <c r="U183">
        <v>1.33</v>
      </c>
      <c r="V183">
        <v>1.2609999999999999</v>
      </c>
      <c r="W183">
        <v>1.2749999999999999</v>
      </c>
      <c r="X183">
        <v>1.4319999999999999</v>
      </c>
      <c r="Y183">
        <v>1.53</v>
      </c>
      <c r="Z183">
        <v>1.2889999999999999</v>
      </c>
      <c r="AA183">
        <v>1.391</v>
      </c>
      <c r="AB183">
        <v>1.4059999999999999</v>
      </c>
      <c r="AC183">
        <v>1.1850000000000001</v>
      </c>
      <c r="AD183">
        <v>1.254</v>
      </c>
      <c r="AL183" t="s">
        <v>156</v>
      </c>
      <c r="AM183" t="s">
        <v>156</v>
      </c>
      <c r="AN183" t="s">
        <v>156</v>
      </c>
      <c r="AO183" t="s">
        <v>156</v>
      </c>
      <c r="AP183" t="s">
        <v>156</v>
      </c>
      <c r="AQ183" t="s">
        <v>156</v>
      </c>
      <c r="AR183" t="s">
        <v>155</v>
      </c>
      <c r="AS183" t="s">
        <v>155</v>
      </c>
      <c r="AT183" t="s">
        <v>156</v>
      </c>
      <c r="AU183" t="s">
        <v>155</v>
      </c>
      <c r="AV183" t="s">
        <v>155</v>
      </c>
      <c r="AW183" t="s">
        <v>156</v>
      </c>
      <c r="AX183" t="s">
        <v>156</v>
      </c>
      <c r="BZ183">
        <v>10.222459236454309</v>
      </c>
      <c r="CA183">
        <v>895.92928444219206</v>
      </c>
      <c r="CB183">
        <v>9.4832145428410506</v>
      </c>
      <c r="CC183">
        <v>9.0514813053603493</v>
      </c>
      <c r="CD183">
        <v>9.5022662209244899</v>
      </c>
      <c r="CE183">
        <v>10.263700635015301</v>
      </c>
      <c r="CF183">
        <v>8.9408807084737294</v>
      </c>
      <c r="CG183">
        <v>9.2002494940053499</v>
      </c>
      <c r="CH183">
        <v>12.428555121244001</v>
      </c>
      <c r="CI183">
        <v>14.752955486752301</v>
      </c>
      <c r="CJ183">
        <v>9.4641863325932807</v>
      </c>
      <c r="CK183">
        <v>11.5277750427367</v>
      </c>
      <c r="CL183">
        <v>11.8525066265214</v>
      </c>
      <c r="CM183">
        <v>7.6112984856430899</v>
      </c>
      <c r="CN183">
        <v>8.8129000717949708</v>
      </c>
    </row>
    <row r="184" spans="1:99" x14ac:dyDescent="0.25">
      <c r="A184" t="s">
        <v>129</v>
      </c>
      <c r="B184" t="s">
        <v>190</v>
      </c>
      <c r="C184" t="s">
        <v>154</v>
      </c>
      <c r="D184">
        <v>-1</v>
      </c>
      <c r="E184">
        <v>1</v>
      </c>
      <c r="F184">
        <v>2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28.8</v>
      </c>
      <c r="N184">
        <v>18.780690851918202</v>
      </c>
      <c r="O184">
        <v>-1</v>
      </c>
      <c r="P184">
        <v>-1</v>
      </c>
      <c r="Q184">
        <v>-1</v>
      </c>
      <c r="R184">
        <v>1.139</v>
      </c>
      <c r="S184">
        <v>1.046</v>
      </c>
      <c r="T184">
        <v>0.98599999999999999</v>
      </c>
      <c r="AL184" t="s">
        <v>155</v>
      </c>
      <c r="AM184" t="s">
        <v>156</v>
      </c>
      <c r="AN184" t="s">
        <v>156</v>
      </c>
      <c r="BZ184">
        <v>5.7023148973890905</v>
      </c>
      <c r="CA184">
        <v>107.09341322815217</v>
      </c>
      <c r="CB184">
        <v>6.86949278278757</v>
      </c>
      <c r="CC184">
        <v>5.5095393493695601</v>
      </c>
      <c r="CD184">
        <v>4.7279125600101404</v>
      </c>
    </row>
    <row r="185" spans="1:99" x14ac:dyDescent="0.25">
      <c r="A185" t="s">
        <v>129</v>
      </c>
      <c r="B185" t="s">
        <v>186</v>
      </c>
      <c r="C185" t="s">
        <v>154</v>
      </c>
      <c r="D185">
        <v>-1</v>
      </c>
      <c r="E185">
        <v>1</v>
      </c>
      <c r="F185">
        <v>0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9.6</v>
      </c>
      <c r="N185">
        <v>6.2602302839727297</v>
      </c>
      <c r="O185">
        <v>-1</v>
      </c>
      <c r="P185">
        <v>-1</v>
      </c>
      <c r="Q185">
        <v>-1</v>
      </c>
      <c r="R185">
        <v>2.629</v>
      </c>
      <c r="AL185" t="s">
        <v>155</v>
      </c>
      <c r="BZ185">
        <v>59.9495385074637</v>
      </c>
      <c r="CA185">
        <v>375.2979164746136</v>
      </c>
      <c r="CB185">
        <v>59.9495385074637</v>
      </c>
    </row>
    <row r="186" spans="1:99" x14ac:dyDescent="0.25">
      <c r="A186" t="s">
        <v>129</v>
      </c>
      <c r="B186" t="s">
        <v>220</v>
      </c>
      <c r="C186" t="s">
        <v>192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2.25</v>
      </c>
      <c r="N186">
        <v>1.4672414728061101</v>
      </c>
      <c r="O186">
        <v>1</v>
      </c>
      <c r="P186">
        <v>-1</v>
      </c>
      <c r="Q186">
        <v>1</v>
      </c>
      <c r="R186">
        <v>0.218</v>
      </c>
      <c r="BZ186">
        <v>3.6260812000000003E-2</v>
      </c>
      <c r="CA186">
        <v>5.3203367204025472E-2</v>
      </c>
      <c r="CB186">
        <v>3.6260812000000003E-2</v>
      </c>
    </row>
    <row r="187" spans="1:99" x14ac:dyDescent="0.25">
      <c r="A187" t="s">
        <v>129</v>
      </c>
      <c r="B187" t="s">
        <v>234</v>
      </c>
      <c r="C187" t="s">
        <v>192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2.25</v>
      </c>
      <c r="N187">
        <v>1.4672414728061101</v>
      </c>
      <c r="O187">
        <v>1</v>
      </c>
      <c r="P187">
        <v>-1</v>
      </c>
      <c r="Q187">
        <v>1</v>
      </c>
      <c r="R187">
        <v>0.157</v>
      </c>
      <c r="BZ187">
        <v>1.3544625500000001E-2</v>
      </c>
      <c r="CA187">
        <v>1.9873236267227198E-2</v>
      </c>
      <c r="CB187">
        <v>1.3544625500000001E-2</v>
      </c>
    </row>
    <row r="188" spans="1:99" x14ac:dyDescent="0.25">
      <c r="A188" t="s">
        <v>129</v>
      </c>
      <c r="B188" t="s">
        <v>223</v>
      </c>
      <c r="C188" t="s">
        <v>192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54</v>
      </c>
      <c r="N188">
        <v>35.213795347346597</v>
      </c>
      <c r="O188">
        <v>24</v>
      </c>
      <c r="P188">
        <v>-1</v>
      </c>
      <c r="Q188">
        <v>24</v>
      </c>
      <c r="R188">
        <v>0.11</v>
      </c>
      <c r="S188">
        <v>0.111</v>
      </c>
      <c r="T188">
        <v>0.126</v>
      </c>
      <c r="U188">
        <v>0.106</v>
      </c>
      <c r="V188">
        <v>9.6000000000000002E-2</v>
      </c>
      <c r="W188">
        <v>0.127</v>
      </c>
      <c r="X188">
        <v>0.111</v>
      </c>
      <c r="Y188">
        <v>0.126</v>
      </c>
      <c r="Z188">
        <v>0.11600000000000001</v>
      </c>
      <c r="AA188">
        <v>0.125</v>
      </c>
      <c r="AB188">
        <v>0.128</v>
      </c>
      <c r="AC188">
        <v>0.124</v>
      </c>
      <c r="AD188">
        <v>0.127</v>
      </c>
      <c r="AE188">
        <v>0.14599999999999999</v>
      </c>
      <c r="AF188">
        <v>0.121</v>
      </c>
      <c r="AG188">
        <v>0.11</v>
      </c>
      <c r="AH188">
        <v>0.112</v>
      </c>
      <c r="AI188">
        <v>0.125</v>
      </c>
      <c r="AJ188">
        <v>0.114</v>
      </c>
      <c r="AK188">
        <v>0.11899999999999999</v>
      </c>
      <c r="BZ188">
        <v>5.3125044279999999E-2</v>
      </c>
      <c r="CA188">
        <v>1.8707344370946459</v>
      </c>
      <c r="CB188">
        <v>4.0994799999999998E-2</v>
      </c>
      <c r="CC188">
        <v>4.21230348E-2</v>
      </c>
      <c r="CD188">
        <v>6.1611580800000003E-2</v>
      </c>
      <c r="CE188">
        <v>3.6683292800000003E-2</v>
      </c>
      <c r="CF188">
        <v>2.72498688E-2</v>
      </c>
      <c r="CG188">
        <v>6.3090196400000007E-2</v>
      </c>
      <c r="CH188">
        <v>4.21230348E-2</v>
      </c>
      <c r="CI188">
        <v>6.1611580800000003E-2</v>
      </c>
      <c r="CJ188">
        <v>4.8075596800000002E-2</v>
      </c>
      <c r="CK188">
        <v>6.0156250000000001E-2</v>
      </c>
      <c r="CL188">
        <v>6.4592281599999996E-2</v>
      </c>
      <c r="CM188">
        <v>5.8724019199999998E-2</v>
      </c>
      <c r="CN188">
        <v>6.3090196400000007E-2</v>
      </c>
      <c r="CO188">
        <v>9.5853788800000006E-2</v>
      </c>
      <c r="CP188">
        <v>5.4564078799999999E-2</v>
      </c>
      <c r="CQ188">
        <v>4.0994799999999998E-2</v>
      </c>
      <c r="CR188">
        <v>4.32717824E-2</v>
      </c>
      <c r="CS188">
        <v>6.0156250000000001E-2</v>
      </c>
      <c r="CT188">
        <v>4.56315552E-2</v>
      </c>
      <c r="CU188">
        <v>5.1902897199999999E-2</v>
      </c>
    </row>
    <row r="189" spans="1:99" x14ac:dyDescent="0.25">
      <c r="A189" t="s">
        <v>129</v>
      </c>
      <c r="B189" t="s">
        <v>213</v>
      </c>
      <c r="C189" t="s">
        <v>192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4.5</v>
      </c>
      <c r="N189">
        <v>2.9344829456122201</v>
      </c>
      <c r="O189">
        <v>2</v>
      </c>
      <c r="P189">
        <v>-1</v>
      </c>
      <c r="Q189">
        <v>2</v>
      </c>
      <c r="R189">
        <v>0.13800000000000001</v>
      </c>
      <c r="S189">
        <v>0.107</v>
      </c>
      <c r="BZ189">
        <v>5.9337971000000003E-2</v>
      </c>
      <c r="CA189">
        <v>0.1741262639267325</v>
      </c>
      <c r="CB189">
        <v>8.0944617600000004E-2</v>
      </c>
      <c r="CC189">
        <v>3.7731324400000002E-2</v>
      </c>
    </row>
    <row r="190" spans="1:99" x14ac:dyDescent="0.25">
      <c r="A190" t="s">
        <v>129</v>
      </c>
      <c r="B190" t="s">
        <v>235</v>
      </c>
      <c r="C190" t="s">
        <v>192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2.25</v>
      </c>
      <c r="N190">
        <v>1.4672414728061101</v>
      </c>
      <c r="O190">
        <v>1</v>
      </c>
      <c r="P190">
        <v>-1</v>
      </c>
      <c r="Q190">
        <v>1</v>
      </c>
      <c r="R190">
        <v>0.30099999999999999</v>
      </c>
      <c r="BZ190">
        <v>0.27270900999999997</v>
      </c>
      <c r="CA190">
        <v>0.40012996947989615</v>
      </c>
      <c r="CB190">
        <v>0.27270900999999997</v>
      </c>
    </row>
    <row r="191" spans="1:99" x14ac:dyDescent="0.25">
      <c r="A191" t="s">
        <v>129</v>
      </c>
      <c r="B191" t="s">
        <v>153</v>
      </c>
      <c r="C191" t="s">
        <v>154</v>
      </c>
      <c r="D191">
        <v>-1</v>
      </c>
      <c r="E191">
        <v>1</v>
      </c>
      <c r="F191">
        <v>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19.2</v>
      </c>
      <c r="N191">
        <v>12.5204605679455</v>
      </c>
      <c r="O191">
        <v>-1</v>
      </c>
      <c r="P191">
        <v>-1</v>
      </c>
      <c r="Q191">
        <v>-1</v>
      </c>
      <c r="R191">
        <v>1.286</v>
      </c>
      <c r="S191">
        <v>1.196</v>
      </c>
      <c r="AL191" t="s">
        <v>155</v>
      </c>
      <c r="AM191" t="s">
        <v>156</v>
      </c>
      <c r="BZ191">
        <v>8.6014430513029456</v>
      </c>
      <c r="CA191">
        <v>107.69402855126735</v>
      </c>
      <c r="CB191">
        <v>9.4072424014963207</v>
      </c>
      <c r="CC191">
        <v>7.7956437011095696</v>
      </c>
    </row>
    <row r="192" spans="1:99" x14ac:dyDescent="0.25">
      <c r="A192" t="s">
        <v>129</v>
      </c>
      <c r="B192" t="s">
        <v>210</v>
      </c>
      <c r="C192" t="s">
        <v>192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234</v>
      </c>
      <c r="N192">
        <v>152.593113171835</v>
      </c>
      <c r="O192">
        <v>104</v>
      </c>
      <c r="P192">
        <v>-1</v>
      </c>
      <c r="Q192">
        <v>104</v>
      </c>
      <c r="R192">
        <v>0.17100000000000001</v>
      </c>
      <c r="S192">
        <v>0.19400000000000001</v>
      </c>
      <c r="T192">
        <v>0.19800000000000001</v>
      </c>
      <c r="U192">
        <v>0.11</v>
      </c>
      <c r="V192">
        <v>0.112</v>
      </c>
      <c r="W192">
        <v>0.129</v>
      </c>
      <c r="X192">
        <v>0.127</v>
      </c>
      <c r="Y192">
        <v>0.14299999999999999</v>
      </c>
      <c r="Z192">
        <v>0.112</v>
      </c>
      <c r="AA192">
        <v>0.14599999999999999</v>
      </c>
      <c r="AB192">
        <v>0.14899999999999999</v>
      </c>
      <c r="AC192">
        <v>0.17399999999999999</v>
      </c>
      <c r="AD192">
        <v>0.125</v>
      </c>
      <c r="AE192">
        <v>0.127</v>
      </c>
      <c r="AF192">
        <v>0.13600000000000001</v>
      </c>
      <c r="AG192">
        <v>0.189</v>
      </c>
      <c r="AH192">
        <v>0.19700000000000001</v>
      </c>
      <c r="AI192">
        <v>0.16700000000000001</v>
      </c>
      <c r="AJ192">
        <v>0.129</v>
      </c>
      <c r="AK192">
        <v>0.14399999999999999</v>
      </c>
      <c r="BZ192">
        <v>3.6857986499999995E-2</v>
      </c>
      <c r="CA192">
        <v>5.6242749052804655</v>
      </c>
      <c r="CB192">
        <v>5.0002110000000002E-2</v>
      </c>
      <c r="CC192">
        <v>7.3013839999999997E-2</v>
      </c>
      <c r="CD192">
        <v>7.7623919999999999E-2</v>
      </c>
      <c r="CE192">
        <v>1.3310000000000001E-2</v>
      </c>
      <c r="CF192">
        <v>1.4049280000000001E-2</v>
      </c>
      <c r="CG192">
        <v>2.1466889999999999E-2</v>
      </c>
      <c r="CH192">
        <v>2.0483830000000001E-2</v>
      </c>
      <c r="CI192">
        <v>2.9242069999999998E-2</v>
      </c>
      <c r="CJ192">
        <v>1.4049280000000001E-2</v>
      </c>
      <c r="CK192">
        <v>3.1121360000000001E-2</v>
      </c>
      <c r="CL192">
        <v>3.3079490000000003E-2</v>
      </c>
      <c r="CM192">
        <v>5.2680240000000003E-2</v>
      </c>
      <c r="CN192">
        <v>1.953125E-2</v>
      </c>
      <c r="CO192">
        <v>2.0483830000000001E-2</v>
      </c>
      <c r="CP192">
        <v>2.5154559999999999E-2</v>
      </c>
      <c r="CQ192">
        <v>6.751269E-2</v>
      </c>
      <c r="CR192">
        <v>7.6453729999999998E-2</v>
      </c>
      <c r="CS192">
        <v>4.6574629999999999E-2</v>
      </c>
      <c r="CT192">
        <v>2.1466889999999999E-2</v>
      </c>
      <c r="CU192">
        <v>2.9859839999999999E-2</v>
      </c>
    </row>
    <row r="193" spans="1:99" x14ac:dyDescent="0.25">
      <c r="A193" t="s">
        <v>132</v>
      </c>
      <c r="B193" t="s">
        <v>217</v>
      </c>
      <c r="C193" t="s">
        <v>192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784</v>
      </c>
      <c r="N193">
        <v>320.94519831920297</v>
      </c>
      <c r="O193">
        <v>0</v>
      </c>
      <c r="P193">
        <v>1</v>
      </c>
      <c r="Q193">
        <v>1</v>
      </c>
      <c r="R193">
        <v>9.7000000000000003E-2</v>
      </c>
      <c r="BZ193">
        <v>1.0952076E-2</v>
      </c>
      <c r="CA193">
        <v>3.515016203826983</v>
      </c>
      <c r="CB193">
        <v>1.0952076E-2</v>
      </c>
    </row>
    <row r="194" spans="1:99" x14ac:dyDescent="0.25">
      <c r="A194" t="s">
        <v>132</v>
      </c>
      <c r="B194" t="s">
        <v>191</v>
      </c>
      <c r="C194" t="s">
        <v>192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5488</v>
      </c>
      <c r="N194">
        <v>2246.6163882344199</v>
      </c>
      <c r="O194">
        <v>2</v>
      </c>
      <c r="P194">
        <v>5</v>
      </c>
      <c r="Q194">
        <v>7</v>
      </c>
      <c r="R194">
        <v>0.115</v>
      </c>
      <c r="S194">
        <v>0.10299999999999999</v>
      </c>
      <c r="T194">
        <v>9.8000000000000004E-2</v>
      </c>
      <c r="U194">
        <v>0.106</v>
      </c>
      <c r="V194">
        <v>9.2999999999999999E-2</v>
      </c>
      <c r="W194">
        <v>8.5000000000000006E-2</v>
      </c>
      <c r="X194">
        <v>0.11700000000000001</v>
      </c>
      <c r="BZ194">
        <v>1.3312979999999999E-2</v>
      </c>
      <c r="CA194">
        <v>29.909159044237065</v>
      </c>
      <c r="CB194">
        <v>1.8250499999999999E-2</v>
      </c>
      <c r="CC194">
        <v>1.3112723999999999E-2</v>
      </c>
      <c r="CD194">
        <v>1.1294304E-2</v>
      </c>
      <c r="CE194">
        <v>1.4292192E-2</v>
      </c>
      <c r="CF194">
        <v>9.6522840000000006E-3</v>
      </c>
      <c r="CG194">
        <v>7.3695000000000002E-3</v>
      </c>
      <c r="CH194">
        <v>1.9219356E-2</v>
      </c>
    </row>
    <row r="195" spans="1:99" x14ac:dyDescent="0.25">
      <c r="A195" t="s">
        <v>132</v>
      </c>
      <c r="B195" t="s">
        <v>218</v>
      </c>
      <c r="C195" t="s">
        <v>192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2352</v>
      </c>
      <c r="N195">
        <v>962.83559495761006</v>
      </c>
      <c r="O195">
        <v>1</v>
      </c>
      <c r="P195">
        <v>2</v>
      </c>
      <c r="Q195">
        <v>3</v>
      </c>
      <c r="R195">
        <v>0.68100000000000005</v>
      </c>
      <c r="S195">
        <v>0.55700000000000005</v>
      </c>
      <c r="T195">
        <v>0.56299999999999994</v>
      </c>
      <c r="BZ195">
        <v>1.9945796081899998</v>
      </c>
      <c r="CA195">
        <v>1920.4522437419353</v>
      </c>
      <c r="CB195">
        <v>2.83291653177</v>
      </c>
      <c r="CC195">
        <v>1.5500939762099999</v>
      </c>
      <c r="CD195">
        <v>1.6007283165899999</v>
      </c>
    </row>
    <row r="196" spans="1:99" x14ac:dyDescent="0.25">
      <c r="A196" t="s">
        <v>132</v>
      </c>
      <c r="B196" t="s">
        <v>193</v>
      </c>
      <c r="C196" t="s">
        <v>192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784</v>
      </c>
      <c r="N196">
        <v>320.94519831920297</v>
      </c>
      <c r="O196">
        <v>0</v>
      </c>
      <c r="P196">
        <v>1</v>
      </c>
      <c r="Q196">
        <v>1</v>
      </c>
      <c r="R196">
        <v>0.45900000000000002</v>
      </c>
      <c r="BZ196">
        <v>0.86742213362999998</v>
      </c>
      <c r="CA196">
        <v>278.39496870434652</v>
      </c>
      <c r="CB196">
        <v>0.86742213362999998</v>
      </c>
    </row>
    <row r="197" spans="1:99" x14ac:dyDescent="0.25">
      <c r="A197" t="s">
        <v>132</v>
      </c>
      <c r="B197" t="s">
        <v>172</v>
      </c>
      <c r="C197" t="s">
        <v>158</v>
      </c>
      <c r="D197">
        <v>-1</v>
      </c>
      <c r="E197">
        <v>96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24576</v>
      </c>
      <c r="N197">
        <v>10060.649482006</v>
      </c>
      <c r="O197">
        <v>-1</v>
      </c>
      <c r="P197">
        <v>-1</v>
      </c>
      <c r="Q197">
        <v>-1</v>
      </c>
      <c r="R197">
        <v>0.26400000000000001</v>
      </c>
      <c r="S197">
        <v>0.23499999999999999</v>
      </c>
      <c r="T197">
        <v>0.27200000000000002</v>
      </c>
      <c r="U197">
        <v>0.42099999999999999</v>
      </c>
      <c r="V197">
        <v>0.38500000000000001</v>
      </c>
      <c r="W197">
        <v>0.372</v>
      </c>
      <c r="X197">
        <v>0.32300000000000001</v>
      </c>
      <c r="Y197">
        <v>0.36899999999999999</v>
      </c>
      <c r="Z197">
        <v>0.36599999999999999</v>
      </c>
      <c r="AA197">
        <v>0.224</v>
      </c>
      <c r="AB197">
        <v>0.21099999999999999</v>
      </c>
      <c r="AC197">
        <v>0.41899999999999998</v>
      </c>
      <c r="AD197">
        <v>0.223</v>
      </c>
      <c r="AE197">
        <v>0.19900000000000001</v>
      </c>
      <c r="AF197">
        <v>0.27200000000000002</v>
      </c>
      <c r="AG197">
        <v>0.40899999999999997</v>
      </c>
      <c r="AH197">
        <v>0.20300000000000001</v>
      </c>
      <c r="AI197">
        <v>0.39</v>
      </c>
      <c r="AJ197">
        <v>0.38200000000000001</v>
      </c>
      <c r="AK197">
        <v>0.192</v>
      </c>
      <c r="AL197" t="s">
        <v>159</v>
      </c>
      <c r="AM197" t="s">
        <v>159</v>
      </c>
      <c r="AN197" t="s">
        <v>159</v>
      </c>
      <c r="AO197" t="s">
        <v>159</v>
      </c>
      <c r="AP197" t="s">
        <v>159</v>
      </c>
      <c r="AQ197" t="s">
        <v>159</v>
      </c>
      <c r="AR197" t="s">
        <v>159</v>
      </c>
      <c r="AS197" t="s">
        <v>159</v>
      </c>
      <c r="AT197" t="s">
        <v>159</v>
      </c>
      <c r="AU197" t="s">
        <v>159</v>
      </c>
      <c r="AV197" t="s">
        <v>159</v>
      </c>
      <c r="AW197" t="s">
        <v>159</v>
      </c>
      <c r="AX197" t="s">
        <v>159</v>
      </c>
      <c r="AY197" t="s">
        <v>159</v>
      </c>
      <c r="AZ197" t="s">
        <v>159</v>
      </c>
      <c r="BA197" t="s">
        <v>159</v>
      </c>
      <c r="BB197" t="s">
        <v>159</v>
      </c>
      <c r="BC197" t="s">
        <v>159</v>
      </c>
      <c r="BD197" t="s">
        <v>159</v>
      </c>
      <c r="BE197" t="s">
        <v>159</v>
      </c>
      <c r="BZ197">
        <v>0.86083139891620974</v>
      </c>
      <c r="CA197">
        <v>8660.5229676008657</v>
      </c>
      <c r="CB197">
        <v>0.51816081830112104</v>
      </c>
      <c r="CC197">
        <v>0.386018684580413</v>
      </c>
      <c r="CD197">
        <v>0.55881230686921801</v>
      </c>
      <c r="CE197">
        <v>1.68748661754875</v>
      </c>
      <c r="CF197">
        <v>1.3459294024027</v>
      </c>
      <c r="CG197">
        <v>1.2339008767651101</v>
      </c>
      <c r="CH197">
        <v>0.86315544877939998</v>
      </c>
      <c r="CI197">
        <v>1.2088804140104701</v>
      </c>
      <c r="CJ197">
        <v>1.1841692544995399</v>
      </c>
      <c r="CK197">
        <v>0.34192757114307298</v>
      </c>
      <c r="CL197">
        <v>0.29392819442305601</v>
      </c>
      <c r="CM197">
        <v>1.66727835857633</v>
      </c>
      <c r="CN197">
        <v>0.33807880018450098</v>
      </c>
      <c r="CO197">
        <v>0.25345736657856999</v>
      </c>
      <c r="CP197">
        <v>0.55881230686921801</v>
      </c>
      <c r="CQ197">
        <v>1.5684352855189601</v>
      </c>
      <c r="CR197">
        <v>0.26654565710005401</v>
      </c>
      <c r="CS197">
        <v>1.39059316587882</v>
      </c>
      <c r="CT197">
        <v>1.3195533180986501</v>
      </c>
      <c r="CU197">
        <v>0.231504130196241</v>
      </c>
    </row>
    <row r="198" spans="1:99" x14ac:dyDescent="0.25">
      <c r="A198" t="s">
        <v>132</v>
      </c>
      <c r="B198" t="s">
        <v>157</v>
      </c>
      <c r="C198" t="s">
        <v>158</v>
      </c>
      <c r="D198">
        <v>40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40</v>
      </c>
      <c r="N198">
        <v>16.374755016285899</v>
      </c>
      <c r="O198">
        <v>-1</v>
      </c>
      <c r="P198">
        <v>-1</v>
      </c>
      <c r="Q198">
        <v>-1</v>
      </c>
      <c r="R198">
        <v>2.044</v>
      </c>
      <c r="S198">
        <v>2.585</v>
      </c>
      <c r="T198">
        <v>2.8359999999999999</v>
      </c>
      <c r="U198">
        <v>2.77</v>
      </c>
      <c r="V198">
        <v>2.8820000000000001</v>
      </c>
      <c r="W198">
        <v>1.5960000000000001</v>
      </c>
      <c r="X198">
        <v>2.286</v>
      </c>
      <c r="Y198">
        <v>2.3519999999999999</v>
      </c>
      <c r="Z198">
        <v>2.2959999999999998</v>
      </c>
      <c r="AA198">
        <v>1.444</v>
      </c>
      <c r="AB198">
        <v>2.7949999999999999</v>
      </c>
      <c r="AC198">
        <v>1.7430000000000001</v>
      </c>
      <c r="AD198">
        <v>3.5590000000000002</v>
      </c>
      <c r="AE198">
        <v>2.67</v>
      </c>
      <c r="AF198">
        <v>2.5289999999999999</v>
      </c>
      <c r="AG198">
        <v>3.48</v>
      </c>
      <c r="AH198">
        <v>2.5499999999999998</v>
      </c>
      <c r="AI198">
        <v>3.2290000000000001</v>
      </c>
      <c r="AJ198">
        <v>2.2589999999999999</v>
      </c>
      <c r="AK198">
        <v>1.8839999999999999</v>
      </c>
      <c r="AL198" t="s">
        <v>159</v>
      </c>
      <c r="AM198" t="s">
        <v>159</v>
      </c>
      <c r="AN198" t="s">
        <v>159</v>
      </c>
      <c r="AO198" t="s">
        <v>159</v>
      </c>
      <c r="AP198" t="s">
        <v>159</v>
      </c>
      <c r="AQ198" t="s">
        <v>159</v>
      </c>
      <c r="AR198" t="s">
        <v>159</v>
      </c>
      <c r="AS198" t="s">
        <v>159</v>
      </c>
      <c r="AT198" t="s">
        <v>159</v>
      </c>
      <c r="AU198" t="s">
        <v>159</v>
      </c>
      <c r="AV198" t="s">
        <v>159</v>
      </c>
      <c r="AW198" t="s">
        <v>159</v>
      </c>
      <c r="AX198" t="s">
        <v>159</v>
      </c>
      <c r="AY198" t="s">
        <v>159</v>
      </c>
      <c r="AZ198" t="s">
        <v>159</v>
      </c>
      <c r="BA198" t="s">
        <v>159</v>
      </c>
      <c r="BB198" t="s">
        <v>159</v>
      </c>
      <c r="BC198" t="s">
        <v>159</v>
      </c>
      <c r="BD198" t="s">
        <v>159</v>
      </c>
      <c r="BE198" t="s">
        <v>159</v>
      </c>
      <c r="BZ198">
        <v>120.62837151823551</v>
      </c>
      <c r="CA198">
        <v>1975.260031624626</v>
      </c>
      <c r="CB198">
        <v>75.501998431317503</v>
      </c>
      <c r="CC198">
        <v>123.337723420402</v>
      </c>
      <c r="CD198">
        <v>149.69572473301201</v>
      </c>
      <c r="CE198">
        <v>142.50696835022299</v>
      </c>
      <c r="CF198">
        <v>154.815270036394</v>
      </c>
      <c r="CG198">
        <v>45.018613742504101</v>
      </c>
      <c r="CH198">
        <v>95.394359467605497</v>
      </c>
      <c r="CI198">
        <v>101.241221680485</v>
      </c>
      <c r="CJ198">
        <v>96.268592175712797</v>
      </c>
      <c r="CK198">
        <v>36.521517760990498</v>
      </c>
      <c r="CL198">
        <v>145.208276696588</v>
      </c>
      <c r="CM198">
        <v>54.120889131880901</v>
      </c>
      <c r="CN198">
        <v>240.61842443460401</v>
      </c>
      <c r="CO198">
        <v>131.96595957762599</v>
      </c>
      <c r="CP198">
        <v>117.819299724068</v>
      </c>
      <c r="CQ198">
        <v>229.59054746342599</v>
      </c>
      <c r="CR198">
        <v>119.873272309505</v>
      </c>
      <c r="CS198">
        <v>196.33855838821799</v>
      </c>
      <c r="CT198">
        <v>93.054698516203203</v>
      </c>
      <c r="CU198">
        <v>63.675514323944398</v>
      </c>
    </row>
    <row r="199" spans="1:99" x14ac:dyDescent="0.25">
      <c r="A199" t="s">
        <v>132</v>
      </c>
      <c r="B199" t="s">
        <v>171</v>
      </c>
      <c r="C199" t="s">
        <v>158</v>
      </c>
      <c r="D199">
        <v>459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459</v>
      </c>
      <c r="N199">
        <v>187.90031381188001</v>
      </c>
      <c r="O199">
        <v>-1</v>
      </c>
      <c r="P199">
        <v>-1</v>
      </c>
      <c r="Q199">
        <v>-1</v>
      </c>
      <c r="R199">
        <v>1.4259999999999999</v>
      </c>
      <c r="S199">
        <v>1.387</v>
      </c>
      <c r="T199">
        <v>1.0669999999999999</v>
      </c>
      <c r="U199">
        <v>0.68400000000000005</v>
      </c>
      <c r="V199">
        <v>1.234</v>
      </c>
      <c r="W199">
        <v>1.3779999999999999</v>
      </c>
      <c r="X199">
        <v>1.3120000000000001</v>
      </c>
      <c r="Y199">
        <v>0.59299999999999997</v>
      </c>
      <c r="Z199">
        <v>1.0369999999999999</v>
      </c>
      <c r="AA199">
        <v>1.47</v>
      </c>
      <c r="AB199">
        <v>0.97199999999999998</v>
      </c>
      <c r="AC199">
        <v>1.444</v>
      </c>
      <c r="AD199">
        <v>1.1479999999999999</v>
      </c>
      <c r="AE199">
        <v>1.661</v>
      </c>
      <c r="AF199">
        <v>0.96399999999999997</v>
      </c>
      <c r="AG199">
        <v>1.1950000000000001</v>
      </c>
      <c r="AH199">
        <v>1.3089999999999999</v>
      </c>
      <c r="AI199">
        <v>0.88100000000000001</v>
      </c>
      <c r="AJ199">
        <v>1.1819999999999999</v>
      </c>
      <c r="AK199">
        <v>1.306</v>
      </c>
      <c r="AL199" t="s">
        <v>159</v>
      </c>
      <c r="AM199" t="s">
        <v>159</v>
      </c>
      <c r="AN199" t="s">
        <v>159</v>
      </c>
      <c r="AO199" t="s">
        <v>159</v>
      </c>
      <c r="AP199" t="s">
        <v>159</v>
      </c>
      <c r="AQ199" t="s">
        <v>159</v>
      </c>
      <c r="AR199" t="s">
        <v>159</v>
      </c>
      <c r="AS199" t="s">
        <v>159</v>
      </c>
      <c r="AT199" t="s">
        <v>159</v>
      </c>
      <c r="AU199" t="s">
        <v>159</v>
      </c>
      <c r="AV199" t="s">
        <v>159</v>
      </c>
      <c r="AW199" t="s">
        <v>159</v>
      </c>
      <c r="AX199" t="s">
        <v>159</v>
      </c>
      <c r="AY199" t="s">
        <v>159</v>
      </c>
      <c r="AZ199" t="s">
        <v>159</v>
      </c>
      <c r="BA199" t="s">
        <v>159</v>
      </c>
      <c r="BB199" t="s">
        <v>159</v>
      </c>
      <c r="BC199" t="s">
        <v>159</v>
      </c>
      <c r="BD199" t="s">
        <v>159</v>
      </c>
      <c r="BE199" t="s">
        <v>159</v>
      </c>
      <c r="BZ199">
        <v>3.0616468537910766</v>
      </c>
      <c r="CA199">
        <v>575.28440460849845</v>
      </c>
      <c r="CB199">
        <v>4.6904217300572304</v>
      </c>
      <c r="CC199">
        <v>4.3184069003329402</v>
      </c>
      <c r="CD199">
        <v>1.9763582776936399</v>
      </c>
      <c r="CE199">
        <v>0.52529454435217504</v>
      </c>
      <c r="CF199">
        <v>3.04828018538926</v>
      </c>
      <c r="CG199">
        <v>4.2354384562310399</v>
      </c>
      <c r="CH199">
        <v>3.65913586747932</v>
      </c>
      <c r="CI199">
        <v>0.34327224743325202</v>
      </c>
      <c r="CJ199">
        <v>1.81533341243424</v>
      </c>
      <c r="CK199">
        <v>5.1350108398711498</v>
      </c>
      <c r="CL199">
        <v>1.49685997789921</v>
      </c>
      <c r="CM199">
        <v>4.8690691568551099</v>
      </c>
      <c r="CN199">
        <v>2.4578905147374801</v>
      </c>
      <c r="CO199">
        <v>7.3898770337933302</v>
      </c>
      <c r="CP199">
        <v>1.46044520851107</v>
      </c>
      <c r="CQ199">
        <v>2.77007842602471</v>
      </c>
      <c r="CR199">
        <v>3.6342588265879598</v>
      </c>
      <c r="CS199">
        <v>1.11677045086478</v>
      </c>
      <c r="CT199">
        <v>2.6812406019077102</v>
      </c>
      <c r="CU199">
        <v>3.60949441736593</v>
      </c>
    </row>
    <row r="200" spans="1:99" x14ac:dyDescent="0.25">
      <c r="A200" t="s">
        <v>132</v>
      </c>
      <c r="B200" t="s">
        <v>194</v>
      </c>
      <c r="C200" t="s">
        <v>192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3136</v>
      </c>
      <c r="N200">
        <v>1283.7807932768101</v>
      </c>
      <c r="O200">
        <v>2</v>
      </c>
      <c r="P200">
        <v>2</v>
      </c>
      <c r="Q200">
        <v>4</v>
      </c>
      <c r="BF200">
        <v>2.3E-2</v>
      </c>
      <c r="BG200">
        <v>3.7999999999999999E-2</v>
      </c>
      <c r="BH200">
        <v>3.1E-2</v>
      </c>
      <c r="BI200">
        <v>3.9E-2</v>
      </c>
      <c r="BZ200">
        <v>7.0267050000000003E-3</v>
      </c>
      <c r="CA200">
        <v>9.0207489190221288</v>
      </c>
      <c r="CB200">
        <v>2.1900600000000002E-3</v>
      </c>
      <c r="CC200">
        <v>9.8769600000000006E-3</v>
      </c>
      <c r="CD200">
        <v>5.3623799999999999E-3</v>
      </c>
      <c r="CE200">
        <v>1.067742E-2</v>
      </c>
    </row>
    <row r="201" spans="1:99" x14ac:dyDescent="0.25">
      <c r="A201" t="s">
        <v>132</v>
      </c>
      <c r="B201" t="s">
        <v>195</v>
      </c>
      <c r="C201" t="s">
        <v>192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64288</v>
      </c>
      <c r="N201">
        <v>26317.506262174698</v>
      </c>
      <c r="O201">
        <v>41</v>
      </c>
      <c r="P201">
        <v>41</v>
      </c>
      <c r="Q201">
        <v>82</v>
      </c>
      <c r="R201">
        <v>0.161</v>
      </c>
      <c r="S201">
        <v>7.9000000000000001E-2</v>
      </c>
      <c r="T201">
        <v>0.13200000000000001</v>
      </c>
      <c r="U201">
        <v>0.13800000000000001</v>
      </c>
      <c r="V201">
        <v>0.13500000000000001</v>
      </c>
      <c r="W201">
        <v>0.11</v>
      </c>
      <c r="X201">
        <v>0.114</v>
      </c>
      <c r="Y201">
        <v>0.14299999999999999</v>
      </c>
      <c r="Z201">
        <v>0.12</v>
      </c>
      <c r="AA201">
        <v>0.121</v>
      </c>
      <c r="AB201">
        <v>0.12</v>
      </c>
      <c r="AC201">
        <v>0.13</v>
      </c>
      <c r="AD201">
        <v>0.14299999999999999</v>
      </c>
      <c r="AE201">
        <v>9.6000000000000002E-2</v>
      </c>
      <c r="AF201">
        <v>0.126</v>
      </c>
      <c r="AG201">
        <v>0.14799999999999999</v>
      </c>
      <c r="AH201">
        <v>0.153</v>
      </c>
      <c r="AI201">
        <v>0.125</v>
      </c>
      <c r="AJ201">
        <v>0.14899999999999999</v>
      </c>
      <c r="AK201">
        <v>0.17499999999999999</v>
      </c>
      <c r="BF201">
        <v>5.8000000000000003E-2</v>
      </c>
      <c r="BG201">
        <v>5.3999999999999999E-2</v>
      </c>
      <c r="BH201">
        <v>4.4999999999999998E-2</v>
      </c>
      <c r="BI201">
        <v>7.0000000000000007E-2</v>
      </c>
      <c r="BJ201">
        <v>6.2E-2</v>
      </c>
      <c r="BK201">
        <v>5.7000000000000002E-2</v>
      </c>
      <c r="BL201">
        <v>6.5000000000000002E-2</v>
      </c>
      <c r="BM201">
        <v>5.8000000000000003E-2</v>
      </c>
      <c r="BN201">
        <v>4.5999999999999999E-2</v>
      </c>
      <c r="BO201">
        <v>4.1000000000000002E-2</v>
      </c>
      <c r="BP201">
        <v>4.2000000000000003E-2</v>
      </c>
      <c r="BQ201">
        <v>4.4999999999999998E-2</v>
      </c>
      <c r="BR201">
        <v>5.1999999999999998E-2</v>
      </c>
      <c r="BS201">
        <v>8.7999999999999995E-2</v>
      </c>
      <c r="BT201">
        <v>6.4000000000000001E-2</v>
      </c>
      <c r="BU201">
        <v>6.9000000000000006E-2</v>
      </c>
      <c r="BV201">
        <v>8.2000000000000003E-2</v>
      </c>
      <c r="BW201">
        <v>6.3E-2</v>
      </c>
      <c r="BX201">
        <v>6.4000000000000001E-2</v>
      </c>
      <c r="BY201">
        <v>6.3E-2</v>
      </c>
      <c r="BZ201">
        <v>1.2567551099999999E-2</v>
      </c>
      <c r="CA201">
        <v>330.74660477445047</v>
      </c>
      <c r="CB201">
        <v>1.4081704E-2</v>
      </c>
      <c r="CC201">
        <v>5.9894639999999999E-3</v>
      </c>
      <c r="CD201">
        <v>6.9497999999999999E-3</v>
      </c>
      <c r="CE201">
        <v>1.7581200000000002E-2</v>
      </c>
      <c r="CF201">
        <v>1.349244E-2</v>
      </c>
      <c r="CG201">
        <v>9.2921400000000008E-3</v>
      </c>
      <c r="CH201">
        <v>1.25229E-2</v>
      </c>
      <c r="CI201">
        <v>1.2507351999999999E-2</v>
      </c>
      <c r="CJ201">
        <v>6.6019199999999998E-3</v>
      </c>
      <c r="CK201">
        <v>5.2884259999999997E-3</v>
      </c>
      <c r="CL201">
        <v>5.5036800000000004E-3</v>
      </c>
      <c r="CM201">
        <v>6.8444999999999999E-3</v>
      </c>
      <c r="CN201">
        <v>1.0053472000000001E-2</v>
      </c>
      <c r="CO201">
        <v>1.9329024E-2</v>
      </c>
      <c r="CP201">
        <v>1.3418496E-2</v>
      </c>
      <c r="CQ201">
        <v>1.8320328E-2</v>
      </c>
      <c r="CR201">
        <v>2.6748072000000001E-2</v>
      </c>
      <c r="CS201">
        <v>1.2899249999999999E-2</v>
      </c>
      <c r="CT201">
        <v>1.5867903999999999E-2</v>
      </c>
      <c r="CU201">
        <v>1.8058950000000001E-2</v>
      </c>
    </row>
    <row r="202" spans="1:99" x14ac:dyDescent="0.25">
      <c r="A202" t="s">
        <v>132</v>
      </c>
      <c r="B202" t="s">
        <v>196</v>
      </c>
      <c r="C202" t="s">
        <v>197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45472</v>
      </c>
      <c r="N202">
        <v>18614.821502513802</v>
      </c>
      <c r="O202">
        <v>32</v>
      </c>
      <c r="P202">
        <v>26</v>
      </c>
      <c r="Q202">
        <v>58</v>
      </c>
      <c r="R202">
        <v>0.121</v>
      </c>
      <c r="S202">
        <v>0.255</v>
      </c>
      <c r="T202">
        <v>0.11799999999999999</v>
      </c>
      <c r="U202">
        <v>0.14499999999999999</v>
      </c>
      <c r="V202">
        <v>0.14399999999999999</v>
      </c>
      <c r="W202">
        <v>0.128</v>
      </c>
      <c r="X202">
        <v>0.1</v>
      </c>
      <c r="Y202">
        <v>0.107</v>
      </c>
      <c r="Z202">
        <v>0.112</v>
      </c>
      <c r="AA202">
        <v>0.13600000000000001</v>
      </c>
      <c r="AB202">
        <v>0.114</v>
      </c>
      <c r="AC202">
        <v>0.11899999999999999</v>
      </c>
      <c r="AD202">
        <v>0.23400000000000001</v>
      </c>
      <c r="AE202">
        <v>0.159</v>
      </c>
      <c r="AF202">
        <v>0.19400000000000001</v>
      </c>
      <c r="AG202">
        <v>0.22900000000000001</v>
      </c>
      <c r="AH202">
        <v>0.125</v>
      </c>
      <c r="AI202">
        <v>0.24399999999999999</v>
      </c>
      <c r="AJ202">
        <v>0.14399999999999999</v>
      </c>
      <c r="AK202">
        <v>0.14899999999999999</v>
      </c>
      <c r="BZ202">
        <v>9.2342236661139207E-2</v>
      </c>
      <c r="CA202">
        <v>1718.9342525899924</v>
      </c>
      <c r="CB202">
        <v>4.4346771885494372E-2</v>
      </c>
      <c r="CC202">
        <v>0.26538327924049449</v>
      </c>
      <c r="CD202">
        <v>4.1753601378629192E-2</v>
      </c>
      <c r="CE202">
        <v>6.8463694073402304E-2</v>
      </c>
      <c r="CF202">
        <v>6.7335967442926234E-2</v>
      </c>
      <c r="CG202">
        <v>5.0755259236681539E-2</v>
      </c>
      <c r="CH202">
        <v>2.8065780425595335E-2</v>
      </c>
      <c r="CI202">
        <v>3.3014003242246778E-2</v>
      </c>
      <c r="CJ202">
        <v>3.6838367624309649E-2</v>
      </c>
      <c r="CK202">
        <v>5.8704379673962324E-2</v>
      </c>
      <c r="CL202">
        <v>3.84369365105749E-2</v>
      </c>
      <c r="CM202">
        <v>4.2607870634685928E-2</v>
      </c>
      <c r="CN202">
        <v>0.21592114817357524</v>
      </c>
      <c r="CO202">
        <v>8.5414228309244264E-2</v>
      </c>
      <c r="CP202">
        <v>0.13768964334490719</v>
      </c>
      <c r="CQ202">
        <v>0.20501341539637802</v>
      </c>
      <c r="CR202">
        <v>4.7946968582758688E-2</v>
      </c>
      <c r="CS202">
        <v>0.23873313786631173</v>
      </c>
      <c r="CT202">
        <v>6.7335967442926234E-2</v>
      </c>
      <c r="CU202">
        <v>7.3084312737679707E-2</v>
      </c>
    </row>
    <row r="203" spans="1:99" x14ac:dyDescent="0.25">
      <c r="A203" t="s">
        <v>132</v>
      </c>
      <c r="B203" t="s">
        <v>173</v>
      </c>
      <c r="C203" t="s">
        <v>168</v>
      </c>
      <c r="D203">
        <v>-1</v>
      </c>
      <c r="E203">
        <v>49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12544</v>
      </c>
      <c r="N203">
        <v>5135.1231731072503</v>
      </c>
      <c r="O203">
        <v>-1</v>
      </c>
      <c r="P203">
        <v>-1</v>
      </c>
      <c r="Q203">
        <v>-1</v>
      </c>
      <c r="R203">
        <v>0.41099999999999998</v>
      </c>
      <c r="S203">
        <v>0.66900000000000004</v>
      </c>
      <c r="T203">
        <v>0.33300000000000002</v>
      </c>
      <c r="U203">
        <v>0.40600000000000003</v>
      </c>
      <c r="V203">
        <v>0.437</v>
      </c>
      <c r="W203">
        <v>0.65900000000000003</v>
      </c>
      <c r="X203">
        <v>0.48799999999999999</v>
      </c>
      <c r="Y203">
        <v>0.42599999999999999</v>
      </c>
      <c r="Z203">
        <v>0.36499999999999999</v>
      </c>
      <c r="AA203">
        <v>0.77800000000000002</v>
      </c>
      <c r="AB203">
        <v>0.43099999999999999</v>
      </c>
      <c r="AC203">
        <v>0.53200000000000003</v>
      </c>
      <c r="AD203">
        <v>0.31900000000000001</v>
      </c>
      <c r="AE203">
        <v>0.379</v>
      </c>
      <c r="AF203">
        <v>0.38400000000000001</v>
      </c>
      <c r="AG203">
        <v>0.443</v>
      </c>
      <c r="AH203">
        <v>0.6</v>
      </c>
      <c r="AI203">
        <v>0.39500000000000002</v>
      </c>
      <c r="AJ203">
        <v>0.60299999999999998</v>
      </c>
      <c r="AK203">
        <v>0.73699999999999999</v>
      </c>
      <c r="AL203" t="s">
        <v>169</v>
      </c>
      <c r="AM203" t="s">
        <v>169</v>
      </c>
      <c r="AN203" t="s">
        <v>169</v>
      </c>
      <c r="AO203" t="s">
        <v>169</v>
      </c>
      <c r="AP203" t="s">
        <v>169</v>
      </c>
      <c r="AQ203" t="s">
        <v>169</v>
      </c>
      <c r="AR203" t="s">
        <v>169</v>
      </c>
      <c r="AS203" t="s">
        <v>169</v>
      </c>
      <c r="AT203" t="s">
        <v>169</v>
      </c>
      <c r="AU203" t="s">
        <v>169</v>
      </c>
      <c r="AV203" t="s">
        <v>169</v>
      </c>
      <c r="AW203" t="s">
        <v>169</v>
      </c>
      <c r="AX203" t="s">
        <v>169</v>
      </c>
      <c r="AY203" t="s">
        <v>169</v>
      </c>
      <c r="AZ203" t="s">
        <v>169</v>
      </c>
      <c r="BA203" t="s">
        <v>169</v>
      </c>
      <c r="BB203" t="s">
        <v>169</v>
      </c>
      <c r="BC203" t="s">
        <v>169</v>
      </c>
      <c r="BD203" t="s">
        <v>169</v>
      </c>
      <c r="BE203" t="s">
        <v>169</v>
      </c>
      <c r="BZ203">
        <v>0.46798246939821342</v>
      </c>
      <c r="CA203">
        <v>2403.1476232147202</v>
      </c>
      <c r="CB203">
        <v>0.154127762174181</v>
      </c>
      <c r="CC203">
        <v>1.0662781934368299</v>
      </c>
      <c r="CD203">
        <v>6.6839385269880799E-2</v>
      </c>
      <c r="CE203">
        <v>0.14681728655058601</v>
      </c>
      <c r="CF203">
        <v>0.19662563796541799</v>
      </c>
      <c r="CG203">
        <v>1.0043935980898799</v>
      </c>
      <c r="CH203">
        <v>0.30475829367037099</v>
      </c>
      <c r="CI203">
        <v>0.17769898550503899</v>
      </c>
      <c r="CJ203">
        <v>9.6212502721381002E-2</v>
      </c>
      <c r="CK203">
        <v>1.94141258251266</v>
      </c>
      <c r="CL203">
        <v>0.186124525033943</v>
      </c>
      <c r="CM203">
        <v>0.42933670623784598</v>
      </c>
      <c r="CN203">
        <v>5.6360891196638202E-2</v>
      </c>
      <c r="CO203">
        <v>0.111718862084339</v>
      </c>
      <c r="CP203">
        <v>0.11768572867275399</v>
      </c>
      <c r="CQ203">
        <v>0.20756380959176099</v>
      </c>
      <c r="CR203">
        <v>0.69213259783559999</v>
      </c>
      <c r="CS203">
        <v>0.131649528975335</v>
      </c>
      <c r="CT203">
        <v>0.70597377607238399</v>
      </c>
      <c r="CU203">
        <v>1.56593873436744</v>
      </c>
    </row>
    <row r="204" spans="1:99" x14ac:dyDescent="0.25">
      <c r="A204" t="s">
        <v>132</v>
      </c>
      <c r="B204" t="s">
        <v>170</v>
      </c>
      <c r="C204" t="s">
        <v>158</v>
      </c>
      <c r="D204">
        <v>-1</v>
      </c>
      <c r="E204">
        <v>9</v>
      </c>
      <c r="F204">
        <v>-1</v>
      </c>
      <c r="G204">
        <v>-1</v>
      </c>
      <c r="H204">
        <v>-1</v>
      </c>
      <c r="I204">
        <v>14</v>
      </c>
      <c r="J204">
        <v>-1</v>
      </c>
      <c r="K204">
        <v>-1</v>
      </c>
      <c r="L204">
        <v>-1</v>
      </c>
      <c r="M204">
        <v>1962.6666666666699</v>
      </c>
      <c r="N204">
        <v>803.454646132427</v>
      </c>
      <c r="O204">
        <v>-1</v>
      </c>
      <c r="P204">
        <v>-1</v>
      </c>
      <c r="Q204">
        <v>-1</v>
      </c>
      <c r="R204">
        <v>0.877</v>
      </c>
      <c r="S204">
        <v>0.66400000000000003</v>
      </c>
      <c r="T204">
        <v>0.82399999999999995</v>
      </c>
      <c r="U204">
        <v>0.55400000000000005</v>
      </c>
      <c r="V204">
        <v>0.57199999999999995</v>
      </c>
      <c r="W204">
        <v>1.0609999999999999</v>
      </c>
      <c r="X204">
        <v>0.71899999999999997</v>
      </c>
      <c r="Y204">
        <v>0.93899999999999995</v>
      </c>
      <c r="Z204">
        <v>0.59799999999999998</v>
      </c>
      <c r="AA204">
        <v>1.1000000000000001</v>
      </c>
      <c r="AB204">
        <v>0.56299999999999994</v>
      </c>
      <c r="AC204">
        <v>1.0940000000000001</v>
      </c>
      <c r="AD204">
        <v>0.93799999999999994</v>
      </c>
      <c r="AE204">
        <v>0.90600000000000003</v>
      </c>
      <c r="AF204">
        <v>0.52</v>
      </c>
      <c r="AG204">
        <v>0.85</v>
      </c>
      <c r="AH204">
        <v>0.58399999999999996</v>
      </c>
      <c r="AI204">
        <v>0.97699999999999998</v>
      </c>
      <c r="AJ204">
        <v>0.9</v>
      </c>
      <c r="AK204">
        <v>0.64900000000000002</v>
      </c>
      <c r="AL204" t="s">
        <v>159</v>
      </c>
      <c r="AM204" t="s">
        <v>159</v>
      </c>
      <c r="AN204" t="s">
        <v>159</v>
      </c>
      <c r="AO204" t="s">
        <v>159</v>
      </c>
      <c r="AP204" t="s">
        <v>159</v>
      </c>
      <c r="AQ204" t="s">
        <v>159</v>
      </c>
      <c r="AR204" t="s">
        <v>159</v>
      </c>
      <c r="AS204" t="s">
        <v>159</v>
      </c>
      <c r="AT204" t="s">
        <v>159</v>
      </c>
      <c r="AU204" t="s">
        <v>159</v>
      </c>
      <c r="AV204" t="s">
        <v>159</v>
      </c>
      <c r="AW204" t="s">
        <v>159</v>
      </c>
      <c r="AX204" t="s">
        <v>159</v>
      </c>
      <c r="AY204" t="s">
        <v>159</v>
      </c>
      <c r="AZ204" t="s">
        <v>159</v>
      </c>
      <c r="BA204" t="s">
        <v>159</v>
      </c>
      <c r="BB204" t="s">
        <v>159</v>
      </c>
      <c r="BC204" t="s">
        <v>159</v>
      </c>
      <c r="BD204" t="s">
        <v>159</v>
      </c>
      <c r="BE204" t="s">
        <v>159</v>
      </c>
      <c r="BZ204">
        <v>2.9742453992151194</v>
      </c>
      <c r="CA204">
        <v>2389.6712847373828</v>
      </c>
      <c r="CB204">
        <v>3.42210160259686</v>
      </c>
      <c r="CC204">
        <v>1.5528567703671301</v>
      </c>
      <c r="CD204">
        <v>2.86686561462442</v>
      </c>
      <c r="CE204">
        <v>0.92841422564320197</v>
      </c>
      <c r="CF204">
        <v>1.0166671152792099</v>
      </c>
      <c r="CG204">
        <v>5.8776773851703696</v>
      </c>
      <c r="CH204">
        <v>1.9466330975585899</v>
      </c>
      <c r="CI204">
        <v>4.1547446429381996</v>
      </c>
      <c r="CJ204">
        <v>1.15346764510043</v>
      </c>
      <c r="CK204">
        <v>6.51222324784628</v>
      </c>
      <c r="CL204">
        <v>0.97189175062572097</v>
      </c>
      <c r="CM204">
        <v>6.4118484516837198</v>
      </c>
      <c r="CN204">
        <v>4.1421909501665102</v>
      </c>
      <c r="CO204">
        <v>3.75334197655441</v>
      </c>
      <c r="CP204">
        <v>0.77557455156891797</v>
      </c>
      <c r="CQ204">
        <v>3.1312936949424701</v>
      </c>
      <c r="CR204">
        <v>1.0784165403532</v>
      </c>
      <c r="CS204">
        <v>4.6502319472870104</v>
      </c>
      <c r="CT204">
        <v>3.68317862271895</v>
      </c>
      <c r="CU204">
        <v>1.4552881512767999</v>
      </c>
    </row>
    <row r="205" spans="1:99" x14ac:dyDescent="0.25">
      <c r="A205" t="s">
        <v>132</v>
      </c>
      <c r="B205" t="s">
        <v>167</v>
      </c>
      <c r="C205" t="s">
        <v>168</v>
      </c>
      <c r="D205">
        <v>-1</v>
      </c>
      <c r="E205">
        <v>6</v>
      </c>
      <c r="F205">
        <v>-1</v>
      </c>
      <c r="G205">
        <v>-1</v>
      </c>
      <c r="H205">
        <v>-1</v>
      </c>
      <c r="I205">
        <v>20</v>
      </c>
      <c r="J205">
        <v>-1</v>
      </c>
      <c r="K205">
        <v>-1</v>
      </c>
      <c r="L205">
        <v>-1</v>
      </c>
      <c r="M205">
        <v>2218.6666666666702</v>
      </c>
      <c r="N205">
        <v>908.25307823665696</v>
      </c>
      <c r="O205">
        <v>-1</v>
      </c>
      <c r="P205">
        <v>-1</v>
      </c>
      <c r="Q205">
        <v>-1</v>
      </c>
      <c r="R205">
        <v>0.77600000000000002</v>
      </c>
      <c r="S205">
        <v>0.88300000000000001</v>
      </c>
      <c r="T205">
        <v>0.60699999999999998</v>
      </c>
      <c r="U205">
        <v>0.66900000000000004</v>
      </c>
      <c r="V205">
        <v>0.84799999999999998</v>
      </c>
      <c r="W205">
        <v>0.67500000000000004</v>
      </c>
      <c r="X205">
        <v>0.70699999999999996</v>
      </c>
      <c r="Y205">
        <v>0.83899999999999997</v>
      </c>
      <c r="Z205">
        <v>0.79400000000000004</v>
      </c>
      <c r="AA205">
        <v>0.94</v>
      </c>
      <c r="AB205">
        <v>0.79600000000000004</v>
      </c>
      <c r="AC205">
        <v>0.624</v>
      </c>
      <c r="AD205">
        <v>0.62</v>
      </c>
      <c r="AE205">
        <v>0.48</v>
      </c>
      <c r="AF205">
        <v>0.66</v>
      </c>
      <c r="AG205">
        <v>0.747</v>
      </c>
      <c r="AH205">
        <v>0.84899999999999998</v>
      </c>
      <c r="AI205">
        <v>0.39300000000000002</v>
      </c>
      <c r="AJ205">
        <v>0.51700000000000002</v>
      </c>
      <c r="AK205">
        <v>0.83899999999999997</v>
      </c>
      <c r="AL205" t="s">
        <v>169</v>
      </c>
      <c r="AM205" t="s">
        <v>169</v>
      </c>
      <c r="AN205" t="s">
        <v>169</v>
      </c>
      <c r="AO205" t="s">
        <v>169</v>
      </c>
      <c r="AP205" t="s">
        <v>169</v>
      </c>
      <c r="AQ205" t="s">
        <v>169</v>
      </c>
      <c r="AR205" t="s">
        <v>169</v>
      </c>
      <c r="AS205" t="s">
        <v>169</v>
      </c>
      <c r="AT205" t="s">
        <v>169</v>
      </c>
      <c r="AU205" t="s">
        <v>169</v>
      </c>
      <c r="AV205" t="s">
        <v>169</v>
      </c>
      <c r="AW205" t="s">
        <v>169</v>
      </c>
      <c r="AX205" t="s">
        <v>169</v>
      </c>
      <c r="AY205" t="s">
        <v>169</v>
      </c>
      <c r="AZ205" t="s">
        <v>169</v>
      </c>
      <c r="BA205" t="s">
        <v>169</v>
      </c>
      <c r="BB205" t="s">
        <v>169</v>
      </c>
      <c r="BC205" t="s">
        <v>169</v>
      </c>
      <c r="BD205" t="s">
        <v>169</v>
      </c>
      <c r="BE205" t="s">
        <v>169</v>
      </c>
      <c r="BZ205">
        <v>2.2033371240340873</v>
      </c>
      <c r="CA205">
        <v>2001.1877252970626</v>
      </c>
      <c r="CB205">
        <v>2.54255340773173</v>
      </c>
      <c r="CC205">
        <v>3.5527647279936199</v>
      </c>
      <c r="CD205">
        <v>1.3458198702219399</v>
      </c>
      <c r="CE205">
        <v>1.7313380401354801</v>
      </c>
      <c r="CF205">
        <v>3.1994364154962902</v>
      </c>
      <c r="CG205">
        <v>1.7718420236969601</v>
      </c>
      <c r="CH205">
        <v>1.9976734973008801</v>
      </c>
      <c r="CI205">
        <v>3.1122301436175701</v>
      </c>
      <c r="CJ205">
        <v>2.6981328373596001</v>
      </c>
      <c r="CK205">
        <v>4.1776241691879799</v>
      </c>
      <c r="CL205">
        <v>2.7157705323466002</v>
      </c>
      <c r="CM205">
        <v>1.44562720820763</v>
      </c>
      <c r="CN205">
        <v>1.4217482489067601</v>
      </c>
      <c r="CO205">
        <v>0.73272841052326898</v>
      </c>
      <c r="CP205">
        <v>1.6716564150242299</v>
      </c>
      <c r="CQ205">
        <v>2.3037141238155701</v>
      </c>
      <c r="CR205">
        <v>3.2092174423231201</v>
      </c>
      <c r="CS205">
        <v>0.43652078919172599</v>
      </c>
      <c r="CT205">
        <v>0.88811403398322497</v>
      </c>
      <c r="CU205">
        <v>3.1122301436175701</v>
      </c>
    </row>
    <row r="206" spans="1:99" x14ac:dyDescent="0.25">
      <c r="A206" t="s">
        <v>132</v>
      </c>
      <c r="B206" t="s">
        <v>166</v>
      </c>
      <c r="C206" t="s">
        <v>154</v>
      </c>
      <c r="D206">
        <v>-1</v>
      </c>
      <c r="E206">
        <v>1</v>
      </c>
      <c r="F206">
        <v>2</v>
      </c>
      <c r="G206">
        <v>-1</v>
      </c>
      <c r="H206">
        <v>-1</v>
      </c>
      <c r="I206">
        <v>2</v>
      </c>
      <c r="J206">
        <v>3</v>
      </c>
      <c r="K206">
        <v>-1</v>
      </c>
      <c r="L206">
        <v>-1</v>
      </c>
      <c r="M206">
        <v>682.66666666666697</v>
      </c>
      <c r="N206">
        <v>279.46248561127902</v>
      </c>
      <c r="O206">
        <v>-1</v>
      </c>
      <c r="P206">
        <v>-1</v>
      </c>
      <c r="Q206">
        <v>-1</v>
      </c>
      <c r="R206">
        <v>0.73</v>
      </c>
      <c r="S206">
        <v>0.95599999999999996</v>
      </c>
      <c r="T206">
        <v>0.86399999999999999</v>
      </c>
      <c r="U206">
        <v>0.96299999999999997</v>
      </c>
      <c r="V206">
        <v>0.85</v>
      </c>
      <c r="W206">
        <v>0.83499999999999996</v>
      </c>
      <c r="X206">
        <v>0.83499999999999996</v>
      </c>
      <c r="Y206">
        <v>0.90900000000000003</v>
      </c>
      <c r="AL206" t="s">
        <v>156</v>
      </c>
      <c r="AM206" t="s">
        <v>155</v>
      </c>
      <c r="AN206" t="s">
        <v>156</v>
      </c>
      <c r="AO206" t="s">
        <v>155</v>
      </c>
      <c r="AP206" t="s">
        <v>155</v>
      </c>
      <c r="AQ206" t="s">
        <v>156</v>
      </c>
      <c r="AR206" t="s">
        <v>156</v>
      </c>
      <c r="AS206" t="s">
        <v>156</v>
      </c>
      <c r="BZ206">
        <v>3.109928906021358</v>
      </c>
      <c r="CA206">
        <v>869.1084621510945</v>
      </c>
      <c r="CB206">
        <v>1.50771964875133</v>
      </c>
      <c r="CC206">
        <v>4.3989261629137397</v>
      </c>
      <c r="CD206">
        <v>2.9436650911415101</v>
      </c>
      <c r="CE206">
        <v>4.5281958238365698</v>
      </c>
      <c r="CF206">
        <v>2.7588111657657999</v>
      </c>
      <c r="CG206">
        <v>2.5705387058146498</v>
      </c>
      <c r="CH206">
        <v>2.5705387058146498</v>
      </c>
      <c r="CI206">
        <v>3.6010359441326201</v>
      </c>
    </row>
    <row r="207" spans="1:99" x14ac:dyDescent="0.25">
      <c r="A207" t="s">
        <v>132</v>
      </c>
      <c r="B207" t="s">
        <v>198</v>
      </c>
      <c r="C207" t="s">
        <v>199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41552</v>
      </c>
      <c r="N207">
        <v>17010.095510917799</v>
      </c>
      <c r="O207">
        <v>31</v>
      </c>
      <c r="P207">
        <v>22</v>
      </c>
      <c r="Q207">
        <v>53</v>
      </c>
      <c r="R207">
        <v>0.109</v>
      </c>
      <c r="S207">
        <v>0.10199999999999999</v>
      </c>
      <c r="T207">
        <v>9.4E-2</v>
      </c>
      <c r="U207">
        <v>8.4000000000000005E-2</v>
      </c>
      <c r="V207">
        <v>8.1000000000000003E-2</v>
      </c>
      <c r="W207">
        <v>0.105</v>
      </c>
      <c r="X207">
        <v>0.12</v>
      </c>
      <c r="Y207">
        <v>8.1000000000000003E-2</v>
      </c>
      <c r="Z207">
        <v>8.3000000000000004E-2</v>
      </c>
      <c r="AA207">
        <v>0.09</v>
      </c>
      <c r="AB207">
        <v>9.9000000000000005E-2</v>
      </c>
      <c r="AC207">
        <v>8.7999999999999995E-2</v>
      </c>
      <c r="AD207">
        <v>0.14199999999999999</v>
      </c>
      <c r="AE207">
        <v>9.0999999999999998E-2</v>
      </c>
      <c r="AF207">
        <v>0.16</v>
      </c>
      <c r="AG207">
        <v>0.128</v>
      </c>
      <c r="AH207">
        <v>8.3000000000000004E-2</v>
      </c>
      <c r="AI207">
        <v>5.8000000000000003E-2</v>
      </c>
      <c r="AJ207">
        <v>0.09</v>
      </c>
      <c r="BZ207">
        <v>0.1565388461448661</v>
      </c>
      <c r="CA207">
        <v>2662.7407240930388</v>
      </c>
      <c r="CB207">
        <v>0.16840567905905679</v>
      </c>
      <c r="CC207">
        <v>0.14898949868956468</v>
      </c>
      <c r="CD207">
        <v>0.12952524767371265</v>
      </c>
      <c r="CE207">
        <v>0.10873087852656856</v>
      </c>
      <c r="CF207">
        <v>0.10316976392212798</v>
      </c>
      <c r="CG207">
        <v>0.15702041439172909</v>
      </c>
      <c r="CH207">
        <v>0.20415424781419131</v>
      </c>
      <c r="CI207">
        <v>0.10316976392212798</v>
      </c>
      <c r="CJ207">
        <v>0.10684464086996007</v>
      </c>
      <c r="CK207">
        <v>0.12076854045275696</v>
      </c>
      <c r="CL207">
        <v>0.1413693296235311</v>
      </c>
      <c r="CM207">
        <v>0.11661475677470312</v>
      </c>
      <c r="CN207">
        <v>0.30002800637077987</v>
      </c>
      <c r="CO207">
        <v>0.12290059094102512</v>
      </c>
      <c r="CP207">
        <v>0.41111616927742639</v>
      </c>
      <c r="CQ207">
        <v>0.23483328218606961</v>
      </c>
      <c r="CR207">
        <v>0.10684464086996007</v>
      </c>
      <c r="CS207">
        <v>6.8984084934407039E-2</v>
      </c>
      <c r="CT207">
        <v>0.12076854045275696</v>
      </c>
      <c r="CU207" t="s">
        <v>239</v>
      </c>
    </row>
    <row r="208" spans="1:99" x14ac:dyDescent="0.25">
      <c r="A208" t="s">
        <v>132</v>
      </c>
      <c r="B208" t="s">
        <v>160</v>
      </c>
      <c r="C208" t="s">
        <v>154</v>
      </c>
      <c r="D208">
        <v>-1</v>
      </c>
      <c r="E208">
        <v>0</v>
      </c>
      <c r="F208">
        <v>0</v>
      </c>
      <c r="G208">
        <v>-1</v>
      </c>
      <c r="H208">
        <v>-1</v>
      </c>
      <c r="I208">
        <v>0</v>
      </c>
      <c r="J208">
        <v>1</v>
      </c>
      <c r="K208">
        <v>-1</v>
      </c>
      <c r="L208">
        <v>-1</v>
      </c>
      <c r="M208">
        <v>85.3333333333333</v>
      </c>
      <c r="N208">
        <v>34.932810701409899</v>
      </c>
      <c r="O208">
        <v>-1</v>
      </c>
      <c r="P208">
        <v>-1</v>
      </c>
      <c r="Q208">
        <v>-1</v>
      </c>
      <c r="R208">
        <v>1.734</v>
      </c>
      <c r="AL208" t="s">
        <v>156</v>
      </c>
      <c r="BZ208">
        <v>20.401653978644799</v>
      </c>
      <c r="CA208">
        <v>712.68711643166489</v>
      </c>
      <c r="CB208">
        <v>20.401653978644799</v>
      </c>
    </row>
    <row r="209" spans="1:99" x14ac:dyDescent="0.25">
      <c r="A209" t="s">
        <v>132</v>
      </c>
      <c r="B209" t="s">
        <v>164</v>
      </c>
      <c r="C209" t="s">
        <v>158</v>
      </c>
      <c r="D209">
        <v>-1</v>
      </c>
      <c r="E209">
        <v>0</v>
      </c>
      <c r="F209">
        <v>-1</v>
      </c>
      <c r="G209">
        <v>-1</v>
      </c>
      <c r="H209">
        <v>-1</v>
      </c>
      <c r="I209">
        <v>1</v>
      </c>
      <c r="J209">
        <v>-1</v>
      </c>
      <c r="K209">
        <v>-1</v>
      </c>
      <c r="L209">
        <v>-1</v>
      </c>
      <c r="M209">
        <v>85.3333333333333</v>
      </c>
      <c r="N209">
        <v>34.932810701409899</v>
      </c>
      <c r="O209">
        <v>-1</v>
      </c>
      <c r="P209">
        <v>-1</v>
      </c>
      <c r="Q209">
        <v>-1</v>
      </c>
      <c r="R209">
        <v>0.317</v>
      </c>
      <c r="AL209" t="s">
        <v>159</v>
      </c>
      <c r="BZ209">
        <v>0.82316437806424703</v>
      </c>
      <c r="CA209">
        <v>28.755445395062154</v>
      </c>
      <c r="CB209">
        <v>0.82316437806424703</v>
      </c>
    </row>
    <row r="210" spans="1:99" x14ac:dyDescent="0.25">
      <c r="A210" t="s">
        <v>132</v>
      </c>
      <c r="B210" t="s">
        <v>200</v>
      </c>
      <c r="C210" t="s">
        <v>192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2352</v>
      </c>
      <c r="N210">
        <v>962.83559495761006</v>
      </c>
      <c r="O210">
        <v>0</v>
      </c>
      <c r="P210">
        <v>3</v>
      </c>
      <c r="Q210">
        <v>3</v>
      </c>
      <c r="R210">
        <v>9.2999999999999999E-2</v>
      </c>
      <c r="S210">
        <v>0.10199999999999999</v>
      </c>
      <c r="T210">
        <v>8.8999999999999996E-2</v>
      </c>
      <c r="BZ210">
        <v>1.7136893333333333E-2</v>
      </c>
      <c r="CA210">
        <v>16.5000108883251</v>
      </c>
      <c r="CB210">
        <v>1.608714E-2</v>
      </c>
      <c r="CC210">
        <v>2.1224159999999999E-2</v>
      </c>
      <c r="CD210">
        <v>1.409938E-2</v>
      </c>
    </row>
    <row r="211" spans="1:99" x14ac:dyDescent="0.25">
      <c r="A211" t="s">
        <v>132</v>
      </c>
      <c r="B211" t="s">
        <v>163</v>
      </c>
      <c r="C211" t="s">
        <v>158</v>
      </c>
      <c r="D211">
        <v>-1</v>
      </c>
      <c r="E211">
        <v>42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10752</v>
      </c>
      <c r="N211">
        <v>4401.5341483776401</v>
      </c>
      <c r="O211">
        <v>-1</v>
      </c>
      <c r="P211">
        <v>-1</v>
      </c>
      <c r="Q211">
        <v>-1</v>
      </c>
      <c r="R211">
        <v>0.55000000000000004</v>
      </c>
      <c r="S211">
        <v>0.60199999999999998</v>
      </c>
      <c r="T211">
        <v>0.69799999999999995</v>
      </c>
      <c r="U211">
        <v>0.94699999999999995</v>
      </c>
      <c r="V211">
        <v>0.72499999999999998</v>
      </c>
      <c r="W211">
        <v>0.63200000000000001</v>
      </c>
      <c r="X211">
        <v>0.35499999999999998</v>
      </c>
      <c r="Y211">
        <v>0.79100000000000004</v>
      </c>
      <c r="Z211">
        <v>0.78400000000000003</v>
      </c>
      <c r="AA211">
        <v>0.92100000000000004</v>
      </c>
      <c r="AB211">
        <v>0.90500000000000003</v>
      </c>
      <c r="AC211">
        <v>0.39800000000000002</v>
      </c>
      <c r="AD211">
        <v>0.93400000000000005</v>
      </c>
      <c r="AE211">
        <v>0.93400000000000005</v>
      </c>
      <c r="AF211">
        <v>0.53700000000000003</v>
      </c>
      <c r="AG211">
        <v>0.81899999999999995</v>
      </c>
      <c r="AH211">
        <v>0.68100000000000005</v>
      </c>
      <c r="AI211">
        <v>0.51300000000000001</v>
      </c>
      <c r="AJ211">
        <v>0.53700000000000003</v>
      </c>
      <c r="AK211">
        <v>1.0209999999999999</v>
      </c>
      <c r="AL211" t="s">
        <v>159</v>
      </c>
      <c r="AM211" t="s">
        <v>159</v>
      </c>
      <c r="AN211" t="s">
        <v>159</v>
      </c>
      <c r="AO211" t="s">
        <v>159</v>
      </c>
      <c r="AP211" t="s">
        <v>159</v>
      </c>
      <c r="AQ211" t="s">
        <v>159</v>
      </c>
      <c r="AR211" t="s">
        <v>159</v>
      </c>
      <c r="AS211" t="s">
        <v>159</v>
      </c>
      <c r="AT211" t="s">
        <v>159</v>
      </c>
      <c r="AU211" t="s">
        <v>159</v>
      </c>
      <c r="AV211" t="s">
        <v>159</v>
      </c>
      <c r="AW211" t="s">
        <v>159</v>
      </c>
      <c r="AX211" t="s">
        <v>159</v>
      </c>
      <c r="AY211" t="s">
        <v>159</v>
      </c>
      <c r="AZ211" t="s">
        <v>159</v>
      </c>
      <c r="BA211" t="s">
        <v>159</v>
      </c>
      <c r="BB211" t="s">
        <v>159</v>
      </c>
      <c r="BC211" t="s">
        <v>159</v>
      </c>
      <c r="BD211" t="s">
        <v>159</v>
      </c>
      <c r="BE211" t="s">
        <v>159</v>
      </c>
      <c r="BZ211">
        <v>3.3813002000171033</v>
      </c>
      <c r="CA211">
        <v>14882.908296291425</v>
      </c>
      <c r="CB211">
        <v>1.1804550120567201</v>
      </c>
      <c r="CC211">
        <v>1.5747269789959999</v>
      </c>
      <c r="CD211">
        <v>2.5245923341201002</v>
      </c>
      <c r="CE211">
        <v>6.6811141817191801</v>
      </c>
      <c r="CF211">
        <v>2.8495133890924502</v>
      </c>
      <c r="CG211">
        <v>1.8389924265598701</v>
      </c>
      <c r="CH211">
        <v>0.292092837229733</v>
      </c>
      <c r="CI211">
        <v>3.7624907711662199</v>
      </c>
      <c r="CJ211">
        <v>3.6573009681156399</v>
      </c>
      <c r="CK211">
        <v>6.1133699984118399</v>
      </c>
      <c r="CL211">
        <v>5.7809794910683099</v>
      </c>
      <c r="CM211">
        <v>0.42064861265217102</v>
      </c>
      <c r="CN211">
        <v>6.3929159723181002</v>
      </c>
      <c r="CO211">
        <v>6.3929159723181002</v>
      </c>
      <c r="CP211">
        <v>1.0937307751508401</v>
      </c>
      <c r="CQ211">
        <v>4.2040522750620903</v>
      </c>
      <c r="CR211">
        <v>2.3336286499990502</v>
      </c>
      <c r="CS211">
        <v>0.945293900653432</v>
      </c>
      <c r="CT211">
        <v>1.0937307751508401</v>
      </c>
      <c r="CU211">
        <v>8.4934586785013799</v>
      </c>
    </row>
    <row r="212" spans="1:99" x14ac:dyDescent="0.25">
      <c r="A212" t="s">
        <v>132</v>
      </c>
      <c r="B212" t="s">
        <v>201</v>
      </c>
      <c r="C212" t="s">
        <v>192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34496</v>
      </c>
      <c r="N212">
        <v>14121.5887260449</v>
      </c>
      <c r="O212">
        <v>23</v>
      </c>
      <c r="P212">
        <v>21</v>
      </c>
      <c r="Q212">
        <v>44</v>
      </c>
      <c r="R212">
        <v>0.12</v>
      </c>
      <c r="S212">
        <v>0.15</v>
      </c>
      <c r="T212">
        <v>0.16</v>
      </c>
      <c r="U212">
        <v>0.159</v>
      </c>
      <c r="V212">
        <v>0.14599999999999999</v>
      </c>
      <c r="W212">
        <v>0.17499999999999999</v>
      </c>
      <c r="X212">
        <v>0.14699999999999999</v>
      </c>
      <c r="Y212">
        <v>0.13900000000000001</v>
      </c>
      <c r="Z212">
        <v>0.14199999999999999</v>
      </c>
      <c r="AA212">
        <v>0.13400000000000001</v>
      </c>
      <c r="AB212">
        <v>0.14199999999999999</v>
      </c>
      <c r="AC212">
        <v>0.156</v>
      </c>
      <c r="AD212">
        <v>0.17100000000000001</v>
      </c>
      <c r="AE212">
        <v>0.13900000000000001</v>
      </c>
      <c r="AF212">
        <v>0.122</v>
      </c>
      <c r="AG212">
        <v>0.156</v>
      </c>
      <c r="AH212">
        <v>0.13800000000000001</v>
      </c>
      <c r="AI212">
        <v>0.151</v>
      </c>
      <c r="AJ212">
        <v>0.158</v>
      </c>
      <c r="AK212">
        <v>0.151</v>
      </c>
      <c r="BZ212">
        <v>1.0084706268E-2</v>
      </c>
      <c r="CA212">
        <v>142.41207433966312</v>
      </c>
      <c r="CB212">
        <v>5.2617599999999999E-3</v>
      </c>
      <c r="CC212">
        <v>1.0276875E-2</v>
      </c>
      <c r="CD212">
        <v>1.247232E-2</v>
      </c>
      <c r="CE212">
        <v>1.2239922554999999E-2</v>
      </c>
      <c r="CF212">
        <v>9.47645412E-3</v>
      </c>
      <c r="CG212">
        <v>1.6319296875E-2</v>
      </c>
      <c r="CH212">
        <v>9.6725125350000003E-3</v>
      </c>
      <c r="CI212">
        <v>8.1777098549999996E-3</v>
      </c>
      <c r="CJ212">
        <v>8.7187119600000001E-3</v>
      </c>
      <c r="CK212">
        <v>7.3265866800000003E-3</v>
      </c>
      <c r="CL212">
        <v>8.7187119600000001E-3</v>
      </c>
      <c r="CM212">
        <v>1.156008672E-2</v>
      </c>
      <c r="CN212">
        <v>1.5225642495E-2</v>
      </c>
      <c r="CO212">
        <v>8.1777098549999996E-3</v>
      </c>
      <c r="CP212">
        <v>5.5292571600000003E-3</v>
      </c>
      <c r="CQ212">
        <v>1.156008672E-2</v>
      </c>
      <c r="CR212">
        <v>8.0024792400000006E-3</v>
      </c>
      <c r="CS212">
        <v>1.0483785795000001E-2</v>
      </c>
      <c r="CT212">
        <v>1.2010430040000001E-2</v>
      </c>
      <c r="CU212">
        <v>1.0483785795000001E-2</v>
      </c>
    </row>
    <row r="213" spans="1:99" x14ac:dyDescent="0.25">
      <c r="A213" t="s">
        <v>132</v>
      </c>
      <c r="B213" t="s">
        <v>202</v>
      </c>
      <c r="C213" t="s">
        <v>192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54880</v>
      </c>
      <c r="N213">
        <v>22466.163882344201</v>
      </c>
      <c r="O213">
        <v>31</v>
      </c>
      <c r="P213">
        <v>39</v>
      </c>
      <c r="Q213">
        <v>70</v>
      </c>
      <c r="R213">
        <v>0.09</v>
      </c>
      <c r="S213">
        <v>0.11700000000000001</v>
      </c>
      <c r="T213">
        <v>8.7999999999999995E-2</v>
      </c>
      <c r="U213">
        <v>8.2000000000000003E-2</v>
      </c>
      <c r="V213">
        <v>9.0999999999999998E-2</v>
      </c>
      <c r="W213">
        <v>8.4000000000000005E-2</v>
      </c>
      <c r="X213">
        <v>8.5999999999999993E-2</v>
      </c>
      <c r="Y213">
        <v>7.6999999999999999E-2</v>
      </c>
      <c r="Z213">
        <v>9.2999999999999999E-2</v>
      </c>
      <c r="AA213">
        <v>9.4E-2</v>
      </c>
      <c r="AB213">
        <v>0.10199999999999999</v>
      </c>
      <c r="AC213">
        <v>8.6999999999999994E-2</v>
      </c>
      <c r="AD213">
        <v>0.11700000000000001</v>
      </c>
      <c r="AE213">
        <v>8.5999999999999993E-2</v>
      </c>
      <c r="AF213">
        <v>9.9000000000000005E-2</v>
      </c>
      <c r="AG213">
        <v>9.8000000000000004E-2</v>
      </c>
      <c r="AH213">
        <v>9.9000000000000005E-2</v>
      </c>
      <c r="AI213">
        <v>0.11700000000000001</v>
      </c>
      <c r="AJ213">
        <v>9.8000000000000004E-2</v>
      </c>
      <c r="AK213">
        <v>0.13800000000000001</v>
      </c>
      <c r="BZ213">
        <v>1.9647305000000002E-3</v>
      </c>
      <c r="CA213">
        <v>44.139957397640067</v>
      </c>
      <c r="CB213">
        <v>1.4580000000000001E-3</v>
      </c>
      <c r="CC213">
        <v>3.203226E-3</v>
      </c>
      <c r="CD213">
        <v>1.362944E-3</v>
      </c>
      <c r="CE213">
        <v>1.102736E-3</v>
      </c>
      <c r="CF213">
        <v>1.5071419999999999E-3</v>
      </c>
      <c r="CG213">
        <v>1.185408E-3</v>
      </c>
      <c r="CH213">
        <v>1.2721119999999999E-3</v>
      </c>
      <c r="CI213">
        <v>9.1306600000000003E-4</v>
      </c>
      <c r="CJ213">
        <v>1.608714E-3</v>
      </c>
      <c r="CK213">
        <v>1.661168E-3</v>
      </c>
      <c r="CL213">
        <v>2.1224159999999998E-3</v>
      </c>
      <c r="CM213">
        <v>1.3170059999999999E-3</v>
      </c>
      <c r="CN213">
        <v>3.203226E-3</v>
      </c>
      <c r="CO213">
        <v>1.2721119999999999E-3</v>
      </c>
      <c r="CP213">
        <v>1.940598E-3</v>
      </c>
      <c r="CQ213">
        <v>1.882384E-3</v>
      </c>
      <c r="CR213">
        <v>1.940598E-3</v>
      </c>
      <c r="CS213">
        <v>3.203226E-3</v>
      </c>
      <c r="CT213">
        <v>1.882384E-3</v>
      </c>
      <c r="CU213">
        <v>5.2561439999999999E-3</v>
      </c>
    </row>
    <row r="214" spans="1:99" x14ac:dyDescent="0.25">
      <c r="A214" t="s">
        <v>132</v>
      </c>
      <c r="B214" t="s">
        <v>203</v>
      </c>
      <c r="C214" t="s">
        <v>192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2352</v>
      </c>
      <c r="N214">
        <v>962.83559495761006</v>
      </c>
      <c r="O214">
        <v>2</v>
      </c>
      <c r="P214">
        <v>1</v>
      </c>
      <c r="Q214">
        <v>3</v>
      </c>
      <c r="R214">
        <v>0.111</v>
      </c>
      <c r="S214">
        <v>0.109</v>
      </c>
      <c r="T214">
        <v>9.8000000000000004E-2</v>
      </c>
      <c r="BZ214">
        <v>2.4025679999999999E-3</v>
      </c>
      <c r="CA214">
        <v>2.3132779897061151</v>
      </c>
      <c r="CB214">
        <v>2.735262E-3</v>
      </c>
      <c r="CC214">
        <v>2.5900580000000001E-3</v>
      </c>
      <c r="CD214">
        <v>1.882384E-3</v>
      </c>
    </row>
    <row r="215" spans="1:99" x14ac:dyDescent="0.25">
      <c r="A215" t="s">
        <v>132</v>
      </c>
      <c r="B215" t="s">
        <v>204</v>
      </c>
      <c r="C215" t="s">
        <v>192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10192</v>
      </c>
      <c r="N215">
        <v>4172.2875781496396</v>
      </c>
      <c r="O215">
        <v>5</v>
      </c>
      <c r="P215">
        <v>8</v>
      </c>
      <c r="Q215">
        <v>13</v>
      </c>
      <c r="R215">
        <v>0.14599999999999999</v>
      </c>
      <c r="S215">
        <v>0.11899999999999999</v>
      </c>
      <c r="T215">
        <v>0.123</v>
      </c>
      <c r="U215">
        <v>0.107</v>
      </c>
      <c r="V215">
        <v>0.106</v>
      </c>
      <c r="W215">
        <v>0.113</v>
      </c>
      <c r="X215">
        <v>0.11600000000000001</v>
      </c>
      <c r="Y215">
        <v>0.13100000000000001</v>
      </c>
      <c r="Z215">
        <v>0.14000000000000001</v>
      </c>
      <c r="AA215">
        <v>0.115</v>
      </c>
      <c r="AB215">
        <v>0.10199999999999999</v>
      </c>
      <c r="AC215">
        <v>0.11899999999999999</v>
      </c>
      <c r="AD215">
        <v>0.11700000000000001</v>
      </c>
      <c r="BZ215">
        <v>3.5290707692307694E-3</v>
      </c>
      <c r="CA215">
        <v>14.724298132872532</v>
      </c>
      <c r="CB215">
        <v>6.2242720000000003E-3</v>
      </c>
      <c r="CC215">
        <v>3.3703180000000002E-3</v>
      </c>
      <c r="CD215">
        <v>3.721734E-3</v>
      </c>
      <c r="CE215">
        <v>2.4500860000000002E-3</v>
      </c>
      <c r="CF215">
        <v>2.3820320000000001E-3</v>
      </c>
      <c r="CG215">
        <v>2.8857940000000001E-3</v>
      </c>
      <c r="CH215">
        <v>3.121792E-3</v>
      </c>
      <c r="CI215">
        <v>4.4961819999999996E-3</v>
      </c>
      <c r="CJ215">
        <v>5.4879999999999998E-3</v>
      </c>
      <c r="CK215">
        <v>3.0417500000000002E-3</v>
      </c>
      <c r="CL215">
        <v>2.1224159999999998E-3</v>
      </c>
      <c r="CM215">
        <v>3.3703180000000002E-3</v>
      </c>
      <c r="CN215">
        <v>3.203226E-3</v>
      </c>
    </row>
    <row r="216" spans="1:99" x14ac:dyDescent="0.25">
      <c r="A216" t="s">
        <v>132</v>
      </c>
      <c r="B216" t="s">
        <v>205</v>
      </c>
      <c r="C216" t="s">
        <v>192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7056</v>
      </c>
      <c r="N216">
        <v>2888.5067848728299</v>
      </c>
      <c r="O216">
        <v>6</v>
      </c>
      <c r="P216">
        <v>3</v>
      </c>
      <c r="Q216">
        <v>9</v>
      </c>
      <c r="R216">
        <v>0.111</v>
      </c>
      <c r="S216">
        <v>9.2999999999999999E-2</v>
      </c>
      <c r="T216">
        <v>9.4E-2</v>
      </c>
      <c r="U216">
        <v>0.11</v>
      </c>
      <c r="V216">
        <v>9.7000000000000003E-2</v>
      </c>
      <c r="W216">
        <v>8.8999999999999996E-2</v>
      </c>
      <c r="X216">
        <v>0.128</v>
      </c>
      <c r="Y216">
        <v>0.11899999999999999</v>
      </c>
      <c r="Z216">
        <v>0.127</v>
      </c>
      <c r="BZ216">
        <v>2.6182017777777781E-3</v>
      </c>
      <c r="CA216">
        <v>7.5626935992772175</v>
      </c>
      <c r="CB216">
        <v>2.735262E-3</v>
      </c>
      <c r="CC216">
        <v>1.608714E-3</v>
      </c>
      <c r="CD216">
        <v>1.661168E-3</v>
      </c>
      <c r="CE216">
        <v>2.6619999999999999E-3</v>
      </c>
      <c r="CF216">
        <v>1.825346E-3</v>
      </c>
      <c r="CG216">
        <v>1.4099379999999999E-3</v>
      </c>
      <c r="CH216">
        <v>4.1943040000000003E-3</v>
      </c>
      <c r="CI216">
        <v>3.3703180000000002E-3</v>
      </c>
      <c r="CJ216">
        <v>4.0967659999999999E-3</v>
      </c>
    </row>
    <row r="217" spans="1:99" x14ac:dyDescent="0.25">
      <c r="A217" t="s">
        <v>132</v>
      </c>
      <c r="B217" t="s">
        <v>216</v>
      </c>
      <c r="C217" t="s">
        <v>192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784</v>
      </c>
      <c r="N217">
        <v>320.94519831920297</v>
      </c>
      <c r="O217">
        <v>0</v>
      </c>
      <c r="P217">
        <v>1</v>
      </c>
      <c r="Q217">
        <v>1</v>
      </c>
      <c r="R217">
        <v>0.159</v>
      </c>
      <c r="BZ217">
        <v>9.2854584899999995E-2</v>
      </c>
      <c r="CA217">
        <v>29.801233165577766</v>
      </c>
      <c r="CB217">
        <v>9.2854584899999995E-2</v>
      </c>
    </row>
    <row r="218" spans="1:99" x14ac:dyDescent="0.25">
      <c r="A218" t="s">
        <v>132</v>
      </c>
      <c r="B218" t="s">
        <v>162</v>
      </c>
      <c r="C218" t="s">
        <v>154</v>
      </c>
      <c r="D218">
        <v>-1</v>
      </c>
      <c r="E218">
        <v>0</v>
      </c>
      <c r="F218">
        <v>0</v>
      </c>
      <c r="G218">
        <v>-1</v>
      </c>
      <c r="H218">
        <v>-1</v>
      </c>
      <c r="I218">
        <v>1</v>
      </c>
      <c r="J218">
        <v>0</v>
      </c>
      <c r="K218">
        <v>-1</v>
      </c>
      <c r="L218">
        <v>-1</v>
      </c>
      <c r="M218">
        <v>85.3333333333333</v>
      </c>
      <c r="N218">
        <v>34.932810701409899</v>
      </c>
      <c r="O218">
        <v>-1</v>
      </c>
      <c r="P218">
        <v>-1</v>
      </c>
      <c r="Q218">
        <v>-1</v>
      </c>
      <c r="R218">
        <v>0.98099999999999998</v>
      </c>
      <c r="AL218" t="s">
        <v>155</v>
      </c>
      <c r="BZ218">
        <v>4.6660668367820897</v>
      </c>
      <c r="CA218">
        <v>162.99882952943523</v>
      </c>
      <c r="CB218">
        <v>4.6660668367820897</v>
      </c>
    </row>
    <row r="219" spans="1:99" x14ac:dyDescent="0.25">
      <c r="A219" t="s">
        <v>132</v>
      </c>
      <c r="B219" t="s">
        <v>161</v>
      </c>
      <c r="C219" t="s">
        <v>154</v>
      </c>
      <c r="D219">
        <v>-1</v>
      </c>
      <c r="E219">
        <v>3</v>
      </c>
      <c r="F219">
        <v>1</v>
      </c>
      <c r="G219">
        <v>-1</v>
      </c>
      <c r="H219">
        <v>-1</v>
      </c>
      <c r="I219">
        <v>3</v>
      </c>
      <c r="J219">
        <v>5</v>
      </c>
      <c r="K219">
        <v>-1</v>
      </c>
      <c r="L219">
        <v>-1</v>
      </c>
      <c r="M219">
        <v>1024</v>
      </c>
      <c r="N219">
        <v>419.19372841691899</v>
      </c>
      <c r="O219">
        <v>-1</v>
      </c>
      <c r="P219">
        <v>-1</v>
      </c>
      <c r="Q219">
        <v>-1</v>
      </c>
      <c r="R219">
        <v>0.92100000000000004</v>
      </c>
      <c r="S219">
        <v>0.95799999999999996</v>
      </c>
      <c r="T219">
        <v>0.83599999999999997</v>
      </c>
      <c r="U219">
        <v>0.997</v>
      </c>
      <c r="V219">
        <v>0.86299999999999999</v>
      </c>
      <c r="W219">
        <v>0.98199999999999998</v>
      </c>
      <c r="X219">
        <v>0.877</v>
      </c>
      <c r="Y219">
        <v>0.98599999999999999</v>
      </c>
      <c r="Z219">
        <v>0.70499999999999996</v>
      </c>
      <c r="AA219">
        <v>0.81499999999999995</v>
      </c>
      <c r="AB219">
        <v>0.94899999999999995</v>
      </c>
      <c r="AC219">
        <v>0.96599999999999997</v>
      </c>
      <c r="AL219" t="s">
        <v>156</v>
      </c>
      <c r="AM219" t="s">
        <v>155</v>
      </c>
      <c r="AN219" t="s">
        <v>155</v>
      </c>
      <c r="AO219" t="s">
        <v>155</v>
      </c>
      <c r="AP219" t="s">
        <v>156</v>
      </c>
      <c r="AQ219" t="s">
        <v>155</v>
      </c>
      <c r="AR219" t="s">
        <v>156</v>
      </c>
      <c r="AS219" t="s">
        <v>155</v>
      </c>
      <c r="AT219" t="s">
        <v>156</v>
      </c>
      <c r="AU219" t="s">
        <v>156</v>
      </c>
      <c r="AV219" t="s">
        <v>156</v>
      </c>
      <c r="AW219" t="s">
        <v>155</v>
      </c>
      <c r="BZ219">
        <v>3.8483385792023745</v>
      </c>
      <c r="CA219">
        <v>1613.199397226512</v>
      </c>
      <c r="CB219">
        <v>3.9624214724845399</v>
      </c>
      <c r="CC219">
        <v>4.3879825795333298</v>
      </c>
      <c r="CD219">
        <v>3.0834895774059801</v>
      </c>
      <c r="CE219">
        <v>4.8657376190996899</v>
      </c>
      <c r="CF219">
        <v>3.34808277936955</v>
      </c>
      <c r="CG219">
        <v>4.6783959996939899</v>
      </c>
      <c r="CH219">
        <v>3.4905766007422701</v>
      </c>
      <c r="CI219">
        <v>4.7279125600101404</v>
      </c>
      <c r="CJ219">
        <v>1.9830699757172801</v>
      </c>
      <c r="CK219">
        <v>2.8868647184920002</v>
      </c>
      <c r="CL219">
        <v>4.2820103867250596</v>
      </c>
      <c r="CM219">
        <v>4.4835186811546599</v>
      </c>
    </row>
    <row r="220" spans="1:99" x14ac:dyDescent="0.25">
      <c r="A220" t="s">
        <v>132</v>
      </c>
      <c r="B220" t="s">
        <v>165</v>
      </c>
      <c r="C220" t="s">
        <v>158</v>
      </c>
      <c r="D220">
        <v>-1</v>
      </c>
      <c r="E220">
        <v>2</v>
      </c>
      <c r="F220">
        <v>-1</v>
      </c>
      <c r="G220">
        <v>-1</v>
      </c>
      <c r="H220">
        <v>-1</v>
      </c>
      <c r="I220">
        <v>4</v>
      </c>
      <c r="J220">
        <v>-1</v>
      </c>
      <c r="K220">
        <v>4</v>
      </c>
      <c r="L220">
        <v>-1</v>
      </c>
      <c r="M220">
        <v>365.71428571428601</v>
      </c>
      <c r="N220">
        <v>149.71204586318501</v>
      </c>
      <c r="O220">
        <v>-1</v>
      </c>
      <c r="P220">
        <v>-1</v>
      </c>
      <c r="Q220">
        <v>-1</v>
      </c>
      <c r="R220">
        <v>2.5150000000000001</v>
      </c>
      <c r="S220">
        <v>1.2370000000000001</v>
      </c>
      <c r="T220">
        <v>3.1269999999999998</v>
      </c>
      <c r="U220">
        <v>1.9490000000000001</v>
      </c>
      <c r="V220">
        <v>1.3280000000000001</v>
      </c>
      <c r="W220">
        <v>0.98899999999999999</v>
      </c>
      <c r="X220">
        <v>4.38</v>
      </c>
      <c r="Y220">
        <v>3.0030000000000001</v>
      </c>
      <c r="Z220">
        <v>4.617</v>
      </c>
      <c r="AA220">
        <v>1.921</v>
      </c>
      <c r="AL220" t="s">
        <v>159</v>
      </c>
      <c r="AM220" t="s">
        <v>159</v>
      </c>
      <c r="AN220" t="s">
        <v>159</v>
      </c>
      <c r="AO220" t="s">
        <v>159</v>
      </c>
      <c r="AP220" t="s">
        <v>159</v>
      </c>
      <c r="AQ220" t="s">
        <v>159</v>
      </c>
      <c r="AR220" t="s">
        <v>159</v>
      </c>
      <c r="AS220" t="s">
        <v>159</v>
      </c>
      <c r="AT220" t="s">
        <v>159</v>
      </c>
      <c r="AU220" t="s">
        <v>159</v>
      </c>
      <c r="BZ220">
        <v>7.8725197222822798</v>
      </c>
      <c r="CA220">
        <v>1178.6110337211533</v>
      </c>
      <c r="CB220">
        <v>5.1575846843684801</v>
      </c>
      <c r="CC220">
        <v>0.77559863108215998</v>
      </c>
      <c r="CD220">
        <v>9.2257435613076204</v>
      </c>
      <c r="CE220">
        <v>2.6110040551104099</v>
      </c>
      <c r="CF220">
        <v>0.93745147386755201</v>
      </c>
      <c r="CG220">
        <v>0.42676032229320499</v>
      </c>
      <c r="CH220">
        <v>22.685367068977001</v>
      </c>
      <c r="CI220">
        <v>8.2809978683186891</v>
      </c>
      <c r="CJ220">
        <v>26.112641173139</v>
      </c>
      <c r="CK220">
        <v>2.5120483843586801</v>
      </c>
    </row>
    <row r="221" spans="1:99" x14ac:dyDescent="0.25">
      <c r="A221" t="s">
        <v>132</v>
      </c>
      <c r="B221" t="s">
        <v>212</v>
      </c>
      <c r="C221" t="s">
        <v>192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784</v>
      </c>
      <c r="N221">
        <v>320.94519831920297</v>
      </c>
      <c r="O221">
        <v>0</v>
      </c>
      <c r="P221">
        <v>1</v>
      </c>
      <c r="Q221">
        <v>1</v>
      </c>
      <c r="R221">
        <v>0.26400000000000001</v>
      </c>
      <c r="BZ221">
        <v>0.18399744000000001</v>
      </c>
      <c r="CA221">
        <v>59.053094871025657</v>
      </c>
      <c r="CB221">
        <v>0.18399744000000001</v>
      </c>
    </row>
    <row r="222" spans="1:99" x14ac:dyDescent="0.25">
      <c r="A222" t="s">
        <v>132</v>
      </c>
      <c r="B222" t="s">
        <v>207</v>
      </c>
      <c r="C222" t="s">
        <v>192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5488</v>
      </c>
      <c r="N222">
        <v>2246.6163882344199</v>
      </c>
      <c r="O222">
        <v>2</v>
      </c>
      <c r="P222">
        <v>5</v>
      </c>
      <c r="Q222">
        <v>7</v>
      </c>
      <c r="R222">
        <v>0.14699999999999999</v>
      </c>
      <c r="S222">
        <v>0.21</v>
      </c>
      <c r="T222">
        <v>0.13200000000000001</v>
      </c>
      <c r="U222">
        <v>0.11</v>
      </c>
      <c r="V222">
        <v>0.123</v>
      </c>
      <c r="W222">
        <v>9.8000000000000004E-2</v>
      </c>
      <c r="X222">
        <v>8.4000000000000005E-2</v>
      </c>
      <c r="BZ222">
        <v>2.7804648571428565E-2</v>
      </c>
      <c r="CA222">
        <v>62.466379149670168</v>
      </c>
      <c r="CB222">
        <v>3.1765229999999998E-2</v>
      </c>
      <c r="CC222">
        <v>9.2609999999999998E-2</v>
      </c>
      <c r="CD222">
        <v>2.2999680000000002E-2</v>
      </c>
      <c r="CE222">
        <v>1.3310000000000001E-2</v>
      </c>
      <c r="CF222">
        <v>1.8608670000000001E-2</v>
      </c>
      <c r="CG222">
        <v>9.4119200000000007E-3</v>
      </c>
      <c r="CH222">
        <v>5.9270399999999997E-3</v>
      </c>
    </row>
    <row r="223" spans="1:99" x14ac:dyDescent="0.25">
      <c r="A223" t="s">
        <v>132</v>
      </c>
      <c r="B223" t="s">
        <v>208</v>
      </c>
      <c r="C223" t="s">
        <v>192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784</v>
      </c>
      <c r="N223">
        <v>320.94519831920297</v>
      </c>
      <c r="O223">
        <v>1</v>
      </c>
      <c r="P223">
        <v>0</v>
      </c>
      <c r="Q223">
        <v>1</v>
      </c>
      <c r="R223">
        <v>0.06</v>
      </c>
      <c r="BZ223">
        <v>6.6528000000000004E-3</v>
      </c>
      <c r="CA223">
        <v>2.1351842153779939</v>
      </c>
      <c r="CB223">
        <v>6.6528000000000004E-3</v>
      </c>
    </row>
    <row r="224" spans="1:99" x14ac:dyDescent="0.25">
      <c r="A224" t="s">
        <v>132</v>
      </c>
      <c r="B224" t="s">
        <v>209</v>
      </c>
      <c r="C224" t="s">
        <v>192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5488</v>
      </c>
      <c r="N224">
        <v>2246.6163882344199</v>
      </c>
      <c r="O224">
        <v>4</v>
      </c>
      <c r="P224">
        <v>3</v>
      </c>
      <c r="Q224">
        <v>7</v>
      </c>
      <c r="R224">
        <v>0.10299999999999999</v>
      </c>
      <c r="S224">
        <v>0.112</v>
      </c>
      <c r="T224">
        <v>0.104</v>
      </c>
      <c r="U224">
        <v>3.7999999999999999E-2</v>
      </c>
      <c r="V224">
        <v>0.12</v>
      </c>
      <c r="W224">
        <v>9.1999999999999998E-2</v>
      </c>
      <c r="X224">
        <v>9.7000000000000003E-2</v>
      </c>
      <c r="BZ224">
        <v>3.1225708800000002E-2</v>
      </c>
      <c r="CA224">
        <v>70.15218912431574</v>
      </c>
      <c r="CB224">
        <v>3.3655991599999997E-2</v>
      </c>
      <c r="CC224">
        <v>4.32717824E-2</v>
      </c>
      <c r="CD224">
        <v>3.4645811200000001E-2</v>
      </c>
      <c r="CE224">
        <v>1.6900576E-3</v>
      </c>
      <c r="CF224">
        <v>5.3222400000000003E-2</v>
      </c>
      <c r="CG224">
        <v>2.3983590400000001E-2</v>
      </c>
      <c r="CH224">
        <v>2.8110328399999999E-2</v>
      </c>
    </row>
    <row r="225" spans="1:99" x14ac:dyDescent="0.25">
      <c r="A225" t="s">
        <v>132</v>
      </c>
      <c r="B225" t="s">
        <v>213</v>
      </c>
      <c r="C225" t="s">
        <v>192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784</v>
      </c>
      <c r="N225">
        <v>320.94519831920297</v>
      </c>
      <c r="O225">
        <v>0</v>
      </c>
      <c r="P225">
        <v>1</v>
      </c>
      <c r="Q225">
        <v>1</v>
      </c>
      <c r="R225">
        <v>0.126</v>
      </c>
      <c r="BZ225">
        <v>6.1611580800000003E-2</v>
      </c>
      <c r="CA225">
        <v>19.773941018615599</v>
      </c>
      <c r="CB225">
        <v>6.1611580800000003E-2</v>
      </c>
    </row>
    <row r="226" spans="1:99" x14ac:dyDescent="0.25">
      <c r="A226" t="s">
        <v>132</v>
      </c>
      <c r="B226" t="s">
        <v>153</v>
      </c>
      <c r="C226" t="s">
        <v>154</v>
      </c>
      <c r="D226">
        <v>-1</v>
      </c>
      <c r="E226">
        <v>1</v>
      </c>
      <c r="F226">
        <v>0</v>
      </c>
      <c r="G226">
        <v>-1</v>
      </c>
      <c r="H226">
        <v>-1</v>
      </c>
      <c r="I226">
        <v>0</v>
      </c>
      <c r="J226">
        <v>1</v>
      </c>
      <c r="K226">
        <v>-1</v>
      </c>
      <c r="L226">
        <v>-1</v>
      </c>
      <c r="M226">
        <v>170.666666666667</v>
      </c>
      <c r="N226">
        <v>69.865621402819798</v>
      </c>
      <c r="O226">
        <v>-1</v>
      </c>
      <c r="P226">
        <v>-1</v>
      </c>
      <c r="Q226">
        <v>-1</v>
      </c>
      <c r="R226">
        <v>1.0609999999999999</v>
      </c>
      <c r="S226">
        <v>1.143</v>
      </c>
      <c r="AL226" t="s">
        <v>155</v>
      </c>
      <c r="AM226" t="s">
        <v>156</v>
      </c>
      <c r="BZ226">
        <v>6.3243307688165649</v>
      </c>
      <c r="CA226">
        <v>441.8532991203424</v>
      </c>
      <c r="CB226">
        <v>5.7165113555332301</v>
      </c>
      <c r="CC226">
        <v>6.9321501820998996</v>
      </c>
    </row>
    <row r="227" spans="1:99" x14ac:dyDescent="0.25">
      <c r="A227" t="s">
        <v>132</v>
      </c>
      <c r="B227" t="s">
        <v>210</v>
      </c>
      <c r="C227" t="s">
        <v>192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4704</v>
      </c>
      <c r="N227">
        <v>1925.6711899152201</v>
      </c>
      <c r="O227">
        <v>3</v>
      </c>
      <c r="P227">
        <v>3</v>
      </c>
      <c r="Q227">
        <v>6</v>
      </c>
      <c r="R227">
        <v>0.10299999999999999</v>
      </c>
      <c r="S227">
        <v>0.1</v>
      </c>
      <c r="T227">
        <v>0.126</v>
      </c>
      <c r="U227">
        <v>7.4999999999999997E-2</v>
      </c>
      <c r="V227">
        <v>0.14699999999999999</v>
      </c>
      <c r="W227">
        <v>0.12</v>
      </c>
      <c r="BZ227">
        <v>1.5699168333333333E-2</v>
      </c>
      <c r="CA227">
        <v>30.231436165129342</v>
      </c>
      <c r="CB227">
        <v>1.0927269999999999E-2</v>
      </c>
      <c r="CC227">
        <v>0.01</v>
      </c>
      <c r="CD227">
        <v>2.0003759999999999E-2</v>
      </c>
      <c r="CE227">
        <v>4.2187500000000003E-3</v>
      </c>
      <c r="CF227">
        <v>3.1765229999999998E-2</v>
      </c>
      <c r="CG227">
        <v>1.728E-2</v>
      </c>
    </row>
    <row r="228" spans="1:99" x14ac:dyDescent="0.25">
      <c r="A228" t="s">
        <v>132</v>
      </c>
      <c r="B228" t="s">
        <v>215</v>
      </c>
      <c r="C228" t="s">
        <v>192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784</v>
      </c>
      <c r="N228">
        <v>320.94519831920297</v>
      </c>
      <c r="O228">
        <v>0</v>
      </c>
      <c r="P228">
        <v>1</v>
      </c>
      <c r="Q228">
        <v>1</v>
      </c>
      <c r="R228">
        <v>0.36099999999999999</v>
      </c>
      <c r="BF228">
        <v>9.2564102564102593E-2</v>
      </c>
      <c r="BZ228">
        <v>0.16180566251623901</v>
      </c>
      <c r="CA228">
        <v>51.930750445444353</v>
      </c>
      <c r="CB228">
        <v>0.16180566251623901</v>
      </c>
    </row>
    <row r="229" spans="1:99" x14ac:dyDescent="0.25">
      <c r="A229" t="s">
        <v>132</v>
      </c>
      <c r="B229" t="s">
        <v>211</v>
      </c>
      <c r="C229" t="s">
        <v>192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27440</v>
      </c>
      <c r="N229">
        <v>11233.0819411721</v>
      </c>
      <c r="O229">
        <v>22</v>
      </c>
      <c r="P229">
        <v>13</v>
      </c>
      <c r="Q229">
        <v>35</v>
      </c>
      <c r="R229">
        <v>0.32300000000000001</v>
      </c>
      <c r="S229">
        <v>0.20799999999999999</v>
      </c>
      <c r="T229">
        <v>0.193</v>
      </c>
      <c r="U229">
        <v>0.36199999999999999</v>
      </c>
      <c r="V229">
        <v>0.311</v>
      </c>
      <c r="W229">
        <v>0.43</v>
      </c>
      <c r="X229">
        <v>0.39</v>
      </c>
      <c r="Y229">
        <v>0.27900000000000003</v>
      </c>
      <c r="Z229">
        <v>0.32</v>
      </c>
      <c r="AA229">
        <v>0.26200000000000001</v>
      </c>
      <c r="AB229">
        <v>0.23499999999999999</v>
      </c>
      <c r="AC229">
        <v>0.35599999999999998</v>
      </c>
      <c r="AD229">
        <v>0.39300000000000002</v>
      </c>
      <c r="AE229">
        <v>0.42599999999999999</v>
      </c>
      <c r="AF229">
        <v>0.19900000000000001</v>
      </c>
      <c r="AG229">
        <v>0.34699999999999998</v>
      </c>
      <c r="AH229">
        <v>0.34399999999999997</v>
      </c>
      <c r="AI229">
        <v>0.32800000000000001</v>
      </c>
      <c r="AJ229">
        <v>0.24199999999999999</v>
      </c>
      <c r="AK229">
        <v>0.33600000000000002</v>
      </c>
      <c r="BF229">
        <v>7.0000000000000007E-2</v>
      </c>
      <c r="BG229">
        <v>9.0999999999999998E-2</v>
      </c>
      <c r="BH229">
        <v>0.108</v>
      </c>
      <c r="BI229">
        <v>7.9000000000000001E-2</v>
      </c>
      <c r="BJ229">
        <v>6.5000000000000002E-2</v>
      </c>
      <c r="BK229">
        <v>8.5999999999999993E-2</v>
      </c>
      <c r="BL229">
        <v>8.8999999999999996E-2</v>
      </c>
      <c r="BM229">
        <v>7.1999999999999995E-2</v>
      </c>
      <c r="BN229">
        <v>9.6000000000000002E-2</v>
      </c>
      <c r="BO229">
        <v>0.06</v>
      </c>
      <c r="BP229">
        <v>0.10199999999999999</v>
      </c>
      <c r="BQ229">
        <v>0.09</v>
      </c>
      <c r="BR229">
        <v>8.5999999999999993E-2</v>
      </c>
      <c r="BS229">
        <v>8.8999999999999996E-2</v>
      </c>
      <c r="BT229">
        <v>9.5000000000000001E-2</v>
      </c>
      <c r="BU229">
        <v>0.08</v>
      </c>
      <c r="BV229">
        <v>6.7000000000000004E-2</v>
      </c>
      <c r="BW229">
        <v>9.2999999999999999E-2</v>
      </c>
      <c r="BX229">
        <v>6.9000000000000006E-2</v>
      </c>
      <c r="BY229">
        <v>0.08</v>
      </c>
      <c r="BZ229">
        <v>0.1152108554792</v>
      </c>
      <c r="CA229">
        <v>1294.1729801103902</v>
      </c>
      <c r="CB229">
        <v>8.2794202400000003E-2</v>
      </c>
      <c r="CC229">
        <v>9.0104699775999997E-2</v>
      </c>
      <c r="CD229">
        <v>0.11776226342399999</v>
      </c>
      <c r="CE229">
        <v>0.118185467504</v>
      </c>
      <c r="CF229">
        <v>6.8736660199999994E-2</v>
      </c>
      <c r="CG229">
        <v>0.16636680736000001</v>
      </c>
      <c r="CH229">
        <v>0.16160170728000001</v>
      </c>
      <c r="CI229">
        <v>7.5660728831999993E-2</v>
      </c>
      <c r="CJ229">
        <v>0.15427436544000001</v>
      </c>
      <c r="CK229">
        <v>4.9340678399999997E-2</v>
      </c>
      <c r="CL229">
        <v>0.12789970128</v>
      </c>
      <c r="CM229">
        <v>0.1508468832</v>
      </c>
      <c r="CN229">
        <v>0.15205152393599999</v>
      </c>
      <c r="CO229">
        <v>0.17651878795199999</v>
      </c>
      <c r="CP229">
        <v>9.39510442E-2</v>
      </c>
      <c r="CQ229">
        <v>0.1161744896</v>
      </c>
      <c r="CR229">
        <v>8.0781027391999993E-2</v>
      </c>
      <c r="CS229">
        <v>0.14840244806399999</v>
      </c>
      <c r="CT229">
        <v>6.0271898544000002E-2</v>
      </c>
      <c r="CU229">
        <v>0.1124917248</v>
      </c>
    </row>
    <row r="230" spans="1:99" x14ac:dyDescent="0.25">
      <c r="A230" t="s">
        <v>135</v>
      </c>
      <c r="B230" t="s">
        <v>191</v>
      </c>
      <c r="C230" t="s">
        <v>192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17568</v>
      </c>
      <c r="N230">
        <v>6586.1677797293696</v>
      </c>
      <c r="O230">
        <v>9</v>
      </c>
      <c r="P230">
        <v>9</v>
      </c>
      <c r="Q230">
        <v>18</v>
      </c>
      <c r="R230">
        <v>9.6000000000000002E-2</v>
      </c>
      <c r="S230">
        <v>0.09</v>
      </c>
      <c r="T230">
        <v>0.108</v>
      </c>
      <c r="U230">
        <v>0.10199999999999999</v>
      </c>
      <c r="V230">
        <v>9.7000000000000003E-2</v>
      </c>
      <c r="W230">
        <v>9.9000000000000005E-2</v>
      </c>
      <c r="X230">
        <v>9.9000000000000005E-2</v>
      </c>
      <c r="Y230">
        <v>0.105</v>
      </c>
      <c r="Z230">
        <v>0.104</v>
      </c>
      <c r="AA230">
        <v>0.112</v>
      </c>
      <c r="AB230">
        <v>0.107</v>
      </c>
      <c r="AC230">
        <v>9.8000000000000004E-2</v>
      </c>
      <c r="AD230">
        <v>9.5000000000000001E-2</v>
      </c>
      <c r="AE230">
        <v>0.106</v>
      </c>
      <c r="AF230">
        <v>9.6000000000000002E-2</v>
      </c>
      <c r="AG230">
        <v>0.105</v>
      </c>
      <c r="AH230">
        <v>9.8000000000000004E-2</v>
      </c>
      <c r="AI230">
        <v>9.6000000000000002E-2</v>
      </c>
      <c r="BZ230">
        <v>1.2372172666666667E-2</v>
      </c>
      <c r="CA230">
        <v>81.485204982448394</v>
      </c>
      <c r="CB230">
        <v>1.0616832E-2</v>
      </c>
      <c r="CC230">
        <v>8.7480000000000006E-3</v>
      </c>
      <c r="CD230">
        <v>1.5116544000000001E-2</v>
      </c>
      <c r="CE230">
        <v>1.2734496E-2</v>
      </c>
      <c r="CF230">
        <v>1.0952076E-2</v>
      </c>
      <c r="CG230">
        <v>1.1643588E-2</v>
      </c>
      <c r="CH230">
        <v>1.1643588E-2</v>
      </c>
      <c r="CI230">
        <v>1.3891499999999999E-2</v>
      </c>
      <c r="CJ230">
        <v>1.3498368E-2</v>
      </c>
      <c r="CK230">
        <v>1.6859136E-2</v>
      </c>
      <c r="CL230">
        <v>1.4700516E-2</v>
      </c>
      <c r="CM230">
        <v>1.1294304E-2</v>
      </c>
      <c r="CN230">
        <v>1.0288500000000001E-2</v>
      </c>
      <c r="CO230">
        <v>1.4292192E-2</v>
      </c>
      <c r="CP230">
        <v>1.0616832E-2</v>
      </c>
      <c r="CQ230">
        <v>1.3891499999999999E-2</v>
      </c>
      <c r="CR230">
        <v>1.1294304E-2</v>
      </c>
      <c r="CS230">
        <v>1.0616832E-2</v>
      </c>
    </row>
    <row r="231" spans="1:99" x14ac:dyDescent="0.25">
      <c r="A231" t="s">
        <v>135</v>
      </c>
      <c r="B231" t="s">
        <v>172</v>
      </c>
      <c r="C231" t="s">
        <v>158</v>
      </c>
      <c r="D231">
        <v>-1</v>
      </c>
      <c r="E231">
        <v>96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24576</v>
      </c>
      <c r="N231">
        <v>9213.4368940476397</v>
      </c>
      <c r="O231">
        <v>-1</v>
      </c>
      <c r="P231">
        <v>-1</v>
      </c>
      <c r="Q231">
        <v>-1</v>
      </c>
      <c r="R231">
        <v>0.31</v>
      </c>
      <c r="S231">
        <v>0.42399999999999999</v>
      </c>
      <c r="T231">
        <v>0.32700000000000001</v>
      </c>
      <c r="U231">
        <v>0.52300000000000002</v>
      </c>
      <c r="V231">
        <v>0.42199999999999999</v>
      </c>
      <c r="W231">
        <v>0.29399999999999998</v>
      </c>
      <c r="X231">
        <v>0.33800000000000002</v>
      </c>
      <c r="Y231">
        <v>0.21199999999999999</v>
      </c>
      <c r="Z231">
        <v>0.39300000000000002</v>
      </c>
      <c r="AA231">
        <v>0.36899999999999999</v>
      </c>
      <c r="AB231">
        <v>0.27300000000000002</v>
      </c>
      <c r="AC231">
        <v>0.38400000000000001</v>
      </c>
      <c r="AD231">
        <v>0.34799999999999998</v>
      </c>
      <c r="AE231">
        <v>0.373</v>
      </c>
      <c r="AF231">
        <v>0.24199999999999999</v>
      </c>
      <c r="AG231">
        <v>0.32500000000000001</v>
      </c>
      <c r="AH231">
        <v>0.27</v>
      </c>
      <c r="AI231">
        <v>0.32</v>
      </c>
      <c r="AJ231">
        <v>0.40100000000000002</v>
      </c>
      <c r="AK231">
        <v>0.51800000000000002</v>
      </c>
      <c r="AL231" t="s">
        <v>159</v>
      </c>
      <c r="AM231" t="s">
        <v>159</v>
      </c>
      <c r="AN231" t="s">
        <v>159</v>
      </c>
      <c r="AO231" t="s">
        <v>159</v>
      </c>
      <c r="AP231" t="s">
        <v>159</v>
      </c>
      <c r="AQ231" t="s">
        <v>159</v>
      </c>
      <c r="AR231" t="s">
        <v>159</v>
      </c>
      <c r="AS231" t="s">
        <v>159</v>
      </c>
      <c r="AT231" t="s">
        <v>159</v>
      </c>
      <c r="AU231" t="s">
        <v>159</v>
      </c>
      <c r="AV231" t="s">
        <v>159</v>
      </c>
      <c r="AW231" t="s">
        <v>159</v>
      </c>
      <c r="AX231" t="s">
        <v>159</v>
      </c>
      <c r="AY231" t="s">
        <v>159</v>
      </c>
      <c r="AZ231" t="s">
        <v>159</v>
      </c>
      <c r="BA231" t="s">
        <v>159</v>
      </c>
      <c r="BB231" t="s">
        <v>159</v>
      </c>
      <c r="BC231" t="s">
        <v>159</v>
      </c>
      <c r="BD231" t="s">
        <v>159</v>
      </c>
      <c r="BE231" t="s">
        <v>159</v>
      </c>
      <c r="BZ231">
        <v>1.1895780218281151</v>
      </c>
      <c r="CA231">
        <v>10960.102034659365</v>
      </c>
      <c r="CB231">
        <v>0.777950063028512</v>
      </c>
      <c r="CC231">
        <v>1.7180755289774701</v>
      </c>
      <c r="CD231">
        <v>0.890455968354951</v>
      </c>
      <c r="CE231">
        <v>2.9215673858965201</v>
      </c>
      <c r="CF231">
        <v>1.6976460052586499</v>
      </c>
      <c r="CG231">
        <v>0.68033902120397705</v>
      </c>
      <c r="CH231">
        <v>0.96820180203853501</v>
      </c>
      <c r="CI231">
        <v>0.29746533526454799</v>
      </c>
      <c r="CJ231">
        <v>1.41781572032128</v>
      </c>
      <c r="CK231">
        <v>1.2088804140104701</v>
      </c>
      <c r="CL231">
        <v>0.56402471134249299</v>
      </c>
      <c r="CM231">
        <v>1.33710228989757</v>
      </c>
      <c r="CN231">
        <v>1.0423225225134201</v>
      </c>
      <c r="CO231">
        <v>1.2423099951345</v>
      </c>
      <c r="CP231">
        <v>0.41577609007098698</v>
      </c>
      <c r="CQ231">
        <v>0.87674144772358598</v>
      </c>
      <c r="CR231">
        <v>0.54847515335258601</v>
      </c>
      <c r="CS231">
        <v>0.84301650990673405</v>
      </c>
      <c r="CT231">
        <v>1.4919762079807299</v>
      </c>
      <c r="CU231">
        <v>2.8514182642847801</v>
      </c>
    </row>
    <row r="232" spans="1:99" x14ac:dyDescent="0.25">
      <c r="A232" t="s">
        <v>135</v>
      </c>
      <c r="B232" t="s">
        <v>171</v>
      </c>
      <c r="C232" t="s">
        <v>158</v>
      </c>
      <c r="D232">
        <v>446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446</v>
      </c>
      <c r="N232">
        <v>167.203485300506</v>
      </c>
      <c r="O232">
        <v>-1</v>
      </c>
      <c r="P232">
        <v>-1</v>
      </c>
      <c r="Q232">
        <v>-1</v>
      </c>
      <c r="R232">
        <v>0.76800000000000002</v>
      </c>
      <c r="S232">
        <v>0.95499999999999996</v>
      </c>
      <c r="T232">
        <v>0.54100000000000004</v>
      </c>
      <c r="U232">
        <v>0.997</v>
      </c>
      <c r="V232">
        <v>0.87</v>
      </c>
      <c r="W232">
        <v>1.0549999999999999</v>
      </c>
      <c r="X232">
        <v>0.86799999999999999</v>
      </c>
      <c r="Y232">
        <v>1.135</v>
      </c>
      <c r="Z232">
        <v>0.67300000000000004</v>
      </c>
      <c r="AA232">
        <v>0.46300000000000002</v>
      </c>
      <c r="AB232">
        <v>0.66700000000000004</v>
      </c>
      <c r="AC232">
        <v>1.1759999999999999</v>
      </c>
      <c r="AD232">
        <v>0.86599999999999999</v>
      </c>
      <c r="AE232">
        <v>0.95499999999999996</v>
      </c>
      <c r="AF232">
        <v>0.94799999999999995</v>
      </c>
      <c r="AG232">
        <v>0.96199999999999997</v>
      </c>
      <c r="AH232">
        <v>1.0780000000000001</v>
      </c>
      <c r="AI232">
        <v>0.85899999999999999</v>
      </c>
      <c r="AJ232">
        <v>0.874</v>
      </c>
      <c r="AK232">
        <v>1.18</v>
      </c>
      <c r="AL232" t="s">
        <v>159</v>
      </c>
      <c r="AM232" t="s">
        <v>159</v>
      </c>
      <c r="AN232" t="s">
        <v>159</v>
      </c>
      <c r="AO232" t="s">
        <v>159</v>
      </c>
      <c r="AP232" t="s">
        <v>159</v>
      </c>
      <c r="AQ232" t="s">
        <v>159</v>
      </c>
      <c r="AR232" t="s">
        <v>159</v>
      </c>
      <c r="AS232" t="s">
        <v>159</v>
      </c>
      <c r="AT232" t="s">
        <v>159</v>
      </c>
      <c r="AU232" t="s">
        <v>159</v>
      </c>
      <c r="AV232" t="s">
        <v>159</v>
      </c>
      <c r="AW232" t="s">
        <v>159</v>
      </c>
      <c r="AX232" t="s">
        <v>159</v>
      </c>
      <c r="AY232" t="s">
        <v>159</v>
      </c>
      <c r="AZ232" t="s">
        <v>159</v>
      </c>
      <c r="BA232" t="s">
        <v>159</v>
      </c>
      <c r="BB232" t="s">
        <v>159</v>
      </c>
      <c r="BC232" t="s">
        <v>159</v>
      </c>
      <c r="BD232" t="s">
        <v>159</v>
      </c>
      <c r="BE232" t="s">
        <v>159</v>
      </c>
      <c r="BZ232">
        <v>1.3207613402751484</v>
      </c>
      <c r="CA232">
        <v>220.83589934417236</v>
      </c>
      <c r="CB232">
        <v>0.74184323880889402</v>
      </c>
      <c r="CC232">
        <v>1.42018772455428</v>
      </c>
      <c r="CD232">
        <v>0.26113408174626401</v>
      </c>
      <c r="CE232">
        <v>1.6145343115624999</v>
      </c>
      <c r="CF232">
        <v>1.0757295035105101</v>
      </c>
      <c r="CG232">
        <v>1.9108563367784599</v>
      </c>
      <c r="CH232">
        <v>1.0683768972401999</v>
      </c>
      <c r="CI232">
        <v>2.3758738336655898</v>
      </c>
      <c r="CJ232">
        <v>0.50051903497825101</v>
      </c>
      <c r="CK232">
        <v>0.16419769658145</v>
      </c>
      <c r="CL232">
        <v>0.48733846634602701</v>
      </c>
      <c r="CM232">
        <v>2.64088521968185</v>
      </c>
      <c r="CN232">
        <v>1.06105775871708</v>
      </c>
      <c r="CO232">
        <v>1.42018772455428</v>
      </c>
      <c r="CP232">
        <v>1.38939122746246</v>
      </c>
      <c r="CQ232">
        <v>1.45143443306665</v>
      </c>
      <c r="CR232">
        <v>2.0376970396029099</v>
      </c>
      <c r="CS232">
        <v>1.03570324126304</v>
      </c>
      <c r="CT232">
        <v>1.0905354215716101</v>
      </c>
      <c r="CU232">
        <v>2.6677436138106598</v>
      </c>
    </row>
    <row r="233" spans="1:99" x14ac:dyDescent="0.25">
      <c r="A233" t="s">
        <v>135</v>
      </c>
      <c r="B233" t="s">
        <v>194</v>
      </c>
      <c r="C233" t="s">
        <v>192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10736</v>
      </c>
      <c r="N233">
        <v>4024.8803098346102</v>
      </c>
      <c r="O233">
        <v>6</v>
      </c>
      <c r="P233">
        <v>5</v>
      </c>
      <c r="Q233">
        <v>11</v>
      </c>
      <c r="BF233">
        <v>3.7999999999999999E-2</v>
      </c>
      <c r="BG233">
        <v>4.7E-2</v>
      </c>
      <c r="BH233">
        <v>5.3999999999999999E-2</v>
      </c>
      <c r="BI233">
        <v>3.2000000000000001E-2</v>
      </c>
      <c r="BJ233">
        <v>5.3999999999999999E-2</v>
      </c>
      <c r="BK233">
        <v>3.3000000000000002E-2</v>
      </c>
      <c r="BL233">
        <v>4.3999999999999997E-2</v>
      </c>
      <c r="BM233">
        <v>4.2999999999999997E-2</v>
      </c>
      <c r="BN233">
        <v>3.5999999999999997E-2</v>
      </c>
      <c r="BO233">
        <v>0.05</v>
      </c>
      <c r="BP233">
        <v>6.5000000000000002E-2</v>
      </c>
      <c r="BZ233">
        <v>1.8872181818181819E-2</v>
      </c>
      <c r="CA233">
        <v>75.958273003618743</v>
      </c>
      <c r="CB233">
        <v>9.8769600000000006E-3</v>
      </c>
      <c r="CC233">
        <v>1.8688139999999999E-2</v>
      </c>
      <c r="CD233">
        <v>2.8343520000000001E-2</v>
      </c>
      <c r="CE233">
        <v>5.8982399999999999E-3</v>
      </c>
      <c r="CF233">
        <v>2.8343520000000001E-2</v>
      </c>
      <c r="CG233">
        <v>6.4686600000000002E-3</v>
      </c>
      <c r="CH233">
        <v>1.533312E-2</v>
      </c>
      <c r="CI233">
        <v>1.4311259999999999E-2</v>
      </c>
      <c r="CJ233">
        <v>8.3980800000000005E-3</v>
      </c>
      <c r="CK233">
        <v>2.2499999999999999E-2</v>
      </c>
      <c r="CL233">
        <v>4.9432499999999997E-2</v>
      </c>
    </row>
    <row r="234" spans="1:99" x14ac:dyDescent="0.25">
      <c r="A234" t="s">
        <v>135</v>
      </c>
      <c r="B234" t="s">
        <v>195</v>
      </c>
      <c r="C234" t="s">
        <v>192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49776</v>
      </c>
      <c r="N234">
        <v>18660.808709233199</v>
      </c>
      <c r="O234">
        <v>24</v>
      </c>
      <c r="P234">
        <v>27</v>
      </c>
      <c r="Q234">
        <v>51</v>
      </c>
      <c r="R234">
        <v>7.6999999999999999E-2</v>
      </c>
      <c r="S234">
        <v>0.17899999999999999</v>
      </c>
      <c r="T234">
        <v>0.16500000000000001</v>
      </c>
      <c r="U234">
        <v>0.17699999999999999</v>
      </c>
      <c r="V234">
        <v>0.17899999999999999</v>
      </c>
      <c r="W234">
        <v>0.17100000000000001</v>
      </c>
      <c r="X234">
        <v>0.129</v>
      </c>
      <c r="Y234">
        <v>0.245</v>
      </c>
      <c r="Z234">
        <v>0.14199999999999999</v>
      </c>
      <c r="AA234">
        <v>0.161</v>
      </c>
      <c r="AB234">
        <v>7.8E-2</v>
      </c>
      <c r="AC234">
        <v>0.17</v>
      </c>
      <c r="AD234">
        <v>0.123</v>
      </c>
      <c r="AE234">
        <v>0.122</v>
      </c>
      <c r="AF234">
        <v>0.219</v>
      </c>
      <c r="AG234">
        <v>0.159</v>
      </c>
      <c r="AH234">
        <v>0.11700000000000001</v>
      </c>
      <c r="AI234">
        <v>0.126</v>
      </c>
      <c r="AJ234">
        <v>0.124</v>
      </c>
      <c r="AK234">
        <v>0.14799999999999999</v>
      </c>
      <c r="BF234">
        <v>6.5000000000000002E-2</v>
      </c>
      <c r="BG234">
        <v>8.8999999999999996E-2</v>
      </c>
      <c r="BH234">
        <v>7.2999999999999995E-2</v>
      </c>
      <c r="BI234">
        <v>7.5999999999999998E-2</v>
      </c>
      <c r="BJ234">
        <v>0.09</v>
      </c>
      <c r="BK234">
        <v>6.4000000000000001E-2</v>
      </c>
      <c r="BL234">
        <v>6.7000000000000004E-2</v>
      </c>
      <c r="BM234">
        <v>8.7999999999999995E-2</v>
      </c>
      <c r="BN234">
        <v>6.2E-2</v>
      </c>
      <c r="BO234">
        <v>0.06</v>
      </c>
      <c r="BP234">
        <v>5.5E-2</v>
      </c>
      <c r="BQ234">
        <v>7.3999999999999996E-2</v>
      </c>
      <c r="BR234">
        <v>8.6999999999999994E-2</v>
      </c>
      <c r="BS234">
        <v>7.9000000000000001E-2</v>
      </c>
      <c r="BT234">
        <v>6.4000000000000001E-2</v>
      </c>
      <c r="BU234">
        <v>5.6000000000000001E-2</v>
      </c>
      <c r="BV234">
        <v>0.08</v>
      </c>
      <c r="BW234">
        <v>5.1999999999999998E-2</v>
      </c>
      <c r="BX234">
        <v>8.5999999999999993E-2</v>
      </c>
      <c r="BY234">
        <v>7.9000000000000001E-2</v>
      </c>
      <c r="BZ234">
        <v>2.15567677E-2</v>
      </c>
      <c r="CA234">
        <v>402.2667184390769</v>
      </c>
      <c r="CB234">
        <v>8.4584499999999993E-3</v>
      </c>
      <c r="CC234">
        <v>3.6864333999999999E-2</v>
      </c>
      <c r="CD234">
        <v>2.2861409999999999E-2</v>
      </c>
      <c r="CE234">
        <v>2.6581152E-2</v>
      </c>
      <c r="CF234">
        <v>3.7697399999999999E-2</v>
      </c>
      <c r="CG234">
        <v>1.8210816000000001E-2</v>
      </c>
      <c r="CH234">
        <v>1.5056106E-2</v>
      </c>
      <c r="CI234">
        <v>4.9329280000000003E-2</v>
      </c>
      <c r="CJ234">
        <v>1.4192048000000001E-2</v>
      </c>
      <c r="CK234">
        <v>1.5069600000000001E-2</v>
      </c>
      <c r="CL234">
        <v>6.1346999999999999E-3</v>
      </c>
      <c r="CM234">
        <v>2.420392E-2</v>
      </c>
      <c r="CN234">
        <v>2.4205661999999999E-2</v>
      </c>
      <c r="CO234">
        <v>1.9796451999999999E-2</v>
      </c>
      <c r="CP234">
        <v>2.3322624E-2</v>
      </c>
      <c r="CQ234">
        <v>1.2964224E-2</v>
      </c>
      <c r="CR234">
        <v>1.9468800000000001E-2</v>
      </c>
      <c r="CS234">
        <v>8.8583039999999991E-3</v>
      </c>
      <c r="CT234">
        <v>2.3844704000000001E-2</v>
      </c>
      <c r="CU234">
        <v>2.4015367999999999E-2</v>
      </c>
    </row>
    <row r="235" spans="1:99" x14ac:dyDescent="0.25">
      <c r="A235" t="s">
        <v>135</v>
      </c>
      <c r="B235" t="s">
        <v>196</v>
      </c>
      <c r="C235" t="s">
        <v>197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137616</v>
      </c>
      <c r="N235">
        <v>51591.647607879997</v>
      </c>
      <c r="O235">
        <v>77</v>
      </c>
      <c r="P235">
        <v>64</v>
      </c>
      <c r="Q235">
        <v>141</v>
      </c>
      <c r="R235">
        <v>0.114</v>
      </c>
      <c r="S235">
        <v>0.14299999999999999</v>
      </c>
      <c r="T235">
        <v>0.109</v>
      </c>
      <c r="U235">
        <v>0.11799999999999999</v>
      </c>
      <c r="V235">
        <v>0.14499999999999999</v>
      </c>
      <c r="W235">
        <v>0.18099999999999999</v>
      </c>
      <c r="X235">
        <v>0.124</v>
      </c>
      <c r="Y235">
        <v>0.21299999999999999</v>
      </c>
      <c r="Z235">
        <v>0.14499999999999999</v>
      </c>
      <c r="AA235">
        <v>0.187</v>
      </c>
      <c r="AB235">
        <v>0.161</v>
      </c>
      <c r="AC235">
        <v>0.108</v>
      </c>
      <c r="AD235">
        <v>0.14299999999999999</v>
      </c>
      <c r="AE235">
        <v>0.13400000000000001</v>
      </c>
      <c r="AF235">
        <v>0.185</v>
      </c>
      <c r="AG235">
        <v>0.125</v>
      </c>
      <c r="AH235">
        <v>0.14699999999999999</v>
      </c>
      <c r="AI235">
        <v>0.11</v>
      </c>
      <c r="AJ235">
        <v>0.11600000000000001</v>
      </c>
      <c r="AK235">
        <v>9.4E-2</v>
      </c>
      <c r="BZ235">
        <v>6.8278645513328004E-2</v>
      </c>
      <c r="CA235">
        <v>3522.607818466975</v>
      </c>
      <c r="CB235">
        <v>3.84369365105749E-2</v>
      </c>
      <c r="CC235">
        <v>6.6219151722577044E-2</v>
      </c>
      <c r="CD235">
        <v>3.4514431011782545E-2</v>
      </c>
      <c r="CE235">
        <v>4.1753601378629192E-2</v>
      </c>
      <c r="CF235">
        <v>6.8463694073402304E-2</v>
      </c>
      <c r="CG235">
        <v>0.11657507481419918</v>
      </c>
      <c r="CH235">
        <v>4.7031536538474132E-2</v>
      </c>
      <c r="CI235">
        <v>0.17230114814102757</v>
      </c>
      <c r="CJ235">
        <v>6.8463694073402304E-2</v>
      </c>
      <c r="CK235">
        <v>0.1260657113773983</v>
      </c>
      <c r="CL235">
        <v>8.8015513207260532E-2</v>
      </c>
      <c r="CM235">
        <v>3.3759354676859761E-2</v>
      </c>
      <c r="CN235">
        <v>6.6219151722577044E-2</v>
      </c>
      <c r="CO235">
        <v>5.6653747058766961E-2</v>
      </c>
      <c r="CP235">
        <v>0.12285399154068005</v>
      </c>
      <c r="CQ235">
        <v>4.7946968582758688E-2</v>
      </c>
      <c r="CR235">
        <v>7.0752000921116026E-2</v>
      </c>
      <c r="CS235">
        <v>3.5279268165910829E-2</v>
      </c>
      <c r="CT235">
        <v>4.0075255261918477E-2</v>
      </c>
      <c r="CU235">
        <v>2.4192679487243959E-2</v>
      </c>
    </row>
    <row r="236" spans="1:99" x14ac:dyDescent="0.25">
      <c r="A236" t="s">
        <v>135</v>
      </c>
      <c r="B236" t="s">
        <v>173</v>
      </c>
      <c r="C236" t="s">
        <v>168</v>
      </c>
      <c r="D236">
        <v>-1</v>
      </c>
      <c r="E236">
        <v>81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20736</v>
      </c>
      <c r="N236">
        <v>7773.8373793526998</v>
      </c>
      <c r="O236">
        <v>-1</v>
      </c>
      <c r="P236">
        <v>-1</v>
      </c>
      <c r="Q236">
        <v>-1</v>
      </c>
      <c r="R236">
        <v>0.83199999999999996</v>
      </c>
      <c r="S236">
        <v>0.436</v>
      </c>
      <c r="T236">
        <v>0.57399999999999995</v>
      </c>
      <c r="U236">
        <v>0.55700000000000005</v>
      </c>
      <c r="V236">
        <v>0.45900000000000002</v>
      </c>
      <c r="W236">
        <v>0.40100000000000002</v>
      </c>
      <c r="X236">
        <v>0.45</v>
      </c>
      <c r="Y236">
        <v>0.51700000000000002</v>
      </c>
      <c r="Z236">
        <v>0.78600000000000003</v>
      </c>
      <c r="AA236">
        <v>0.98699999999999999</v>
      </c>
      <c r="AB236">
        <v>0.39</v>
      </c>
      <c r="AC236">
        <v>0.52900000000000003</v>
      </c>
      <c r="AD236">
        <v>0.44500000000000001</v>
      </c>
      <c r="AE236">
        <v>0.45</v>
      </c>
      <c r="AF236">
        <v>0.36299999999999999</v>
      </c>
      <c r="AG236">
        <v>0.50600000000000001</v>
      </c>
      <c r="AH236">
        <v>0.69799999999999995</v>
      </c>
      <c r="AI236">
        <v>0.65700000000000003</v>
      </c>
      <c r="AJ236">
        <v>0.45900000000000002</v>
      </c>
      <c r="AK236">
        <v>0.79600000000000004</v>
      </c>
      <c r="AL236" t="s">
        <v>169</v>
      </c>
      <c r="AM236" t="s">
        <v>169</v>
      </c>
      <c r="AN236" t="s">
        <v>169</v>
      </c>
      <c r="AO236" t="s">
        <v>169</v>
      </c>
      <c r="AP236" t="s">
        <v>169</v>
      </c>
      <c r="AQ236" t="s">
        <v>169</v>
      </c>
      <c r="AR236" t="s">
        <v>169</v>
      </c>
      <c r="AS236" t="s">
        <v>169</v>
      </c>
      <c r="AT236" t="s">
        <v>169</v>
      </c>
      <c r="AU236" t="s">
        <v>169</v>
      </c>
      <c r="AV236" t="s">
        <v>169</v>
      </c>
      <c r="AW236" t="s">
        <v>169</v>
      </c>
      <c r="AX236" t="s">
        <v>169</v>
      </c>
      <c r="AY236" t="s">
        <v>169</v>
      </c>
      <c r="AZ236" t="s">
        <v>169</v>
      </c>
      <c r="BA236" t="s">
        <v>169</v>
      </c>
      <c r="BB236" t="s">
        <v>169</v>
      </c>
      <c r="BC236" t="s">
        <v>169</v>
      </c>
      <c r="BD236" t="s">
        <v>169</v>
      </c>
      <c r="BE236" t="s">
        <v>169</v>
      </c>
      <c r="BZ236">
        <v>0.89324173996391709</v>
      </c>
      <c r="CA236">
        <v>6943.9160269295426</v>
      </c>
      <c r="CB236">
        <v>2.5340690539667698</v>
      </c>
      <c r="CC236">
        <v>0.19484542024759199</v>
      </c>
      <c r="CD236">
        <v>0.580509127664392</v>
      </c>
      <c r="CE236">
        <v>0.51519775844398197</v>
      </c>
      <c r="CF236">
        <v>0.23895999556862099</v>
      </c>
      <c r="CG236">
        <v>0.13976936730923001</v>
      </c>
      <c r="CH236">
        <v>0.220893287960822</v>
      </c>
      <c r="CI236">
        <v>0.38325364682107199</v>
      </c>
      <c r="CJ236">
        <v>2.0218845224020998</v>
      </c>
      <c r="CK236">
        <v>4.9930732352316003</v>
      </c>
      <c r="CL236">
        <v>0.125157053385726</v>
      </c>
      <c r="CM236">
        <v>0.41980524271090103</v>
      </c>
      <c r="CN236">
        <v>0.21130904319982399</v>
      </c>
      <c r="CO236">
        <v>0.220893287960822</v>
      </c>
      <c r="CP236">
        <v>9.4136520412817296E-2</v>
      </c>
      <c r="CQ236">
        <v>0.35188956778591601</v>
      </c>
      <c r="CR236">
        <v>1.2619288457620901</v>
      </c>
      <c r="CS236">
        <v>0.99234653389490202</v>
      </c>
      <c r="CT236">
        <v>0.23895999556862099</v>
      </c>
      <c r="CU236">
        <v>2.1259532929805398</v>
      </c>
    </row>
    <row r="237" spans="1:99" x14ac:dyDescent="0.25">
      <c r="A237" t="s">
        <v>135</v>
      </c>
      <c r="B237" t="s">
        <v>170</v>
      </c>
      <c r="C237" t="s">
        <v>158</v>
      </c>
      <c r="D237">
        <v>-1</v>
      </c>
      <c r="E237">
        <v>35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8960</v>
      </c>
      <c r="N237">
        <v>3359.0655342882001</v>
      </c>
      <c r="O237">
        <v>-1</v>
      </c>
      <c r="P237">
        <v>-1</v>
      </c>
      <c r="Q237">
        <v>-1</v>
      </c>
      <c r="R237">
        <v>0.64700000000000002</v>
      </c>
      <c r="S237">
        <v>1.2190000000000001</v>
      </c>
      <c r="T237">
        <v>1.647</v>
      </c>
      <c r="U237">
        <v>0.54700000000000004</v>
      </c>
      <c r="V237">
        <v>0.63100000000000001</v>
      </c>
      <c r="W237">
        <v>1.2090000000000001</v>
      </c>
      <c r="X237">
        <v>1.1830000000000001</v>
      </c>
      <c r="Y237">
        <v>0.80600000000000005</v>
      </c>
      <c r="Z237">
        <v>0.66100000000000003</v>
      </c>
      <c r="AA237">
        <v>0.78400000000000003</v>
      </c>
      <c r="AB237">
        <v>1.262</v>
      </c>
      <c r="AC237">
        <v>1.111</v>
      </c>
      <c r="AD237">
        <v>0.54600000000000004</v>
      </c>
      <c r="AE237">
        <v>1.3959999999999999</v>
      </c>
      <c r="AF237">
        <v>0.76400000000000001</v>
      </c>
      <c r="AG237">
        <v>0.754</v>
      </c>
      <c r="AH237">
        <v>1.381</v>
      </c>
      <c r="AI237">
        <v>0.78200000000000003</v>
      </c>
      <c r="AJ237">
        <v>1.351</v>
      </c>
      <c r="AK237">
        <v>0.98599999999999999</v>
      </c>
      <c r="AL237" t="s">
        <v>159</v>
      </c>
      <c r="AM237" t="s">
        <v>159</v>
      </c>
      <c r="AN237" t="s">
        <v>159</v>
      </c>
      <c r="AO237" t="s">
        <v>159</v>
      </c>
      <c r="AP237" t="s">
        <v>159</v>
      </c>
      <c r="AQ237" t="s">
        <v>159</v>
      </c>
      <c r="AR237" t="s">
        <v>159</v>
      </c>
      <c r="AS237" t="s">
        <v>159</v>
      </c>
      <c r="AT237" t="s">
        <v>159</v>
      </c>
      <c r="AU237" t="s">
        <v>159</v>
      </c>
      <c r="AV237" t="s">
        <v>159</v>
      </c>
      <c r="AW237" t="s">
        <v>159</v>
      </c>
      <c r="AX237" t="s">
        <v>159</v>
      </c>
      <c r="AY237" t="s">
        <v>159</v>
      </c>
      <c r="AZ237" t="s">
        <v>159</v>
      </c>
      <c r="BA237" t="s">
        <v>159</v>
      </c>
      <c r="BB237" t="s">
        <v>159</v>
      </c>
      <c r="BC237" t="s">
        <v>159</v>
      </c>
      <c r="BD237" t="s">
        <v>159</v>
      </c>
      <c r="BE237" t="s">
        <v>159</v>
      </c>
      <c r="BZ237">
        <v>6.1018741454527339</v>
      </c>
      <c r="CA237">
        <v>20496.595136554541</v>
      </c>
      <c r="CB237">
        <v>1.4425876557042101</v>
      </c>
      <c r="CC237">
        <v>8.7181548470156507</v>
      </c>
      <c r="CD237">
        <v>20.491977772714101</v>
      </c>
      <c r="CE237">
        <v>0.89548447579181201</v>
      </c>
      <c r="CF237">
        <v>1.34356114170409</v>
      </c>
      <c r="CG237">
        <v>8.5165705605018491</v>
      </c>
      <c r="CH237">
        <v>8.0066478782897192</v>
      </c>
      <c r="CI237">
        <v>2.6925611375715</v>
      </c>
      <c r="CJ237">
        <v>1.53301427686458</v>
      </c>
      <c r="CK237">
        <v>2.48903883393093</v>
      </c>
      <c r="CL237">
        <v>9.6201672491981505</v>
      </c>
      <c r="CM237">
        <v>6.6988766641123503</v>
      </c>
      <c r="CN237">
        <v>0.89084297537114898</v>
      </c>
      <c r="CO237">
        <v>12.8129355738184</v>
      </c>
      <c r="CP237">
        <v>2.3129124446019498</v>
      </c>
      <c r="CQ237">
        <v>2.2279666042420398</v>
      </c>
      <c r="CR237">
        <v>12.425792633307401</v>
      </c>
      <c r="CS237">
        <v>2.4710482932831099</v>
      </c>
      <c r="CT237">
        <v>11.6744181785294</v>
      </c>
      <c r="CU237">
        <v>4.7729237125023101</v>
      </c>
    </row>
    <row r="238" spans="1:99" x14ac:dyDescent="0.25">
      <c r="A238" t="s">
        <v>135</v>
      </c>
      <c r="B238" t="s">
        <v>167</v>
      </c>
      <c r="C238" t="s">
        <v>168</v>
      </c>
      <c r="D238">
        <v>-1</v>
      </c>
      <c r="E238">
        <v>6</v>
      </c>
      <c r="F238">
        <v>-1</v>
      </c>
      <c r="G238">
        <v>-1</v>
      </c>
      <c r="H238">
        <v>-1</v>
      </c>
      <c r="I238">
        <v>3</v>
      </c>
      <c r="J238">
        <v>-1</v>
      </c>
      <c r="K238">
        <v>-1</v>
      </c>
      <c r="L238">
        <v>-1</v>
      </c>
      <c r="M238">
        <v>768</v>
      </c>
      <c r="N238">
        <v>287.91990293898903</v>
      </c>
      <c r="O238">
        <v>-1</v>
      </c>
      <c r="P238">
        <v>-1</v>
      </c>
      <c r="Q238">
        <v>-1</v>
      </c>
      <c r="R238">
        <v>0.97499999999999998</v>
      </c>
      <c r="S238">
        <v>1.0149999999999999</v>
      </c>
      <c r="T238">
        <v>1.0629999999999999</v>
      </c>
      <c r="U238">
        <v>0.94699999999999995</v>
      </c>
      <c r="V238">
        <v>1.139</v>
      </c>
      <c r="W238">
        <v>1.089</v>
      </c>
      <c r="X238">
        <v>0.82299999999999995</v>
      </c>
      <c r="Y238">
        <v>1.0309999999999999</v>
      </c>
      <c r="Z238">
        <v>0.92400000000000004</v>
      </c>
      <c r="AL238" t="s">
        <v>169</v>
      </c>
      <c r="AM238" t="s">
        <v>169</v>
      </c>
      <c r="AN238" t="s">
        <v>169</v>
      </c>
      <c r="AO238" t="s">
        <v>169</v>
      </c>
      <c r="AP238" t="s">
        <v>169</v>
      </c>
      <c r="AQ238" t="s">
        <v>169</v>
      </c>
      <c r="AR238" t="s">
        <v>169</v>
      </c>
      <c r="AS238" t="s">
        <v>169</v>
      </c>
      <c r="AT238" t="s">
        <v>169</v>
      </c>
      <c r="BZ238">
        <v>4.9934623755215579</v>
      </c>
      <c r="CA238">
        <v>1437.7172024896606</v>
      </c>
      <c r="CB238">
        <v>4.5925107428507701</v>
      </c>
      <c r="CC238">
        <v>5.0965381053095502</v>
      </c>
      <c r="CD238">
        <v>5.7444622704238402</v>
      </c>
      <c r="CE238">
        <v>4.2586767024121999</v>
      </c>
      <c r="CF238">
        <v>6.86949278278757</v>
      </c>
      <c r="CG238">
        <v>6.1154783749413397</v>
      </c>
      <c r="CH238">
        <v>2.96083222877968</v>
      </c>
      <c r="CI238">
        <v>5.3072331798134504</v>
      </c>
      <c r="CJ238">
        <v>3.9959369923756198</v>
      </c>
    </row>
    <row r="239" spans="1:99" x14ac:dyDescent="0.25">
      <c r="A239" t="s">
        <v>135</v>
      </c>
      <c r="B239" t="s">
        <v>174</v>
      </c>
      <c r="C239" t="s">
        <v>158</v>
      </c>
      <c r="D239">
        <v>-1</v>
      </c>
      <c r="E239">
        <v>0</v>
      </c>
      <c r="F239">
        <v>-1</v>
      </c>
      <c r="G239">
        <v>-1</v>
      </c>
      <c r="H239">
        <v>-1</v>
      </c>
      <c r="I239">
        <v>1</v>
      </c>
      <c r="J239">
        <v>-1</v>
      </c>
      <c r="K239">
        <v>-1</v>
      </c>
      <c r="L239">
        <v>-1</v>
      </c>
      <c r="M239">
        <v>85.3333333333333</v>
      </c>
      <c r="N239">
        <v>31.991100326554299</v>
      </c>
      <c r="O239">
        <v>-1</v>
      </c>
      <c r="P239">
        <v>-1</v>
      </c>
      <c r="Q239">
        <v>-1</v>
      </c>
      <c r="R239">
        <v>1.3919999999999999</v>
      </c>
      <c r="AL239" t="s">
        <v>159</v>
      </c>
      <c r="BZ239">
        <v>9.9190222032036104</v>
      </c>
      <c r="CA239">
        <v>317.32043444400637</v>
      </c>
      <c r="CB239">
        <v>9.9190222032036104</v>
      </c>
    </row>
    <row r="240" spans="1:99" x14ac:dyDescent="0.25">
      <c r="A240" t="s">
        <v>135</v>
      </c>
      <c r="B240" t="s">
        <v>166</v>
      </c>
      <c r="C240" t="s">
        <v>154</v>
      </c>
      <c r="D240">
        <v>-1</v>
      </c>
      <c r="E240">
        <v>15</v>
      </c>
      <c r="F240">
        <v>10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6400</v>
      </c>
      <c r="N240">
        <v>2399.33252449157</v>
      </c>
      <c r="O240">
        <v>-1</v>
      </c>
      <c r="P240">
        <v>-1</v>
      </c>
      <c r="Q240">
        <v>-1</v>
      </c>
      <c r="R240">
        <v>0.88</v>
      </c>
      <c r="S240">
        <v>0.77200000000000002</v>
      </c>
      <c r="T240">
        <v>0.83499999999999996</v>
      </c>
      <c r="U240">
        <v>1.0129999999999999</v>
      </c>
      <c r="V240">
        <v>0.996</v>
      </c>
      <c r="W240">
        <v>0.96199999999999997</v>
      </c>
      <c r="X240">
        <v>0.92500000000000004</v>
      </c>
      <c r="Y240">
        <v>0.79300000000000004</v>
      </c>
      <c r="Z240">
        <v>0.97</v>
      </c>
      <c r="AA240">
        <v>0.92600000000000005</v>
      </c>
      <c r="AB240">
        <v>1.093</v>
      </c>
      <c r="AC240">
        <v>0.95</v>
      </c>
      <c r="AD240">
        <v>1.024</v>
      </c>
      <c r="AE240">
        <v>0.88300000000000001</v>
      </c>
      <c r="AF240">
        <v>1.006</v>
      </c>
      <c r="AG240">
        <v>0.73899999999999999</v>
      </c>
      <c r="AH240">
        <v>1.0069999999999999</v>
      </c>
      <c r="AI240">
        <v>0.877</v>
      </c>
      <c r="AJ240">
        <v>1.1870000000000001</v>
      </c>
      <c r="AK240">
        <v>0.78700000000000003</v>
      </c>
      <c r="AL240" t="s">
        <v>156</v>
      </c>
      <c r="AM240" t="s">
        <v>155</v>
      </c>
      <c r="AN240" t="s">
        <v>156</v>
      </c>
      <c r="AO240" t="s">
        <v>155</v>
      </c>
      <c r="AP240" t="s">
        <v>155</v>
      </c>
      <c r="AQ240" t="s">
        <v>155</v>
      </c>
      <c r="AR240" t="s">
        <v>156</v>
      </c>
      <c r="AS240" t="s">
        <v>156</v>
      </c>
      <c r="AT240" t="s">
        <v>155</v>
      </c>
      <c r="AU240" t="s">
        <v>155</v>
      </c>
      <c r="AV240" t="s">
        <v>155</v>
      </c>
      <c r="AW240" t="s">
        <v>155</v>
      </c>
      <c r="AX240" t="s">
        <v>155</v>
      </c>
      <c r="AY240" t="s">
        <v>156</v>
      </c>
      <c r="AZ240" t="s">
        <v>155</v>
      </c>
      <c r="BA240" t="s">
        <v>156</v>
      </c>
      <c r="BB240" t="s">
        <v>155</v>
      </c>
      <c r="BC240" t="s">
        <v>156</v>
      </c>
      <c r="BD240" t="s">
        <v>155</v>
      </c>
      <c r="BE240" t="s">
        <v>156</v>
      </c>
      <c r="BZ240">
        <v>4.3006730929528612</v>
      </c>
      <c r="CA240">
        <v>10318.744829127556</v>
      </c>
      <c r="CB240">
        <v>3.1661030665237901</v>
      </c>
      <c r="CC240">
        <v>1.8826497124193</v>
      </c>
      <c r="CD240">
        <v>2.5705387058146498</v>
      </c>
      <c r="CE240">
        <v>5.5360287650909799</v>
      </c>
      <c r="CF240">
        <v>5.1762877824879796</v>
      </c>
      <c r="CG240">
        <v>4.5095569506553899</v>
      </c>
      <c r="CH240">
        <v>3.8593264767572899</v>
      </c>
      <c r="CI240">
        <v>2.0943217047443201</v>
      </c>
      <c r="CJ240">
        <v>4.6602865901826798</v>
      </c>
      <c r="CK240">
        <v>3.8759168992870001</v>
      </c>
      <c r="CL240">
        <v>7.4860182734945502</v>
      </c>
      <c r="CM240">
        <v>4.2903384443345098</v>
      </c>
      <c r="CN240">
        <v>5.7785605430333904</v>
      </c>
      <c r="CO240">
        <v>3.2091708090611002</v>
      </c>
      <c r="CP240">
        <v>5.3857082492001904</v>
      </c>
      <c r="CQ240">
        <v>1.5828773344521101</v>
      </c>
      <c r="CR240">
        <v>5.4069933825591798</v>
      </c>
      <c r="CS240">
        <v>3.1234691843475599</v>
      </c>
      <c r="CT240">
        <v>10.3871928343221</v>
      </c>
      <c r="CU240">
        <v>2.03211615028916</v>
      </c>
    </row>
    <row r="241" spans="1:99" x14ac:dyDescent="0.25">
      <c r="A241" t="s">
        <v>135</v>
      </c>
      <c r="B241" t="s">
        <v>198</v>
      </c>
      <c r="C241" t="s">
        <v>199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41968</v>
      </c>
      <c r="N241">
        <v>15733.623029353501</v>
      </c>
      <c r="O241">
        <v>22</v>
      </c>
      <c r="P241">
        <v>21</v>
      </c>
      <c r="Q241">
        <v>43</v>
      </c>
      <c r="R241">
        <v>9.0999999999999998E-2</v>
      </c>
      <c r="S241">
        <v>0.104</v>
      </c>
      <c r="T241">
        <v>0.10299999999999999</v>
      </c>
      <c r="U241">
        <v>0.1</v>
      </c>
      <c r="V241">
        <v>0.10299999999999999</v>
      </c>
      <c r="W241">
        <v>0.106</v>
      </c>
      <c r="X241">
        <v>9.8000000000000004E-2</v>
      </c>
      <c r="Y241">
        <v>0.11700000000000001</v>
      </c>
      <c r="Z241">
        <v>0.10199999999999999</v>
      </c>
      <c r="AA241">
        <v>8.8999999999999996E-2</v>
      </c>
      <c r="AB241">
        <v>0.10100000000000001</v>
      </c>
      <c r="AC241">
        <v>0.19600000000000001</v>
      </c>
      <c r="AD241">
        <v>0.10100000000000001</v>
      </c>
      <c r="AE241">
        <v>9.4E-2</v>
      </c>
      <c r="AF241">
        <v>9.9000000000000005E-2</v>
      </c>
      <c r="AG241">
        <v>9.5000000000000001E-2</v>
      </c>
      <c r="AH241">
        <v>9.9000000000000005E-2</v>
      </c>
      <c r="AI241">
        <v>0.1</v>
      </c>
      <c r="AJ241">
        <v>0.10100000000000001</v>
      </c>
      <c r="AK241">
        <v>0.105</v>
      </c>
      <c r="BZ241">
        <v>0.17702392708397813</v>
      </c>
      <c r="CA241">
        <v>2785.227735915073</v>
      </c>
      <c r="CB241">
        <v>0.12290059094102512</v>
      </c>
      <c r="CC241">
        <v>0.15429646124708882</v>
      </c>
      <c r="CD241">
        <v>0.15161976259966117</v>
      </c>
      <c r="CE241">
        <v>0.14386506690014328</v>
      </c>
      <c r="CF241">
        <v>0.15161976259966117</v>
      </c>
      <c r="CG241">
        <v>0.15979245626552249</v>
      </c>
      <c r="CH241">
        <v>0.13891688780903549</v>
      </c>
      <c r="CI241">
        <v>0.19371264020039231</v>
      </c>
      <c r="CJ241">
        <v>0.14898949868956468</v>
      </c>
      <c r="CK241">
        <v>0.11867347627390945</v>
      </c>
      <c r="CL241">
        <v>0.14640486397791924</v>
      </c>
      <c r="CM241">
        <v>0.7719160687419262</v>
      </c>
      <c r="CN241">
        <v>0.14640486397791924</v>
      </c>
      <c r="CO241">
        <v>0.12952524767371265</v>
      </c>
      <c r="CP241">
        <v>0.1413693296235311</v>
      </c>
      <c r="CQ241">
        <v>0.1318118892652273</v>
      </c>
      <c r="CR241">
        <v>0.1413693296235311</v>
      </c>
      <c r="CS241">
        <v>0.14386506690014328</v>
      </c>
      <c r="CT241">
        <v>0.14640486397791924</v>
      </c>
      <c r="CU241">
        <v>0.15702041439172909</v>
      </c>
    </row>
    <row r="242" spans="1:99" x14ac:dyDescent="0.25">
      <c r="A242" t="s">
        <v>135</v>
      </c>
      <c r="B242" t="s">
        <v>164</v>
      </c>
      <c r="C242" t="s">
        <v>158</v>
      </c>
      <c r="D242">
        <v>-1</v>
      </c>
      <c r="E242">
        <v>1</v>
      </c>
      <c r="F242">
        <v>-1</v>
      </c>
      <c r="G242">
        <v>-1</v>
      </c>
      <c r="H242">
        <v>-1</v>
      </c>
      <c r="I242">
        <v>1</v>
      </c>
      <c r="J242">
        <v>-1</v>
      </c>
      <c r="K242">
        <v>-1</v>
      </c>
      <c r="L242">
        <v>-1</v>
      </c>
      <c r="M242">
        <v>170.666666666667</v>
      </c>
      <c r="N242">
        <v>63.982200653108599</v>
      </c>
      <c r="O242">
        <v>-1</v>
      </c>
      <c r="P242">
        <v>-1</v>
      </c>
      <c r="Q242">
        <v>-1</v>
      </c>
      <c r="R242">
        <v>0.36799999999999999</v>
      </c>
      <c r="S242">
        <v>0.42099999999999999</v>
      </c>
      <c r="AL242" t="s">
        <v>159</v>
      </c>
      <c r="AM242" t="s">
        <v>159</v>
      </c>
      <c r="BZ242">
        <v>1.44404783859943</v>
      </c>
      <c r="CA242">
        <v>92.393358561956504</v>
      </c>
      <c r="CB242">
        <v>1.20060905965011</v>
      </c>
      <c r="CC242">
        <v>1.68748661754875</v>
      </c>
    </row>
    <row r="243" spans="1:99" x14ac:dyDescent="0.25">
      <c r="A243" t="s">
        <v>135</v>
      </c>
      <c r="B243" t="s">
        <v>200</v>
      </c>
      <c r="C243" t="s">
        <v>192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4880</v>
      </c>
      <c r="N243">
        <v>1829.4910499248199</v>
      </c>
      <c r="O243">
        <v>1</v>
      </c>
      <c r="P243">
        <v>4</v>
      </c>
      <c r="Q243">
        <v>5</v>
      </c>
      <c r="R243">
        <v>0.127</v>
      </c>
      <c r="S243">
        <v>0.11799999999999999</v>
      </c>
      <c r="T243">
        <v>0.1</v>
      </c>
      <c r="U243">
        <v>0.10199999999999999</v>
      </c>
      <c r="V243">
        <v>0.122</v>
      </c>
      <c r="BZ243">
        <v>3.0273884000000008E-2</v>
      </c>
      <c r="CA243">
        <v>55.385799824462218</v>
      </c>
      <c r="CB243">
        <v>4.0967660000000003E-2</v>
      </c>
      <c r="CC243">
        <v>3.2860640000000003E-2</v>
      </c>
      <c r="CD243">
        <v>0.02</v>
      </c>
      <c r="CE243">
        <v>2.1224159999999999E-2</v>
      </c>
      <c r="CF243">
        <v>3.6316960000000002E-2</v>
      </c>
    </row>
    <row r="244" spans="1:99" x14ac:dyDescent="0.25">
      <c r="A244" t="s">
        <v>135</v>
      </c>
      <c r="B244" t="s">
        <v>163</v>
      </c>
      <c r="C244" t="s">
        <v>158</v>
      </c>
      <c r="D244">
        <v>-1</v>
      </c>
      <c r="E244">
        <v>7</v>
      </c>
      <c r="F244">
        <v>-1</v>
      </c>
      <c r="G244">
        <v>-1</v>
      </c>
      <c r="H244">
        <v>-1</v>
      </c>
      <c r="I244">
        <v>21</v>
      </c>
      <c r="J244">
        <v>-1</v>
      </c>
      <c r="K244">
        <v>-1</v>
      </c>
      <c r="L244">
        <v>-1</v>
      </c>
      <c r="M244">
        <v>2389.3333333333298</v>
      </c>
      <c r="N244">
        <v>895.750809143521</v>
      </c>
      <c r="O244">
        <v>-1</v>
      </c>
      <c r="P244">
        <v>-1</v>
      </c>
      <c r="Q244">
        <v>-1</v>
      </c>
      <c r="R244">
        <v>0.69499999999999995</v>
      </c>
      <c r="S244">
        <v>0.374</v>
      </c>
      <c r="T244">
        <v>0.74299999999999999</v>
      </c>
      <c r="U244">
        <v>0.437</v>
      </c>
      <c r="V244">
        <v>0.85499999999999998</v>
      </c>
      <c r="W244">
        <v>0.33500000000000002</v>
      </c>
      <c r="X244">
        <v>0.50800000000000001</v>
      </c>
      <c r="Y244">
        <v>0.371</v>
      </c>
      <c r="Z244">
        <v>0.58199999999999996</v>
      </c>
      <c r="AA244">
        <v>0.56599999999999995</v>
      </c>
      <c r="AB244">
        <v>0.86799999999999999</v>
      </c>
      <c r="AC244">
        <v>0.99399999999999999</v>
      </c>
      <c r="AD244">
        <v>0.88500000000000001</v>
      </c>
      <c r="AE244">
        <v>0.85799999999999998</v>
      </c>
      <c r="AF244">
        <v>0.94699999999999995</v>
      </c>
      <c r="AG244">
        <v>0.56299999999999994</v>
      </c>
      <c r="AH244">
        <v>0.72499999999999998</v>
      </c>
      <c r="AI244">
        <v>0.754</v>
      </c>
      <c r="AJ244">
        <v>0.61799999999999999</v>
      </c>
      <c r="AK244">
        <v>0.437</v>
      </c>
      <c r="AL244" t="s">
        <v>159</v>
      </c>
      <c r="AM244" t="s">
        <v>159</v>
      </c>
      <c r="AN244" t="s">
        <v>159</v>
      </c>
      <c r="AO244" t="s">
        <v>159</v>
      </c>
      <c r="AP244" t="s">
        <v>159</v>
      </c>
      <c r="AQ244" t="s">
        <v>159</v>
      </c>
      <c r="AR244" t="s">
        <v>159</v>
      </c>
      <c r="AS244" t="s">
        <v>159</v>
      </c>
      <c r="AT244" t="s">
        <v>159</v>
      </c>
      <c r="AU244" t="s">
        <v>159</v>
      </c>
      <c r="AV244" t="s">
        <v>159</v>
      </c>
      <c r="AW244" t="s">
        <v>159</v>
      </c>
      <c r="AX244" t="s">
        <v>159</v>
      </c>
      <c r="AY244" t="s">
        <v>159</v>
      </c>
      <c r="AZ244" t="s">
        <v>159</v>
      </c>
      <c r="BA244" t="s">
        <v>159</v>
      </c>
      <c r="BB244" t="s">
        <v>159</v>
      </c>
      <c r="BC244" t="s">
        <v>159</v>
      </c>
      <c r="BD244" t="s">
        <v>159</v>
      </c>
      <c r="BE244" t="s">
        <v>159</v>
      </c>
      <c r="BZ244">
        <v>2.7468215117587027</v>
      </c>
      <c r="CA244">
        <v>2460.4675917306877</v>
      </c>
      <c r="CB244">
        <v>2.49014127894374</v>
      </c>
      <c r="CC244">
        <v>0.34494739694446103</v>
      </c>
      <c r="CD244">
        <v>3.0813907666945601</v>
      </c>
      <c r="CE244">
        <v>0.56679791620190501</v>
      </c>
      <c r="CF244">
        <v>4.8224126178512199</v>
      </c>
      <c r="CG244">
        <v>0.242764620879451</v>
      </c>
      <c r="CH244">
        <v>0.91621564457091897</v>
      </c>
      <c r="CI244">
        <v>0.33619808291652098</v>
      </c>
      <c r="CJ244">
        <v>1.4138286630433901</v>
      </c>
      <c r="CK244">
        <v>1.2935311050018701</v>
      </c>
      <c r="CL244">
        <v>5.0602314826562003</v>
      </c>
      <c r="CM244">
        <v>7.7974936043499001</v>
      </c>
      <c r="CN244">
        <v>5.3832121376778703</v>
      </c>
      <c r="CO244">
        <v>4.8765974723763996</v>
      </c>
      <c r="CP244">
        <v>6.6811141817191801</v>
      </c>
      <c r="CQ244">
        <v>1.2717865876188601</v>
      </c>
      <c r="CR244">
        <v>2.8495133890924502</v>
      </c>
      <c r="CS244">
        <v>3.2292900489624099</v>
      </c>
      <c r="CT244">
        <v>1.7121653214708299</v>
      </c>
      <c r="CU244">
        <v>0.56679791620190501</v>
      </c>
    </row>
    <row r="245" spans="1:99" x14ac:dyDescent="0.25">
      <c r="A245" t="s">
        <v>135</v>
      </c>
      <c r="B245" t="s">
        <v>201</v>
      </c>
      <c r="C245" t="s">
        <v>192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48800</v>
      </c>
      <c r="N245">
        <v>18294.910499248199</v>
      </c>
      <c r="O245">
        <v>21</v>
      </c>
      <c r="P245">
        <v>29</v>
      </c>
      <c r="Q245">
        <v>50</v>
      </c>
      <c r="R245">
        <v>0.152</v>
      </c>
      <c r="S245">
        <v>0.125</v>
      </c>
      <c r="T245">
        <v>0.129</v>
      </c>
      <c r="U245">
        <v>0.13</v>
      </c>
      <c r="V245">
        <v>0.14699999999999999</v>
      </c>
      <c r="W245">
        <v>0.152</v>
      </c>
      <c r="X245">
        <v>0.127</v>
      </c>
      <c r="Y245">
        <v>0.11899999999999999</v>
      </c>
      <c r="Z245">
        <v>0.129</v>
      </c>
      <c r="AA245">
        <v>0.14000000000000001</v>
      </c>
      <c r="AB245">
        <v>0.13600000000000001</v>
      </c>
      <c r="AC245">
        <v>0.13200000000000001</v>
      </c>
      <c r="AD245">
        <v>0.129</v>
      </c>
      <c r="AE245">
        <v>0.123</v>
      </c>
      <c r="AF245">
        <v>0.13700000000000001</v>
      </c>
      <c r="AG245">
        <v>0.14499999999999999</v>
      </c>
      <c r="AH245">
        <v>0.127</v>
      </c>
      <c r="AI245">
        <v>0.129</v>
      </c>
      <c r="AJ245">
        <v>0.13600000000000001</v>
      </c>
      <c r="AK245">
        <v>0.14499999999999999</v>
      </c>
      <c r="BZ245">
        <v>7.5094716637499987E-3</v>
      </c>
      <c r="CA245">
        <v>137.38511198494669</v>
      </c>
      <c r="CB245">
        <v>1.069345536E-2</v>
      </c>
      <c r="CC245">
        <v>5.9472656249999999E-3</v>
      </c>
      <c r="CD245">
        <v>6.5366680050000002E-3</v>
      </c>
      <c r="CE245">
        <v>6.6898649999999997E-3</v>
      </c>
      <c r="CF245">
        <v>9.6725125350000003E-3</v>
      </c>
      <c r="CG245">
        <v>1.069345536E-2</v>
      </c>
      <c r="CH245">
        <v>6.237326235E-3</v>
      </c>
      <c r="CI245">
        <v>5.1313091550000004E-3</v>
      </c>
      <c r="CJ245">
        <v>6.5366680050000002E-3</v>
      </c>
      <c r="CK245">
        <v>8.3554800000000002E-3</v>
      </c>
      <c r="CL245">
        <v>7.65956352E-3</v>
      </c>
      <c r="CM245">
        <v>7.0034025600000001E-3</v>
      </c>
      <c r="CN245">
        <v>6.5366680050000002E-3</v>
      </c>
      <c r="CO245">
        <v>5.6663400150000001E-3</v>
      </c>
      <c r="CP245">
        <v>7.8297698850000007E-3</v>
      </c>
      <c r="CQ245">
        <v>9.2830631249999993E-3</v>
      </c>
      <c r="CR245">
        <v>6.237326235E-3</v>
      </c>
      <c r="CS245">
        <v>6.5366680050000002E-3</v>
      </c>
      <c r="CT245">
        <v>7.65956352E-3</v>
      </c>
      <c r="CU245">
        <v>9.2830631249999993E-3</v>
      </c>
    </row>
    <row r="246" spans="1:99" x14ac:dyDescent="0.25">
      <c r="A246" t="s">
        <v>135</v>
      </c>
      <c r="B246" t="s">
        <v>202</v>
      </c>
      <c r="C246" t="s">
        <v>192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85888</v>
      </c>
      <c r="N246">
        <v>32199.0424786769</v>
      </c>
      <c r="O246">
        <v>37</v>
      </c>
      <c r="P246">
        <v>51</v>
      </c>
      <c r="Q246">
        <v>88</v>
      </c>
      <c r="R246">
        <v>9.1999999999999998E-2</v>
      </c>
      <c r="S246">
        <v>8.5000000000000006E-2</v>
      </c>
      <c r="T246">
        <v>8.6999999999999994E-2</v>
      </c>
      <c r="U246">
        <v>9.2999999999999999E-2</v>
      </c>
      <c r="V246">
        <v>8.8999999999999996E-2</v>
      </c>
      <c r="W246">
        <v>0.10199999999999999</v>
      </c>
      <c r="X246">
        <v>8.2000000000000003E-2</v>
      </c>
      <c r="Y246">
        <v>9.4E-2</v>
      </c>
      <c r="Z246">
        <v>8.8999999999999996E-2</v>
      </c>
      <c r="AA246">
        <v>8.1000000000000003E-2</v>
      </c>
      <c r="AB246">
        <v>9.2999999999999999E-2</v>
      </c>
      <c r="AC246">
        <v>0.1</v>
      </c>
      <c r="AD246">
        <v>9.2999999999999999E-2</v>
      </c>
      <c r="AE246">
        <v>8.6999999999999994E-2</v>
      </c>
      <c r="AF246">
        <v>0.10299999999999999</v>
      </c>
      <c r="AG246">
        <v>8.1000000000000003E-2</v>
      </c>
      <c r="AH246">
        <v>0.107</v>
      </c>
      <c r="AI246">
        <v>8.5000000000000006E-2</v>
      </c>
      <c r="AJ246">
        <v>8.4000000000000005E-2</v>
      </c>
      <c r="AK246">
        <v>8.3000000000000004E-2</v>
      </c>
      <c r="BZ246">
        <v>1.5135255999999999E-3</v>
      </c>
      <c r="CA246">
        <v>48.734075086964943</v>
      </c>
      <c r="CB246">
        <v>1.5573760000000001E-3</v>
      </c>
      <c r="CC246">
        <v>1.22825E-3</v>
      </c>
      <c r="CD246">
        <v>1.3170059999999999E-3</v>
      </c>
      <c r="CE246">
        <v>1.608714E-3</v>
      </c>
      <c r="CF246">
        <v>1.4099379999999999E-3</v>
      </c>
      <c r="CG246">
        <v>2.1224159999999998E-3</v>
      </c>
      <c r="CH246">
        <v>1.102736E-3</v>
      </c>
      <c r="CI246">
        <v>1.661168E-3</v>
      </c>
      <c r="CJ246">
        <v>1.4099379999999999E-3</v>
      </c>
      <c r="CK246">
        <v>1.062882E-3</v>
      </c>
      <c r="CL246">
        <v>1.608714E-3</v>
      </c>
      <c r="CM246">
        <v>2E-3</v>
      </c>
      <c r="CN246">
        <v>1.608714E-3</v>
      </c>
      <c r="CO246">
        <v>1.3170059999999999E-3</v>
      </c>
      <c r="CP246">
        <v>2.1854539999999999E-3</v>
      </c>
      <c r="CQ246">
        <v>1.062882E-3</v>
      </c>
      <c r="CR246">
        <v>2.4500860000000002E-3</v>
      </c>
      <c r="CS246">
        <v>1.22825E-3</v>
      </c>
      <c r="CT246">
        <v>1.185408E-3</v>
      </c>
      <c r="CU246">
        <v>1.1435740000000001E-3</v>
      </c>
    </row>
    <row r="247" spans="1:99" x14ac:dyDescent="0.25">
      <c r="A247" t="s">
        <v>135</v>
      </c>
      <c r="B247" t="s">
        <v>203</v>
      </c>
      <c r="C247" t="s">
        <v>192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20496</v>
      </c>
      <c r="N247">
        <v>7683.8624096842595</v>
      </c>
      <c r="O247">
        <v>10</v>
      </c>
      <c r="P247">
        <v>11</v>
      </c>
      <c r="Q247">
        <v>21</v>
      </c>
      <c r="R247">
        <v>9.0999999999999998E-2</v>
      </c>
      <c r="S247">
        <v>0.109</v>
      </c>
      <c r="T247">
        <v>0.10299999999999999</v>
      </c>
      <c r="U247">
        <v>0.105</v>
      </c>
      <c r="V247">
        <v>9.4E-2</v>
      </c>
      <c r="W247">
        <v>0.1</v>
      </c>
      <c r="X247">
        <v>9.8000000000000004E-2</v>
      </c>
      <c r="Y247">
        <v>9.5000000000000001E-2</v>
      </c>
      <c r="Z247">
        <v>9.9000000000000005E-2</v>
      </c>
      <c r="AA247">
        <v>0.10299999999999999</v>
      </c>
      <c r="AB247">
        <v>9.7000000000000003E-2</v>
      </c>
      <c r="AC247">
        <v>0.107</v>
      </c>
      <c r="AD247">
        <v>0.107</v>
      </c>
      <c r="AE247">
        <v>9.5000000000000001E-2</v>
      </c>
      <c r="AF247">
        <v>9.8000000000000004E-2</v>
      </c>
      <c r="AG247">
        <v>9.9000000000000005E-2</v>
      </c>
      <c r="AH247">
        <v>9.1999999999999998E-2</v>
      </c>
      <c r="AI247">
        <v>0.11</v>
      </c>
      <c r="AJ247">
        <v>9.5000000000000001E-2</v>
      </c>
      <c r="AK247">
        <v>9.9000000000000005E-2</v>
      </c>
      <c r="BZ247">
        <v>2.0060116E-3</v>
      </c>
      <c r="CA247">
        <v>15.413917126630578</v>
      </c>
      <c r="CB247">
        <v>1.5071419999999999E-3</v>
      </c>
      <c r="CC247">
        <v>2.5900580000000001E-3</v>
      </c>
      <c r="CD247">
        <v>2.1854539999999999E-3</v>
      </c>
      <c r="CE247">
        <v>2.31525E-3</v>
      </c>
      <c r="CF247">
        <v>1.661168E-3</v>
      </c>
      <c r="CG247">
        <v>2E-3</v>
      </c>
      <c r="CH247">
        <v>1.882384E-3</v>
      </c>
      <c r="CI247">
        <v>1.7147499999999999E-3</v>
      </c>
      <c r="CJ247">
        <v>1.940598E-3</v>
      </c>
      <c r="CK247">
        <v>2.1854539999999999E-3</v>
      </c>
      <c r="CL247">
        <v>1.825346E-3</v>
      </c>
      <c r="CM247">
        <v>2.4500860000000002E-3</v>
      </c>
      <c r="CN247">
        <v>2.4500860000000002E-3</v>
      </c>
      <c r="CO247">
        <v>1.7147499999999999E-3</v>
      </c>
      <c r="CP247">
        <v>1.882384E-3</v>
      </c>
      <c r="CQ247">
        <v>1.940598E-3</v>
      </c>
      <c r="CR247">
        <v>1.5573760000000001E-3</v>
      </c>
      <c r="CS247">
        <v>2.6619999999999999E-3</v>
      </c>
      <c r="CT247">
        <v>1.7147499999999999E-3</v>
      </c>
      <c r="CU247">
        <v>1.940598E-3</v>
      </c>
    </row>
    <row r="248" spans="1:99" x14ac:dyDescent="0.25">
      <c r="A248" t="s">
        <v>135</v>
      </c>
      <c r="B248" t="s">
        <v>204</v>
      </c>
      <c r="C248" t="s">
        <v>192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7808</v>
      </c>
      <c r="N248">
        <v>2927.1856798797198</v>
      </c>
      <c r="O248">
        <v>7</v>
      </c>
      <c r="P248">
        <v>1</v>
      </c>
      <c r="Q248">
        <v>8</v>
      </c>
      <c r="R248">
        <v>0.114</v>
      </c>
      <c r="S248">
        <v>0.128</v>
      </c>
      <c r="T248">
        <v>0.128</v>
      </c>
      <c r="U248">
        <v>0.129</v>
      </c>
      <c r="V248">
        <v>0.11799999999999999</v>
      </c>
      <c r="W248">
        <v>0.11700000000000001</v>
      </c>
      <c r="X248">
        <v>0.113</v>
      </c>
      <c r="Y248">
        <v>0.111</v>
      </c>
      <c r="BZ248">
        <v>3.4694274999999999E-3</v>
      </c>
      <c r="CA248">
        <v>10.155658495380896</v>
      </c>
      <c r="CB248">
        <v>2.963088E-3</v>
      </c>
      <c r="CC248">
        <v>4.1943040000000003E-3</v>
      </c>
      <c r="CD248">
        <v>4.1943040000000003E-3</v>
      </c>
      <c r="CE248">
        <v>4.2933779999999996E-3</v>
      </c>
      <c r="CF248">
        <v>3.286064E-3</v>
      </c>
      <c r="CG248">
        <v>3.203226E-3</v>
      </c>
      <c r="CH248">
        <v>2.8857940000000001E-3</v>
      </c>
      <c r="CI248">
        <v>2.735262E-3</v>
      </c>
    </row>
    <row r="249" spans="1:99" x14ac:dyDescent="0.25">
      <c r="A249" t="s">
        <v>135</v>
      </c>
      <c r="B249" t="s">
        <v>216</v>
      </c>
      <c r="C249" t="s">
        <v>192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3904</v>
      </c>
      <c r="N249">
        <v>1463.5928399398599</v>
      </c>
      <c r="O249">
        <v>2</v>
      </c>
      <c r="P249">
        <v>2</v>
      </c>
      <c r="Q249">
        <v>4</v>
      </c>
      <c r="R249">
        <v>0.13800000000000001</v>
      </c>
      <c r="S249">
        <v>0.14699999999999999</v>
      </c>
      <c r="T249">
        <v>0.13900000000000001</v>
      </c>
      <c r="U249">
        <v>0.14599999999999999</v>
      </c>
      <c r="BZ249">
        <v>6.7003571250000005E-2</v>
      </c>
      <c r="CA249">
        <v>98.065947131900259</v>
      </c>
      <c r="CB249">
        <v>6.07084632E-2</v>
      </c>
      <c r="CC249">
        <v>7.3377681299999997E-2</v>
      </c>
      <c r="CD249">
        <v>6.2037798900000003E-2</v>
      </c>
      <c r="CE249">
        <v>7.1890341600000005E-2</v>
      </c>
    </row>
    <row r="250" spans="1:99" x14ac:dyDescent="0.25">
      <c r="A250" t="s">
        <v>135</v>
      </c>
      <c r="B250" t="s">
        <v>162</v>
      </c>
      <c r="C250" t="s">
        <v>154</v>
      </c>
      <c r="D250">
        <v>-1</v>
      </c>
      <c r="E250">
        <v>0</v>
      </c>
      <c r="F250">
        <v>0</v>
      </c>
      <c r="G250">
        <v>-1</v>
      </c>
      <c r="H250">
        <v>-1</v>
      </c>
      <c r="I250">
        <v>2</v>
      </c>
      <c r="J250">
        <v>0</v>
      </c>
      <c r="K250">
        <v>-1</v>
      </c>
      <c r="L250">
        <v>-1</v>
      </c>
      <c r="M250">
        <v>170.666666666667</v>
      </c>
      <c r="N250">
        <v>63.982200653108599</v>
      </c>
      <c r="O250">
        <v>-1</v>
      </c>
      <c r="P250">
        <v>-1</v>
      </c>
      <c r="Q250">
        <v>-1</v>
      </c>
      <c r="R250">
        <v>0.95</v>
      </c>
      <c r="S250">
        <v>0.95</v>
      </c>
      <c r="AL250" t="s">
        <v>155</v>
      </c>
      <c r="AM250" t="s">
        <v>155</v>
      </c>
      <c r="BZ250">
        <v>4.2937065927586904</v>
      </c>
      <c r="CA250">
        <v>274.72079676346175</v>
      </c>
      <c r="CB250">
        <v>4.2937065927586904</v>
      </c>
      <c r="CC250">
        <v>4.2937065927586904</v>
      </c>
    </row>
    <row r="251" spans="1:99" x14ac:dyDescent="0.25">
      <c r="A251" t="s">
        <v>135</v>
      </c>
      <c r="B251" t="s">
        <v>165</v>
      </c>
      <c r="C251" t="s">
        <v>158</v>
      </c>
      <c r="D251">
        <v>-1</v>
      </c>
      <c r="E251">
        <v>0</v>
      </c>
      <c r="F251">
        <v>-1</v>
      </c>
      <c r="G251">
        <v>-1</v>
      </c>
      <c r="H251">
        <v>-1</v>
      </c>
      <c r="I251">
        <v>0</v>
      </c>
      <c r="J251">
        <v>-1</v>
      </c>
      <c r="K251">
        <v>1</v>
      </c>
      <c r="L251">
        <v>-1</v>
      </c>
      <c r="M251">
        <v>36.571428571428598</v>
      </c>
      <c r="N251">
        <v>13.7104715685233</v>
      </c>
      <c r="O251">
        <v>-1</v>
      </c>
      <c r="P251">
        <v>-1</v>
      </c>
      <c r="Q251">
        <v>-1</v>
      </c>
      <c r="R251">
        <v>0.86799999999999999</v>
      </c>
      <c r="AL251" t="s">
        <v>159</v>
      </c>
      <c r="BZ251">
        <v>0.30120182718029098</v>
      </c>
      <c r="CA251">
        <v>4.1296190879426478</v>
      </c>
      <c r="CB251">
        <v>0.30120182718029098</v>
      </c>
    </row>
    <row r="252" spans="1:99" x14ac:dyDescent="0.25">
      <c r="A252" t="s">
        <v>135</v>
      </c>
      <c r="B252" t="s">
        <v>212</v>
      </c>
      <c r="C252" t="s">
        <v>192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1952</v>
      </c>
      <c r="N252">
        <v>731.79641996992996</v>
      </c>
      <c r="O252">
        <v>1</v>
      </c>
      <c r="P252">
        <v>1</v>
      </c>
      <c r="Q252">
        <v>2</v>
      </c>
      <c r="R252">
        <v>0.36599999999999999</v>
      </c>
      <c r="S252">
        <v>0.28000000000000003</v>
      </c>
      <c r="BZ252">
        <v>0.35489947999999999</v>
      </c>
      <c r="CA252">
        <v>259.71416891318972</v>
      </c>
      <c r="CB252">
        <v>0.49027895999999999</v>
      </c>
      <c r="CC252">
        <v>0.21951999999999999</v>
      </c>
    </row>
    <row r="253" spans="1:99" x14ac:dyDescent="0.25">
      <c r="A253" t="s">
        <v>135</v>
      </c>
      <c r="B253" t="s">
        <v>208</v>
      </c>
      <c r="C253" t="s">
        <v>192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10736</v>
      </c>
      <c r="N253">
        <v>4024.8803098346102</v>
      </c>
      <c r="O253">
        <v>6</v>
      </c>
      <c r="P253">
        <v>5</v>
      </c>
      <c r="Q253">
        <v>11</v>
      </c>
      <c r="R253">
        <v>8.2000000000000003E-2</v>
      </c>
      <c r="S253">
        <v>8.8999999999999996E-2</v>
      </c>
      <c r="T253">
        <v>8.7999999999999995E-2</v>
      </c>
      <c r="U253">
        <v>0.09</v>
      </c>
      <c r="V253">
        <v>8.3000000000000004E-2</v>
      </c>
      <c r="W253">
        <v>9.5000000000000001E-2</v>
      </c>
      <c r="X253">
        <v>8.4000000000000005E-2</v>
      </c>
      <c r="Y253">
        <v>8.5999999999999993E-2</v>
      </c>
      <c r="Z253">
        <v>8.5999999999999993E-2</v>
      </c>
      <c r="AA253">
        <v>8.5999999999999993E-2</v>
      </c>
      <c r="AB253">
        <v>9.6000000000000002E-2</v>
      </c>
      <c r="BZ253">
        <v>2.0948421200000004E-2</v>
      </c>
      <c r="CA253">
        <v>84.314888010001937</v>
      </c>
      <c r="CB253">
        <v>1.6982134400000001E-2</v>
      </c>
      <c r="CC253">
        <v>2.1713045199999999E-2</v>
      </c>
      <c r="CD253">
        <v>2.0989337600000001E-2</v>
      </c>
      <c r="CE253">
        <v>2.24532E-2</v>
      </c>
      <c r="CF253">
        <v>1.76110396E-2</v>
      </c>
      <c r="CG253">
        <v>2.6407150000000001E-2</v>
      </c>
      <c r="CH253">
        <v>1.82552832E-2</v>
      </c>
      <c r="CI253">
        <v>1.9590524799999998E-2</v>
      </c>
      <c r="CJ253">
        <v>1.9590524799999998E-2</v>
      </c>
      <c r="CK253">
        <v>1.9590524799999998E-2</v>
      </c>
      <c r="CL253">
        <v>2.72498688E-2</v>
      </c>
    </row>
    <row r="254" spans="1:99" x14ac:dyDescent="0.25">
      <c r="A254" t="s">
        <v>135</v>
      </c>
      <c r="B254" t="s">
        <v>209</v>
      </c>
      <c r="C254" t="s">
        <v>192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4880</v>
      </c>
      <c r="N254">
        <v>1829.4910499248199</v>
      </c>
      <c r="O254">
        <v>3</v>
      </c>
      <c r="P254">
        <v>2</v>
      </c>
      <c r="Q254">
        <v>5</v>
      </c>
      <c r="R254">
        <v>8.4000000000000005E-2</v>
      </c>
      <c r="S254">
        <v>0.11</v>
      </c>
      <c r="T254">
        <v>0.10299999999999999</v>
      </c>
      <c r="U254">
        <v>0.112</v>
      </c>
      <c r="V254">
        <v>0.13500000000000001</v>
      </c>
      <c r="BZ254">
        <v>4.2391481439999996E-2</v>
      </c>
      <c r="CA254">
        <v>77.554835887534111</v>
      </c>
      <c r="CB254">
        <v>1.82552832E-2</v>
      </c>
      <c r="CC254">
        <v>4.0994799999999998E-2</v>
      </c>
      <c r="CD254">
        <v>3.3655991599999997E-2</v>
      </c>
      <c r="CE254">
        <v>4.32717824E-2</v>
      </c>
      <c r="CF254">
        <v>7.5779550000000001E-2</v>
      </c>
    </row>
    <row r="255" spans="1:99" x14ac:dyDescent="0.25">
      <c r="A255" t="s">
        <v>135</v>
      </c>
      <c r="B255" t="s">
        <v>153</v>
      </c>
      <c r="C255" t="s">
        <v>154</v>
      </c>
      <c r="D255">
        <v>-1</v>
      </c>
      <c r="E255">
        <v>0</v>
      </c>
      <c r="F255">
        <v>0</v>
      </c>
      <c r="G255">
        <v>-1</v>
      </c>
      <c r="H255">
        <v>-1</v>
      </c>
      <c r="I255">
        <v>0</v>
      </c>
      <c r="J255">
        <v>1</v>
      </c>
      <c r="K255">
        <v>-1</v>
      </c>
      <c r="L255">
        <v>-1</v>
      </c>
      <c r="M255">
        <v>85.3333333333333</v>
      </c>
      <c r="N255">
        <v>31.991100326554299</v>
      </c>
      <c r="O255">
        <v>-1</v>
      </c>
      <c r="P255">
        <v>-1</v>
      </c>
      <c r="Q255">
        <v>-1</v>
      </c>
      <c r="R255">
        <v>1.004</v>
      </c>
      <c r="AL255" t="s">
        <v>156</v>
      </c>
      <c r="BZ255">
        <v>4.9547134472881096</v>
      </c>
      <c r="CA255">
        <v>158.50673498152162</v>
      </c>
      <c r="CB255">
        <v>4.9547134472881096</v>
      </c>
    </row>
    <row r="256" spans="1:99" x14ac:dyDescent="0.25">
      <c r="A256" t="s">
        <v>135</v>
      </c>
      <c r="B256" t="s">
        <v>210</v>
      </c>
      <c r="C256" t="s">
        <v>192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11712</v>
      </c>
      <c r="N256">
        <v>4390.7785198195797</v>
      </c>
      <c r="O256">
        <v>6</v>
      </c>
      <c r="P256">
        <v>6</v>
      </c>
      <c r="Q256">
        <v>12</v>
      </c>
      <c r="R256">
        <v>9.9000000000000005E-2</v>
      </c>
      <c r="S256">
        <v>0.115</v>
      </c>
      <c r="T256">
        <v>0.111</v>
      </c>
      <c r="U256">
        <v>0.125</v>
      </c>
      <c r="V256">
        <v>0.109</v>
      </c>
      <c r="W256">
        <v>8.3000000000000004E-2</v>
      </c>
      <c r="X256">
        <v>0.183</v>
      </c>
      <c r="Y256">
        <v>0.13200000000000001</v>
      </c>
      <c r="Z256">
        <v>0.105</v>
      </c>
      <c r="AA256">
        <v>9.5000000000000001E-2</v>
      </c>
      <c r="AB256">
        <v>0.182</v>
      </c>
      <c r="AC256">
        <v>9.0999999999999998E-2</v>
      </c>
      <c r="BZ256">
        <v>2.0753616666666665E-2</v>
      </c>
      <c r="CA256">
        <v>91.124534268569619</v>
      </c>
      <c r="CB256">
        <v>9.7029899999999999E-3</v>
      </c>
      <c r="CC256">
        <v>1.520875E-2</v>
      </c>
      <c r="CD256">
        <v>1.3676310000000001E-2</v>
      </c>
      <c r="CE256">
        <v>1.953125E-2</v>
      </c>
      <c r="CF256">
        <v>1.295029E-2</v>
      </c>
      <c r="CG256">
        <v>5.7178699999999999E-3</v>
      </c>
      <c r="CH256">
        <v>6.1284869999999998E-2</v>
      </c>
      <c r="CI256">
        <v>2.2999680000000002E-2</v>
      </c>
      <c r="CJ256">
        <v>1.157625E-2</v>
      </c>
      <c r="CK256">
        <v>8.5737499999999998E-3</v>
      </c>
      <c r="CL256">
        <v>6.0285680000000001E-2</v>
      </c>
      <c r="CM256">
        <v>7.5357100000000002E-3</v>
      </c>
    </row>
    <row r="257" spans="1:99" x14ac:dyDescent="0.25">
      <c r="A257" t="s">
        <v>135</v>
      </c>
      <c r="B257" t="s">
        <v>215</v>
      </c>
      <c r="C257" t="s">
        <v>192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976</v>
      </c>
      <c r="N257">
        <v>365.89820998496498</v>
      </c>
      <c r="O257">
        <v>1</v>
      </c>
      <c r="P257">
        <v>0</v>
      </c>
      <c r="Q257">
        <v>1</v>
      </c>
      <c r="R257">
        <v>0.26100000000000001</v>
      </c>
      <c r="BF257">
        <v>6.0999999999999999E-2</v>
      </c>
      <c r="BZ257">
        <v>5.0804420471999998E-2</v>
      </c>
      <c r="CA257">
        <v>18.58924651002831</v>
      </c>
      <c r="CB257">
        <v>5.0804420471999998E-2</v>
      </c>
    </row>
    <row r="258" spans="1:99" x14ac:dyDescent="0.25">
      <c r="A258" t="s">
        <v>135</v>
      </c>
      <c r="B258" t="s">
        <v>211</v>
      </c>
      <c r="C258" t="s">
        <v>192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10736</v>
      </c>
      <c r="N258">
        <v>4024.8803098346102</v>
      </c>
      <c r="O258">
        <v>5</v>
      </c>
      <c r="P258">
        <v>6</v>
      </c>
      <c r="Q258">
        <v>11</v>
      </c>
      <c r="R258">
        <v>0.188</v>
      </c>
      <c r="S258">
        <v>0.17499999999999999</v>
      </c>
      <c r="T258">
        <v>0.16</v>
      </c>
      <c r="U258">
        <v>0.189</v>
      </c>
      <c r="V258">
        <v>0.17599999999999999</v>
      </c>
      <c r="W258">
        <v>0.16800000000000001</v>
      </c>
      <c r="X258">
        <v>0.17899999999999999</v>
      </c>
      <c r="Y258">
        <v>0.17499999999999999</v>
      </c>
      <c r="Z258">
        <v>0.16200000000000001</v>
      </c>
      <c r="AA258">
        <v>0.16</v>
      </c>
      <c r="AB258">
        <v>0.17299999999999999</v>
      </c>
      <c r="BF258">
        <v>0.09</v>
      </c>
      <c r="BG258">
        <v>9.2999999999999999E-2</v>
      </c>
      <c r="BH258">
        <v>0.10299999999999999</v>
      </c>
      <c r="BI258">
        <v>8.2000000000000003E-2</v>
      </c>
      <c r="BJ258">
        <v>0.09</v>
      </c>
      <c r="BK258">
        <v>9.2999999999999999E-2</v>
      </c>
      <c r="BL258">
        <v>8.7999999999999995E-2</v>
      </c>
      <c r="BM258">
        <v>9.1999999999999998E-2</v>
      </c>
      <c r="BN258">
        <v>0.09</v>
      </c>
      <c r="BO258">
        <v>9.9000000000000005E-2</v>
      </c>
      <c r="BP258">
        <v>8.7999999999999995E-2</v>
      </c>
      <c r="BZ258">
        <v>7.5950989097454555E-2</v>
      </c>
      <c r="CA258">
        <v>305.69364053080801</v>
      </c>
      <c r="CB258">
        <v>7.9660713600000002E-2</v>
      </c>
      <c r="CC258">
        <v>7.9178135400000002E-2</v>
      </c>
      <c r="CD258">
        <v>8.8796481280000006E-2</v>
      </c>
      <c r="CE258">
        <v>6.6479972831999995E-2</v>
      </c>
      <c r="CF258">
        <v>7.4575987199999999E-2</v>
      </c>
      <c r="CG258">
        <v>7.6011009983999997E-2</v>
      </c>
      <c r="CH258">
        <v>7.2513638911999995E-2</v>
      </c>
      <c r="CI258">
        <v>7.7484534399999999E-2</v>
      </c>
      <c r="CJ258">
        <v>6.8643806399999993E-2</v>
      </c>
      <c r="CK258">
        <v>8.2033585919999999E-2</v>
      </c>
      <c r="CL258">
        <v>7.0083014144000005E-2</v>
      </c>
    </row>
    <row r="259" spans="1:99" x14ac:dyDescent="0.25">
      <c r="A259" t="s">
        <v>136</v>
      </c>
      <c r="B259" t="s">
        <v>180</v>
      </c>
      <c r="C259" t="s">
        <v>158</v>
      </c>
      <c r="D259">
        <v>-1</v>
      </c>
      <c r="E259">
        <v>3</v>
      </c>
      <c r="F259">
        <v>-1</v>
      </c>
      <c r="G259">
        <v>-1</v>
      </c>
      <c r="H259">
        <v>-1</v>
      </c>
      <c r="I259">
        <v>0</v>
      </c>
      <c r="J259">
        <v>-1</v>
      </c>
      <c r="K259">
        <v>-1</v>
      </c>
      <c r="L259">
        <v>-1</v>
      </c>
      <c r="M259">
        <v>32</v>
      </c>
      <c r="N259">
        <v>18.381983050540299</v>
      </c>
      <c r="O259">
        <v>-1</v>
      </c>
      <c r="P259">
        <v>-1</v>
      </c>
      <c r="Q259">
        <v>-1</v>
      </c>
      <c r="R259">
        <v>0.443</v>
      </c>
      <c r="S259">
        <v>0.35599999999999998</v>
      </c>
      <c r="T259">
        <v>0.309</v>
      </c>
      <c r="AL259" t="s">
        <v>159</v>
      </c>
      <c r="AM259" t="s">
        <v>159</v>
      </c>
      <c r="AN259" t="s">
        <v>159</v>
      </c>
      <c r="BZ259">
        <v>0.39191324427547564</v>
      </c>
      <c r="CA259">
        <v>7.2041426135540529</v>
      </c>
      <c r="CB259">
        <v>0.69874294279671501</v>
      </c>
      <c r="CC259">
        <v>0.301783240856066</v>
      </c>
      <c r="CD259">
        <v>0.17521354917364601</v>
      </c>
    </row>
    <row r="260" spans="1:99" x14ac:dyDescent="0.25">
      <c r="A260" t="s">
        <v>136</v>
      </c>
      <c r="B260" t="s">
        <v>217</v>
      </c>
      <c r="C260" t="s">
        <v>192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1280</v>
      </c>
      <c r="N260">
        <v>735.27932202161105</v>
      </c>
      <c r="O260">
        <v>1</v>
      </c>
      <c r="P260">
        <v>1</v>
      </c>
      <c r="Q260">
        <v>2</v>
      </c>
      <c r="R260">
        <v>0.14000000000000001</v>
      </c>
      <c r="S260">
        <v>0.15</v>
      </c>
      <c r="BZ260">
        <v>3.6713999999999997E-2</v>
      </c>
      <c r="CA260">
        <v>26.995045028701426</v>
      </c>
      <c r="CB260">
        <v>3.2927999999999999E-2</v>
      </c>
      <c r="CC260">
        <v>4.0500000000000001E-2</v>
      </c>
    </row>
    <row r="261" spans="1:99" x14ac:dyDescent="0.25">
      <c r="A261" t="s">
        <v>136</v>
      </c>
      <c r="B261" t="s">
        <v>191</v>
      </c>
      <c r="C261" t="s">
        <v>192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32000</v>
      </c>
      <c r="N261">
        <v>18381.983050540301</v>
      </c>
      <c r="O261">
        <v>18</v>
      </c>
      <c r="P261">
        <v>32</v>
      </c>
      <c r="Q261">
        <v>50</v>
      </c>
      <c r="R261">
        <v>0.11600000000000001</v>
      </c>
      <c r="S261">
        <v>0.122</v>
      </c>
      <c r="T261">
        <v>9.8000000000000004E-2</v>
      </c>
      <c r="U261">
        <v>0.128</v>
      </c>
      <c r="V261">
        <v>0.10299999999999999</v>
      </c>
      <c r="W261">
        <v>0.11799999999999999</v>
      </c>
      <c r="X261">
        <v>0.10100000000000001</v>
      </c>
      <c r="Y261">
        <v>0.11</v>
      </c>
      <c r="Z261">
        <v>0.111</v>
      </c>
      <c r="AA261">
        <v>0.115</v>
      </c>
      <c r="AB261">
        <v>0.11</v>
      </c>
      <c r="AC261">
        <v>0.10199999999999999</v>
      </c>
      <c r="AD261">
        <v>0.10199999999999999</v>
      </c>
      <c r="AE261">
        <v>9.5000000000000001E-2</v>
      </c>
      <c r="AF261">
        <v>0.10199999999999999</v>
      </c>
      <c r="AG261">
        <v>0.11899999999999999</v>
      </c>
      <c r="AH261">
        <v>9.8000000000000004E-2</v>
      </c>
      <c r="AI261">
        <v>0.121</v>
      </c>
      <c r="AJ261">
        <v>0.108</v>
      </c>
      <c r="AK261">
        <v>0.11700000000000001</v>
      </c>
      <c r="BZ261">
        <v>1.6219134000000003E-2</v>
      </c>
      <c r="CA261">
        <v>298.13984628244197</v>
      </c>
      <c r="CB261">
        <v>1.8730752E-2</v>
      </c>
      <c r="CC261">
        <v>2.1790176000000001E-2</v>
      </c>
      <c r="CD261">
        <v>1.1294304E-2</v>
      </c>
      <c r="CE261">
        <v>2.5165824E-2</v>
      </c>
      <c r="CF261">
        <v>1.3112723999999999E-2</v>
      </c>
      <c r="CG261">
        <v>1.9716384E-2</v>
      </c>
      <c r="CH261">
        <v>1.2363612E-2</v>
      </c>
      <c r="CI261">
        <v>1.5972E-2</v>
      </c>
      <c r="CJ261">
        <v>1.6411571999999999E-2</v>
      </c>
      <c r="CK261">
        <v>1.8250499999999999E-2</v>
      </c>
      <c r="CL261">
        <v>1.5972E-2</v>
      </c>
      <c r="CM261">
        <v>1.2734496E-2</v>
      </c>
      <c r="CN261">
        <v>1.2734496E-2</v>
      </c>
      <c r="CO261">
        <v>1.0288500000000001E-2</v>
      </c>
      <c r="CP261">
        <v>1.2734496E-2</v>
      </c>
      <c r="CQ261">
        <v>2.0221908E-2</v>
      </c>
      <c r="CR261">
        <v>1.1294304E-2</v>
      </c>
      <c r="CS261">
        <v>2.1258731999999999E-2</v>
      </c>
      <c r="CT261">
        <v>1.5116544000000001E-2</v>
      </c>
      <c r="CU261">
        <v>1.9219356E-2</v>
      </c>
    </row>
    <row r="262" spans="1:99" x14ac:dyDescent="0.25">
      <c r="A262" t="s">
        <v>136</v>
      </c>
      <c r="B262" t="s">
        <v>218</v>
      </c>
      <c r="C262" t="s">
        <v>192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1280</v>
      </c>
      <c r="N262">
        <v>735.27932202161105</v>
      </c>
      <c r="O262">
        <v>1</v>
      </c>
      <c r="P262">
        <v>1</v>
      </c>
      <c r="Q262">
        <v>2</v>
      </c>
      <c r="R262">
        <v>0.83099999999999996</v>
      </c>
      <c r="S262">
        <v>0.69399999999999995</v>
      </c>
      <c r="BZ262">
        <v>4.0728804138749997</v>
      </c>
      <c r="CA262">
        <v>2994.7047493891082</v>
      </c>
      <c r="CB262">
        <v>5.1474900332700004</v>
      </c>
      <c r="CC262">
        <v>2.9982707944799998</v>
      </c>
    </row>
    <row r="263" spans="1:99" x14ac:dyDescent="0.25">
      <c r="A263" t="s">
        <v>136</v>
      </c>
      <c r="B263" t="s">
        <v>193</v>
      </c>
      <c r="C263" t="s">
        <v>192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1280</v>
      </c>
      <c r="N263">
        <v>735.27932202161105</v>
      </c>
      <c r="O263">
        <v>0</v>
      </c>
      <c r="P263">
        <v>2</v>
      </c>
      <c r="Q263">
        <v>2</v>
      </c>
      <c r="R263">
        <v>0.68400000000000005</v>
      </c>
      <c r="S263">
        <v>0.71699999999999997</v>
      </c>
      <c r="BZ263">
        <v>3.0884396967449996</v>
      </c>
      <c r="CA263">
        <v>2270.8658463272932</v>
      </c>
      <c r="CB263">
        <v>2.8705211308799998</v>
      </c>
      <c r="CC263">
        <v>3.3063582626099999</v>
      </c>
    </row>
    <row r="264" spans="1:99" x14ac:dyDescent="0.25">
      <c r="A264" t="s">
        <v>136</v>
      </c>
      <c r="B264" t="s">
        <v>172</v>
      </c>
      <c r="C264" t="s">
        <v>158</v>
      </c>
      <c r="D264">
        <v>-1</v>
      </c>
      <c r="E264">
        <v>189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6048</v>
      </c>
      <c r="N264">
        <v>3474.1947965521099</v>
      </c>
      <c r="O264">
        <v>-1</v>
      </c>
      <c r="P264">
        <v>-1</v>
      </c>
      <c r="Q264">
        <v>-1</v>
      </c>
      <c r="R264">
        <v>0.27500000000000002</v>
      </c>
      <c r="S264">
        <v>0.39700000000000002</v>
      </c>
      <c r="T264">
        <v>0.248</v>
      </c>
      <c r="U264">
        <v>0.38300000000000001</v>
      </c>
      <c r="V264">
        <v>0.49399999999999999</v>
      </c>
      <c r="W264">
        <v>0.36299999999999999</v>
      </c>
      <c r="X264">
        <v>0.29099999999999998</v>
      </c>
      <c r="Y264">
        <v>0.41099999999999998</v>
      </c>
      <c r="Z264">
        <v>0.39500000000000002</v>
      </c>
      <c r="AA264">
        <v>0.33800000000000002</v>
      </c>
      <c r="AB264">
        <v>0.28799999999999998</v>
      </c>
      <c r="AC264">
        <v>0.23</v>
      </c>
      <c r="AD264">
        <v>0.49199999999999999</v>
      </c>
      <c r="AE264">
        <v>0.41499999999999998</v>
      </c>
      <c r="AF264">
        <v>0.26300000000000001</v>
      </c>
      <c r="AG264">
        <v>0.35799999999999998</v>
      </c>
      <c r="AH264">
        <v>0.375</v>
      </c>
      <c r="AI264">
        <v>0.27100000000000002</v>
      </c>
      <c r="AJ264">
        <v>0.32700000000000001</v>
      </c>
      <c r="AK264">
        <v>0.248</v>
      </c>
      <c r="AL264" t="s">
        <v>159</v>
      </c>
      <c r="AM264" t="s">
        <v>159</v>
      </c>
      <c r="AN264" t="s">
        <v>159</v>
      </c>
      <c r="AO264" t="s">
        <v>159</v>
      </c>
      <c r="AP264" t="s">
        <v>159</v>
      </c>
      <c r="AQ264" t="s">
        <v>159</v>
      </c>
      <c r="AR264" t="s">
        <v>159</v>
      </c>
      <c r="AS264" t="s">
        <v>159</v>
      </c>
      <c r="AT264" t="s">
        <v>159</v>
      </c>
      <c r="AU264" t="s">
        <v>159</v>
      </c>
      <c r="AV264" t="s">
        <v>159</v>
      </c>
      <c r="AW264" t="s">
        <v>159</v>
      </c>
      <c r="AX264" t="s">
        <v>159</v>
      </c>
      <c r="AY264" t="s">
        <v>159</v>
      </c>
      <c r="AZ264" t="s">
        <v>159</v>
      </c>
      <c r="BA264" t="s">
        <v>159</v>
      </c>
      <c r="BB264" t="s">
        <v>159</v>
      </c>
      <c r="BC264" t="s">
        <v>159</v>
      </c>
      <c r="BD264" t="s">
        <v>159</v>
      </c>
      <c r="BE264" t="s">
        <v>159</v>
      </c>
      <c r="BZ264">
        <v>1.103203073411521</v>
      </c>
      <c r="CA264">
        <v>3832.7423771866015</v>
      </c>
      <c r="CB264">
        <v>0.57453746032460995</v>
      </c>
      <c r="CC264">
        <v>1.45461016125359</v>
      </c>
      <c r="CD264">
        <v>0.44235341806286499</v>
      </c>
      <c r="CE264">
        <v>1.3283102779548199</v>
      </c>
      <c r="CF264">
        <v>2.5289242195816199</v>
      </c>
      <c r="CG264">
        <v>1.1597660628987201</v>
      </c>
      <c r="CH264">
        <v>0.66291202501819002</v>
      </c>
      <c r="CI264">
        <v>1.58791204950848</v>
      </c>
      <c r="CJ264">
        <v>1.4361416809524801</v>
      </c>
      <c r="CK264">
        <v>0.96820180203853501</v>
      </c>
      <c r="CL264">
        <v>0.645757752872818</v>
      </c>
      <c r="CM264">
        <v>0.36557632273868002</v>
      </c>
      <c r="CN264">
        <v>2.5031008340121002</v>
      </c>
      <c r="CO264">
        <v>1.62730260477958</v>
      </c>
      <c r="CP264">
        <v>0.51320949009263905</v>
      </c>
      <c r="CQ264">
        <v>1.1197748068397</v>
      </c>
      <c r="CR264">
        <v>1.2592319730041099</v>
      </c>
      <c r="CS264">
        <v>0.55362913987907103</v>
      </c>
      <c r="CT264">
        <v>0.890455968354951</v>
      </c>
      <c r="CU264">
        <v>0.44235341806286499</v>
      </c>
    </row>
    <row r="265" spans="1:99" x14ac:dyDescent="0.25">
      <c r="A265" t="s">
        <v>136</v>
      </c>
      <c r="B265" t="s">
        <v>171</v>
      </c>
      <c r="C265" t="s">
        <v>158</v>
      </c>
      <c r="D265">
        <v>585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585</v>
      </c>
      <c r="N265">
        <v>336.045627642689</v>
      </c>
      <c r="O265">
        <v>-1</v>
      </c>
      <c r="P265">
        <v>-1</v>
      </c>
      <c r="Q265">
        <v>-1</v>
      </c>
      <c r="R265">
        <v>0.71599999999999997</v>
      </c>
      <c r="S265">
        <v>0.59599999999999997</v>
      </c>
      <c r="T265">
        <v>0.76600000000000001</v>
      </c>
      <c r="U265">
        <v>0.73599999999999999</v>
      </c>
      <c r="V265">
        <v>0.752</v>
      </c>
      <c r="W265">
        <v>0.95099999999999996</v>
      </c>
      <c r="X265">
        <v>1.0629999999999999</v>
      </c>
      <c r="Y265">
        <v>1.2529999999999999</v>
      </c>
      <c r="Z265">
        <v>0.95599999999999996</v>
      </c>
      <c r="AA265">
        <v>1.0249999999999999</v>
      </c>
      <c r="AB265">
        <v>1.258</v>
      </c>
      <c r="AC265">
        <v>0.71599999999999997</v>
      </c>
      <c r="AD265">
        <v>0.61599999999999999</v>
      </c>
      <c r="AE265">
        <v>1.615</v>
      </c>
      <c r="AF265">
        <v>1.1819999999999999</v>
      </c>
      <c r="AG265">
        <v>1.69</v>
      </c>
      <c r="AH265">
        <v>1.4830000000000001</v>
      </c>
      <c r="AI265">
        <v>1.1279999999999999</v>
      </c>
      <c r="AJ265">
        <v>1.341</v>
      </c>
      <c r="AK265">
        <v>1.042</v>
      </c>
      <c r="AL265" t="s">
        <v>159</v>
      </c>
      <c r="AM265" t="s">
        <v>159</v>
      </c>
      <c r="AN265" t="s">
        <v>159</v>
      </c>
      <c r="AO265" t="s">
        <v>159</v>
      </c>
      <c r="AP265" t="s">
        <v>159</v>
      </c>
      <c r="AQ265" t="s">
        <v>159</v>
      </c>
      <c r="AR265" t="s">
        <v>159</v>
      </c>
      <c r="AS265" t="s">
        <v>159</v>
      </c>
      <c r="AT265" t="s">
        <v>159</v>
      </c>
      <c r="AU265" t="s">
        <v>159</v>
      </c>
      <c r="AV265" t="s">
        <v>159</v>
      </c>
      <c r="AW265" t="s">
        <v>159</v>
      </c>
      <c r="AX265" t="s">
        <v>159</v>
      </c>
      <c r="AY265" t="s">
        <v>159</v>
      </c>
      <c r="AZ265" t="s">
        <v>159</v>
      </c>
      <c r="BA265" t="s">
        <v>159</v>
      </c>
      <c r="BB265" t="s">
        <v>159</v>
      </c>
      <c r="BC265" t="s">
        <v>159</v>
      </c>
      <c r="BD265" t="s">
        <v>159</v>
      </c>
      <c r="BE265" t="s">
        <v>159</v>
      </c>
      <c r="BZ265">
        <v>2.3793361274831986</v>
      </c>
      <c r="CA265">
        <v>799.56550233301652</v>
      </c>
      <c r="CB265">
        <v>0.60197230854617201</v>
      </c>
      <c r="CC265">
        <v>0.34847334260601998</v>
      </c>
      <c r="CD265">
        <v>0.73610105584616004</v>
      </c>
      <c r="CE265">
        <v>0.653478936964764</v>
      </c>
      <c r="CF265">
        <v>0.69673057949581496</v>
      </c>
      <c r="CG265">
        <v>1.4025348057186799</v>
      </c>
      <c r="CH265">
        <v>1.95436121557256</v>
      </c>
      <c r="CI265">
        <v>3.1902880617967901</v>
      </c>
      <c r="CJ265">
        <v>1.4246239006638199</v>
      </c>
      <c r="CK265">
        <v>1.7534477375731901</v>
      </c>
      <c r="CL265">
        <v>3.22837531316882</v>
      </c>
      <c r="CM265">
        <v>0.60197230854617201</v>
      </c>
      <c r="CN265">
        <v>0.38449104509911097</v>
      </c>
      <c r="CO265">
        <v>6.7965706642384802</v>
      </c>
      <c r="CP265">
        <v>2.6812406019077102</v>
      </c>
      <c r="CQ265">
        <v>7.7810478656803204</v>
      </c>
      <c r="CR265">
        <v>5.2715258102201901</v>
      </c>
      <c r="CS265">
        <v>2.3324740684044798</v>
      </c>
      <c r="CT265">
        <v>3.9054714303738201</v>
      </c>
      <c r="CU265">
        <v>1.8415414972409001</v>
      </c>
    </row>
    <row r="266" spans="1:99" x14ac:dyDescent="0.25">
      <c r="A266" t="s">
        <v>136</v>
      </c>
      <c r="B266" t="s">
        <v>194</v>
      </c>
      <c r="C266" t="s">
        <v>192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7680</v>
      </c>
      <c r="N266">
        <v>4411.6759321296704</v>
      </c>
      <c r="O266">
        <v>4</v>
      </c>
      <c r="P266">
        <v>8</v>
      </c>
      <c r="Q266">
        <v>12</v>
      </c>
      <c r="BF266">
        <v>2.9000000000000001E-2</v>
      </c>
      <c r="BG266">
        <v>7.2999999999999995E-2</v>
      </c>
      <c r="BH266">
        <v>5.8999999999999997E-2</v>
      </c>
      <c r="BI266">
        <v>3.9E-2</v>
      </c>
      <c r="BJ266">
        <v>2.3E-2</v>
      </c>
      <c r="BK266">
        <v>4.1000000000000002E-2</v>
      </c>
      <c r="BL266">
        <v>4.2999999999999997E-2</v>
      </c>
      <c r="BM266">
        <v>5.3999999999999999E-2</v>
      </c>
      <c r="BN266">
        <v>5.2999999999999999E-2</v>
      </c>
      <c r="BO266">
        <v>4.8000000000000001E-2</v>
      </c>
      <c r="BP266">
        <v>0.03</v>
      </c>
      <c r="BQ266">
        <v>3.9E-2</v>
      </c>
      <c r="BZ266">
        <v>2.0129264999999997E-2</v>
      </c>
      <c r="CA266">
        <v>88.803793931960129</v>
      </c>
      <c r="CB266">
        <v>4.3900199999999997E-3</v>
      </c>
      <c r="CC266">
        <v>7.0023059999999998E-2</v>
      </c>
      <c r="CD266">
        <v>3.6968220000000003E-2</v>
      </c>
      <c r="CE266">
        <v>1.067742E-2</v>
      </c>
      <c r="CF266">
        <v>2.1900600000000002E-3</v>
      </c>
      <c r="CG266">
        <v>1.240578E-2</v>
      </c>
      <c r="CH266">
        <v>1.4311259999999999E-2</v>
      </c>
      <c r="CI266">
        <v>2.8343520000000001E-2</v>
      </c>
      <c r="CJ266">
        <v>2.679786E-2</v>
      </c>
      <c r="CK266">
        <v>1.990656E-2</v>
      </c>
      <c r="CL266">
        <v>4.8599999999999997E-3</v>
      </c>
      <c r="CM266">
        <v>1.067742E-2</v>
      </c>
    </row>
    <row r="267" spans="1:99" x14ac:dyDescent="0.25">
      <c r="A267" t="s">
        <v>136</v>
      </c>
      <c r="B267" t="s">
        <v>195</v>
      </c>
      <c r="C267" t="s">
        <v>192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71040</v>
      </c>
      <c r="N267">
        <v>40808.0023721994</v>
      </c>
      <c r="O267">
        <v>51</v>
      </c>
      <c r="P267">
        <v>60</v>
      </c>
      <c r="Q267">
        <v>111</v>
      </c>
      <c r="R267">
        <v>0.16</v>
      </c>
      <c r="S267">
        <v>0.151</v>
      </c>
      <c r="T267">
        <v>9.0999999999999998E-2</v>
      </c>
      <c r="U267">
        <v>0.10299999999999999</v>
      </c>
      <c r="V267">
        <v>0.105</v>
      </c>
      <c r="W267">
        <v>0.13400000000000001</v>
      </c>
      <c r="X267">
        <v>0.1</v>
      </c>
      <c r="Y267">
        <v>0.11700000000000001</v>
      </c>
      <c r="Z267">
        <v>0.16500000000000001</v>
      </c>
      <c r="AA267">
        <v>0.22600000000000001</v>
      </c>
      <c r="AB267">
        <v>0.106</v>
      </c>
      <c r="AC267">
        <v>0.122</v>
      </c>
      <c r="AD267">
        <v>0.111</v>
      </c>
      <c r="AE267">
        <v>0.106</v>
      </c>
      <c r="AF267">
        <v>0.11600000000000001</v>
      </c>
      <c r="AG267">
        <v>9.2999999999999999E-2</v>
      </c>
      <c r="AH267">
        <v>0.14499999999999999</v>
      </c>
      <c r="AI267">
        <v>0.104</v>
      </c>
      <c r="AJ267">
        <v>0.14899999999999999</v>
      </c>
      <c r="AK267">
        <v>0.182</v>
      </c>
      <c r="BF267">
        <v>6.9000000000000006E-2</v>
      </c>
      <c r="BG267">
        <v>6.5000000000000002E-2</v>
      </c>
      <c r="BH267">
        <v>4.8000000000000001E-2</v>
      </c>
      <c r="BI267">
        <v>0.06</v>
      </c>
      <c r="BJ267">
        <v>6.2E-2</v>
      </c>
      <c r="BK267">
        <v>6.9000000000000006E-2</v>
      </c>
      <c r="BL267">
        <v>7.2999999999999995E-2</v>
      </c>
      <c r="BM267">
        <v>3.7999999999999999E-2</v>
      </c>
      <c r="BN267">
        <v>7.6999999999999999E-2</v>
      </c>
      <c r="BO267">
        <v>7.6999999999999999E-2</v>
      </c>
      <c r="BP267">
        <v>6.7000000000000004E-2</v>
      </c>
      <c r="BQ267">
        <v>5.8999999999999997E-2</v>
      </c>
      <c r="BR267">
        <v>9.6000000000000002E-2</v>
      </c>
      <c r="BS267">
        <v>5.0999999999999997E-2</v>
      </c>
      <c r="BT267">
        <v>5.8999999999999997E-2</v>
      </c>
      <c r="BU267">
        <v>5.6000000000000001E-2</v>
      </c>
      <c r="BV267">
        <v>7.3999999999999996E-2</v>
      </c>
      <c r="BW267">
        <v>8.3000000000000004E-2</v>
      </c>
      <c r="BX267">
        <v>9.6000000000000002E-2</v>
      </c>
      <c r="BY267">
        <v>5.0999999999999997E-2</v>
      </c>
      <c r="BZ267">
        <v>1.5981633200000001E-2</v>
      </c>
      <c r="CA267">
        <v>652.17852553722071</v>
      </c>
      <c r="CB267">
        <v>1.9805759999999999E-2</v>
      </c>
      <c r="CC267">
        <v>1.6587350000000001E-2</v>
      </c>
      <c r="CD267">
        <v>5.4512639999999999E-3</v>
      </c>
      <c r="CE267">
        <v>9.6407999999999997E-3</v>
      </c>
      <c r="CF267">
        <v>1.0494119999999999E-2</v>
      </c>
      <c r="CG267">
        <v>1.6587324000000001E-2</v>
      </c>
      <c r="CH267">
        <v>1.38554E-2</v>
      </c>
      <c r="CI267">
        <v>4.3926479999999999E-3</v>
      </c>
      <c r="CJ267">
        <v>2.5435409999999999E-2</v>
      </c>
      <c r="CK267">
        <v>3.4838804000000001E-2</v>
      </c>
      <c r="CL267">
        <v>1.2371684000000001E-2</v>
      </c>
      <c r="CM267">
        <v>1.1041732E-2</v>
      </c>
      <c r="CN267">
        <v>2.6597375999999999E-2</v>
      </c>
      <c r="CO267">
        <v>7.1683559999999999E-3</v>
      </c>
      <c r="CP267">
        <v>1.0498696E-2</v>
      </c>
      <c r="CQ267">
        <v>7.5828479999999997E-3</v>
      </c>
      <c r="CR267">
        <v>2.064452E-2</v>
      </c>
      <c r="CS267">
        <v>1.8627856000000002E-2</v>
      </c>
      <c r="CT267">
        <v>3.5702784000000001E-2</v>
      </c>
      <c r="CU267">
        <v>1.2307932000000001E-2</v>
      </c>
    </row>
    <row r="268" spans="1:99" x14ac:dyDescent="0.25">
      <c r="A268" t="s">
        <v>136</v>
      </c>
      <c r="B268" t="s">
        <v>196</v>
      </c>
      <c r="C268" t="s">
        <v>197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2560</v>
      </c>
      <c r="N268">
        <v>1470.5586440432201</v>
      </c>
      <c r="O268">
        <v>2</v>
      </c>
      <c r="P268">
        <v>2</v>
      </c>
      <c r="Q268">
        <v>4</v>
      </c>
      <c r="R268">
        <v>0.17899999999999999</v>
      </c>
      <c r="S268">
        <v>0.192</v>
      </c>
      <c r="T268">
        <v>0.17199999999999999</v>
      </c>
      <c r="U268">
        <v>0.18099999999999999</v>
      </c>
      <c r="BZ268">
        <v>0.11688357792514165</v>
      </c>
      <c r="CA268">
        <v>171.88415586451634</v>
      </c>
      <c r="CB268">
        <v>0.11350745793518947</v>
      </c>
      <c r="CC268">
        <v>0.13430744025989136</v>
      </c>
      <c r="CD268">
        <v>0.10314433869128659</v>
      </c>
      <c r="CE268">
        <v>0.11657507481419918</v>
      </c>
      <c r="CF268" t="s">
        <v>239</v>
      </c>
      <c r="CG268" t="s">
        <v>239</v>
      </c>
      <c r="CH268" t="s">
        <v>239</v>
      </c>
      <c r="CI268" t="s">
        <v>239</v>
      </c>
      <c r="CJ268" t="s">
        <v>239</v>
      </c>
      <c r="CK268" t="s">
        <v>239</v>
      </c>
      <c r="CL268" t="s">
        <v>239</v>
      </c>
      <c r="CM268" t="s">
        <v>239</v>
      </c>
      <c r="CN268" t="s">
        <v>239</v>
      </c>
      <c r="CO268" t="s">
        <v>239</v>
      </c>
      <c r="CP268" t="s">
        <v>239</v>
      </c>
      <c r="CQ268" t="s">
        <v>239</v>
      </c>
      <c r="CR268" t="s">
        <v>239</v>
      </c>
      <c r="CS268" t="s">
        <v>239</v>
      </c>
      <c r="CT268" t="s">
        <v>239</v>
      </c>
      <c r="CU268" t="s">
        <v>239</v>
      </c>
    </row>
    <row r="269" spans="1:99" x14ac:dyDescent="0.25">
      <c r="A269" t="s">
        <v>136</v>
      </c>
      <c r="B269" t="s">
        <v>173</v>
      </c>
      <c r="C269" t="s">
        <v>168</v>
      </c>
      <c r="D269">
        <v>-1</v>
      </c>
      <c r="E269">
        <v>2</v>
      </c>
      <c r="F269">
        <v>-1</v>
      </c>
      <c r="G269">
        <v>-1</v>
      </c>
      <c r="H269">
        <v>-1</v>
      </c>
      <c r="I269">
        <v>4</v>
      </c>
      <c r="J269">
        <v>-1</v>
      </c>
      <c r="K269">
        <v>-1</v>
      </c>
      <c r="L269">
        <v>-1</v>
      </c>
      <c r="M269">
        <v>64</v>
      </c>
      <c r="N269">
        <v>36.763966101080598</v>
      </c>
      <c r="O269">
        <v>-1</v>
      </c>
      <c r="P269">
        <v>-1</v>
      </c>
      <c r="Q269">
        <v>-1</v>
      </c>
      <c r="R269">
        <v>0.70299999999999996</v>
      </c>
      <c r="S269">
        <v>0.94699999999999995</v>
      </c>
      <c r="T269">
        <v>0.58499999999999996</v>
      </c>
      <c r="U269">
        <v>0.65700000000000003</v>
      </c>
      <c r="V269">
        <v>0.57799999999999996</v>
      </c>
      <c r="W269">
        <v>0.41</v>
      </c>
      <c r="AL269" t="s">
        <v>169</v>
      </c>
      <c r="AM269" t="s">
        <v>169</v>
      </c>
      <c r="AN269" t="s">
        <v>169</v>
      </c>
      <c r="AO269" t="s">
        <v>169</v>
      </c>
      <c r="AP269" t="s">
        <v>169</v>
      </c>
      <c r="AQ269" t="s">
        <v>169</v>
      </c>
      <c r="BZ269">
        <v>1.3171127729064687</v>
      </c>
      <c r="CA269">
        <v>48.422289334433685</v>
      </c>
      <c r="CB269">
        <v>1.29819962782172</v>
      </c>
      <c r="CC269">
        <v>4.23680286013394</v>
      </c>
      <c r="CD269">
        <v>0.62594709511541402</v>
      </c>
      <c r="CE269">
        <v>0.99234653389490202</v>
      </c>
      <c r="CF269">
        <v>0.59673616441225297</v>
      </c>
      <c r="CG269">
        <v>0.15264435606058199</v>
      </c>
    </row>
    <row r="270" spans="1:99" x14ac:dyDescent="0.25">
      <c r="A270" t="s">
        <v>136</v>
      </c>
      <c r="B270" t="s">
        <v>170</v>
      </c>
      <c r="C270" t="s">
        <v>158</v>
      </c>
      <c r="D270">
        <v>-1</v>
      </c>
      <c r="E270">
        <v>12</v>
      </c>
      <c r="F270">
        <v>-1</v>
      </c>
      <c r="G270">
        <v>-1</v>
      </c>
      <c r="H270">
        <v>-1</v>
      </c>
      <c r="I270">
        <v>41</v>
      </c>
      <c r="J270">
        <v>-1</v>
      </c>
      <c r="K270">
        <v>-1</v>
      </c>
      <c r="L270">
        <v>-1</v>
      </c>
      <c r="M270">
        <v>565.33333333333303</v>
      </c>
      <c r="N270">
        <v>324.748367226212</v>
      </c>
      <c r="O270">
        <v>-1</v>
      </c>
      <c r="P270">
        <v>-1</v>
      </c>
      <c r="Q270">
        <v>-1</v>
      </c>
      <c r="R270">
        <v>0.76200000000000001</v>
      </c>
      <c r="S270">
        <v>0.9</v>
      </c>
      <c r="T270">
        <v>0.78400000000000003</v>
      </c>
      <c r="U270">
        <v>0.90100000000000002</v>
      </c>
      <c r="V270">
        <v>0.53300000000000003</v>
      </c>
      <c r="W270">
        <v>0.71</v>
      </c>
      <c r="X270">
        <v>0.69599999999999995</v>
      </c>
      <c r="Y270">
        <v>0.81</v>
      </c>
      <c r="Z270">
        <v>0.59899999999999998</v>
      </c>
      <c r="AA270">
        <v>0.82199999999999995</v>
      </c>
      <c r="AB270">
        <v>0.60799999999999998</v>
      </c>
      <c r="AC270">
        <v>0.88700000000000001</v>
      </c>
      <c r="AD270">
        <v>0.52100000000000002</v>
      </c>
      <c r="AE270">
        <v>0.84499999999999997</v>
      </c>
      <c r="AF270">
        <v>0.71399999999999997</v>
      </c>
      <c r="AG270">
        <v>0.69499999999999995</v>
      </c>
      <c r="AH270">
        <v>0.73499999999999999</v>
      </c>
      <c r="AI270">
        <v>0.503</v>
      </c>
      <c r="AJ270">
        <v>0.877</v>
      </c>
      <c r="AK270">
        <v>0.83199999999999996</v>
      </c>
      <c r="AL270" t="s">
        <v>159</v>
      </c>
      <c r="AM270" t="s">
        <v>159</v>
      </c>
      <c r="AN270" t="s">
        <v>159</v>
      </c>
      <c r="AO270" t="s">
        <v>159</v>
      </c>
      <c r="AP270" t="s">
        <v>159</v>
      </c>
      <c r="AQ270" t="s">
        <v>159</v>
      </c>
      <c r="AR270" t="s">
        <v>159</v>
      </c>
      <c r="AS270" t="s">
        <v>159</v>
      </c>
      <c r="AT270" t="s">
        <v>159</v>
      </c>
      <c r="AU270" t="s">
        <v>159</v>
      </c>
      <c r="AV270" t="s">
        <v>159</v>
      </c>
      <c r="AW270" t="s">
        <v>159</v>
      </c>
      <c r="AX270" t="s">
        <v>159</v>
      </c>
      <c r="AY270" t="s">
        <v>159</v>
      </c>
      <c r="AZ270" t="s">
        <v>159</v>
      </c>
      <c r="BA270" t="s">
        <v>159</v>
      </c>
      <c r="BB270" t="s">
        <v>159</v>
      </c>
      <c r="BC270" t="s">
        <v>159</v>
      </c>
      <c r="BD270" t="s">
        <v>159</v>
      </c>
      <c r="BE270" t="s">
        <v>159</v>
      </c>
      <c r="BZ270">
        <v>2.2404846085023968</v>
      </c>
      <c r="CA270">
        <v>727.5937184066122</v>
      </c>
      <c r="CB270">
        <v>2.2957583527097101</v>
      </c>
      <c r="CC270">
        <v>3.68317862271895</v>
      </c>
      <c r="CD270">
        <v>2.48903883393093</v>
      </c>
      <c r="CE270">
        <v>3.6948129819320301</v>
      </c>
      <c r="CF270">
        <v>0.83191571475109205</v>
      </c>
      <c r="CG270">
        <v>1.87822563986407</v>
      </c>
      <c r="CH270">
        <v>1.77494252663125</v>
      </c>
      <c r="CI270">
        <v>2.73068439266802</v>
      </c>
      <c r="CJ270">
        <v>1.1589540836255301</v>
      </c>
      <c r="CK270">
        <v>2.8471478239335002</v>
      </c>
      <c r="CL270">
        <v>1.2090944276053599</v>
      </c>
      <c r="CM270">
        <v>3.5340861725248902</v>
      </c>
      <c r="CN270">
        <v>0.77981788000830898</v>
      </c>
      <c r="CO270">
        <v>3.0792652994321901</v>
      </c>
      <c r="CP270">
        <v>1.9084332562119299</v>
      </c>
      <c r="CQ270">
        <v>1.7677095147327999</v>
      </c>
      <c r="CR270">
        <v>2.0721924999336601</v>
      </c>
      <c r="CS270">
        <v>0.70571139838156305</v>
      </c>
      <c r="CT270">
        <v>3.42210160259686</v>
      </c>
      <c r="CU270">
        <v>2.94662114585529</v>
      </c>
    </row>
    <row r="271" spans="1:99" x14ac:dyDescent="0.25">
      <c r="A271" t="s">
        <v>136</v>
      </c>
      <c r="B271" t="s">
        <v>179</v>
      </c>
      <c r="C271" t="s">
        <v>158</v>
      </c>
      <c r="D271">
        <v>-1</v>
      </c>
      <c r="E271">
        <v>1</v>
      </c>
      <c r="F271">
        <v>-1</v>
      </c>
      <c r="G271">
        <v>-1</v>
      </c>
      <c r="H271">
        <v>-1</v>
      </c>
      <c r="I271">
        <v>6</v>
      </c>
      <c r="J271">
        <v>-1</v>
      </c>
      <c r="K271">
        <v>-1</v>
      </c>
      <c r="L271">
        <v>-1</v>
      </c>
      <c r="M271">
        <v>74.6666666666667</v>
      </c>
      <c r="N271">
        <v>42.891293784593998</v>
      </c>
      <c r="O271">
        <v>-1</v>
      </c>
      <c r="P271">
        <v>-1</v>
      </c>
      <c r="Q271">
        <v>-1</v>
      </c>
      <c r="R271">
        <v>0.70599999999999996</v>
      </c>
      <c r="S271">
        <v>0.73299999999999998</v>
      </c>
      <c r="T271">
        <v>0.53900000000000003</v>
      </c>
      <c r="U271">
        <v>0.78300000000000003</v>
      </c>
      <c r="V271">
        <v>1.04</v>
      </c>
      <c r="W271">
        <v>1.101</v>
      </c>
      <c r="X271">
        <v>0.56299999999999994</v>
      </c>
      <c r="AL271" t="s">
        <v>159</v>
      </c>
      <c r="AM271" t="s">
        <v>159</v>
      </c>
      <c r="AN271" t="s">
        <v>159</v>
      </c>
      <c r="AO271" t="s">
        <v>159</v>
      </c>
      <c r="AP271" t="s">
        <v>159</v>
      </c>
      <c r="AQ271" t="s">
        <v>159</v>
      </c>
      <c r="AR271" t="s">
        <v>159</v>
      </c>
      <c r="BZ271">
        <v>2.8996545085717509</v>
      </c>
      <c r="CA271">
        <v>124.36993340097351</v>
      </c>
      <c r="CB271">
        <v>1.84832954432286</v>
      </c>
      <c r="CC271">
        <v>2.0562188799553902</v>
      </c>
      <c r="CD271">
        <v>0.85878835651129404</v>
      </c>
      <c r="CE271">
        <v>2.4800329944562298</v>
      </c>
      <c r="CF271">
        <v>5.5532693442232102</v>
      </c>
      <c r="CG271">
        <v>6.5290506899075504</v>
      </c>
      <c r="CH271">
        <v>0.97189175062572097</v>
      </c>
    </row>
    <row r="272" spans="1:99" x14ac:dyDescent="0.25">
      <c r="A272" t="s">
        <v>136</v>
      </c>
      <c r="B272" t="s">
        <v>167</v>
      </c>
      <c r="C272" t="s">
        <v>168</v>
      </c>
      <c r="D272">
        <v>-1</v>
      </c>
      <c r="E272">
        <v>3</v>
      </c>
      <c r="F272">
        <v>-1</v>
      </c>
      <c r="G272">
        <v>-1</v>
      </c>
      <c r="H272">
        <v>-1</v>
      </c>
      <c r="I272">
        <v>4</v>
      </c>
      <c r="J272">
        <v>-1</v>
      </c>
      <c r="K272">
        <v>-1</v>
      </c>
      <c r="L272">
        <v>-1</v>
      </c>
      <c r="M272">
        <v>74.6666666666667</v>
      </c>
      <c r="N272">
        <v>42.891293784593998</v>
      </c>
      <c r="O272">
        <v>-1</v>
      </c>
      <c r="P272">
        <v>-1</v>
      </c>
      <c r="Q272">
        <v>-1</v>
      </c>
      <c r="R272">
        <v>0.76</v>
      </c>
      <c r="S272">
        <v>0.70799999999999996</v>
      </c>
      <c r="T272">
        <v>0.753</v>
      </c>
      <c r="U272">
        <v>0.52900000000000003</v>
      </c>
      <c r="V272">
        <v>0.48</v>
      </c>
      <c r="W272">
        <v>0.91500000000000004</v>
      </c>
      <c r="X272">
        <v>0.77300000000000002</v>
      </c>
      <c r="AL272" t="s">
        <v>169</v>
      </c>
      <c r="AM272" t="s">
        <v>169</v>
      </c>
      <c r="AN272" t="s">
        <v>169</v>
      </c>
      <c r="AO272" t="s">
        <v>169</v>
      </c>
      <c r="AP272" t="s">
        <v>169</v>
      </c>
      <c r="AQ272" t="s">
        <v>169</v>
      </c>
      <c r="AR272" t="s">
        <v>169</v>
      </c>
      <c r="BZ272">
        <v>2.122034635314261</v>
      </c>
      <c r="CA272">
        <v>91.016810964347755</v>
      </c>
      <c r="CB272">
        <v>2.4089924020252802</v>
      </c>
      <c r="CC272">
        <v>2.0049999385356601</v>
      </c>
      <c r="CD272">
        <v>2.3519452870049702</v>
      </c>
      <c r="CE272">
        <v>0.94249361515832797</v>
      </c>
      <c r="CF272">
        <v>0.73272841052326898</v>
      </c>
      <c r="CG272">
        <v>3.8959094997746</v>
      </c>
      <c r="CH272">
        <v>2.5171732941777201</v>
      </c>
    </row>
    <row r="273" spans="1:99" x14ac:dyDescent="0.25">
      <c r="A273" t="s">
        <v>136</v>
      </c>
      <c r="B273" t="s">
        <v>198</v>
      </c>
      <c r="C273" t="s">
        <v>199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38400</v>
      </c>
      <c r="N273">
        <v>22058.379660648301</v>
      </c>
      <c r="O273">
        <v>26</v>
      </c>
      <c r="P273">
        <v>34</v>
      </c>
      <c r="Q273">
        <v>60</v>
      </c>
      <c r="R273">
        <v>0.1</v>
      </c>
      <c r="S273">
        <v>0.13600000000000001</v>
      </c>
      <c r="T273">
        <v>0.18</v>
      </c>
      <c r="U273">
        <v>8.5000000000000006E-2</v>
      </c>
      <c r="V273">
        <v>0.107</v>
      </c>
      <c r="W273">
        <v>7.8E-2</v>
      </c>
      <c r="X273">
        <v>0.09</v>
      </c>
      <c r="Y273">
        <v>8.3000000000000004E-2</v>
      </c>
      <c r="Z273">
        <v>9.8000000000000004E-2</v>
      </c>
      <c r="AA273">
        <v>9.0999999999999998E-2</v>
      </c>
      <c r="AB273">
        <v>7.8E-2</v>
      </c>
      <c r="AC273">
        <v>0.10299999999999999</v>
      </c>
      <c r="AD273">
        <v>9.2999999999999999E-2</v>
      </c>
      <c r="AE273">
        <v>0.10100000000000001</v>
      </c>
      <c r="AF273">
        <v>0.152</v>
      </c>
      <c r="AG273">
        <v>0.129</v>
      </c>
      <c r="AH273">
        <v>0.104</v>
      </c>
      <c r="AI273">
        <v>0.113</v>
      </c>
      <c r="AJ273">
        <v>9.5000000000000001E-2</v>
      </c>
      <c r="AK273">
        <v>0.06</v>
      </c>
      <c r="BZ273">
        <v>0.17578625884045021</v>
      </c>
      <c r="CA273">
        <v>3877.5600366276444</v>
      </c>
      <c r="CB273">
        <v>0.14386506690014328</v>
      </c>
      <c r="CC273">
        <v>0.27012257159828157</v>
      </c>
      <c r="CD273">
        <v>0.58340161452356776</v>
      </c>
      <c r="CE273">
        <v>0.11065041586454837</v>
      </c>
      <c r="CF273">
        <v>0.16261343582795867</v>
      </c>
      <c r="CG273">
        <v>9.7893076299818055E-2</v>
      </c>
      <c r="CH273">
        <v>0.12076854045275696</v>
      </c>
      <c r="CI273">
        <v>0.10684464086996007</v>
      </c>
      <c r="CJ273">
        <v>0.13891688780903549</v>
      </c>
      <c r="CK273">
        <v>0.12290059094102512</v>
      </c>
      <c r="CL273">
        <v>9.7893076299818055E-2</v>
      </c>
      <c r="CM273">
        <v>0.15161976259966117</v>
      </c>
      <c r="CN273">
        <v>0.12727827420164603</v>
      </c>
      <c r="CO273">
        <v>0.14640486397791924</v>
      </c>
      <c r="CP273">
        <v>0.35740722746694009</v>
      </c>
      <c r="CQ273">
        <v>0.23897903415151861</v>
      </c>
      <c r="CR273">
        <v>0.15429646124708882</v>
      </c>
      <c r="CS273">
        <v>0.18061646856051028</v>
      </c>
      <c r="CT273">
        <v>0.1318118892652273</v>
      </c>
      <c r="CU273">
        <v>7.1441277951579105E-2</v>
      </c>
    </row>
    <row r="274" spans="1:99" x14ac:dyDescent="0.25">
      <c r="A274" t="s">
        <v>136</v>
      </c>
      <c r="B274" t="s">
        <v>175</v>
      </c>
      <c r="C274" t="s">
        <v>168</v>
      </c>
      <c r="D274">
        <v>-1</v>
      </c>
      <c r="E274">
        <v>0</v>
      </c>
      <c r="F274">
        <v>-1</v>
      </c>
      <c r="G274">
        <v>-1</v>
      </c>
      <c r="H274">
        <v>-1</v>
      </c>
      <c r="I274">
        <v>1</v>
      </c>
      <c r="J274">
        <v>-1</v>
      </c>
      <c r="K274">
        <v>-1</v>
      </c>
      <c r="L274">
        <v>-1</v>
      </c>
      <c r="M274">
        <v>10.6666666666667</v>
      </c>
      <c r="N274">
        <v>6.12732768351343</v>
      </c>
      <c r="O274">
        <v>-1</v>
      </c>
      <c r="P274">
        <v>-1</v>
      </c>
      <c r="Q274">
        <v>-1</v>
      </c>
      <c r="R274">
        <v>0.47</v>
      </c>
      <c r="AL274" t="s">
        <v>169</v>
      </c>
      <c r="BZ274">
        <v>0.69384374627834899</v>
      </c>
      <c r="CA274">
        <v>4.251407994603996</v>
      </c>
      <c r="CB274">
        <v>0.69384374627834899</v>
      </c>
    </row>
    <row r="275" spans="1:99" x14ac:dyDescent="0.25">
      <c r="A275" t="s">
        <v>136</v>
      </c>
      <c r="B275" t="s">
        <v>164</v>
      </c>
      <c r="C275" t="s">
        <v>158</v>
      </c>
      <c r="D275">
        <v>-1</v>
      </c>
      <c r="E275">
        <v>5</v>
      </c>
      <c r="F275">
        <v>-1</v>
      </c>
      <c r="G275">
        <v>-1</v>
      </c>
      <c r="H275">
        <v>-1</v>
      </c>
      <c r="I275">
        <v>6</v>
      </c>
      <c r="J275">
        <v>-1</v>
      </c>
      <c r="K275">
        <v>-1</v>
      </c>
      <c r="L275">
        <v>-1</v>
      </c>
      <c r="M275">
        <v>117.333333333333</v>
      </c>
      <c r="N275">
        <v>67.400604518647697</v>
      </c>
      <c r="O275">
        <v>-1</v>
      </c>
      <c r="P275">
        <v>-1</v>
      </c>
      <c r="Q275">
        <v>-1</v>
      </c>
      <c r="R275">
        <v>0.43</v>
      </c>
      <c r="S275">
        <v>0.55900000000000005</v>
      </c>
      <c r="T275">
        <v>0.52800000000000002</v>
      </c>
      <c r="U275">
        <v>0.23400000000000001</v>
      </c>
      <c r="V275">
        <v>0.41899999999999998</v>
      </c>
      <c r="W275">
        <v>0.314</v>
      </c>
      <c r="X275">
        <v>0.25900000000000001</v>
      </c>
      <c r="Y275">
        <v>0.45400000000000001</v>
      </c>
      <c r="Z275">
        <v>0.59199999999999997</v>
      </c>
      <c r="AA275">
        <v>0.313</v>
      </c>
      <c r="AB275">
        <v>0.39800000000000002</v>
      </c>
      <c r="AL275" t="s">
        <v>159</v>
      </c>
      <c r="AM275" t="s">
        <v>159</v>
      </c>
      <c r="AN275" t="s">
        <v>159</v>
      </c>
      <c r="AO275" t="s">
        <v>159</v>
      </c>
      <c r="AP275" t="s">
        <v>159</v>
      </c>
      <c r="AQ275" t="s">
        <v>159</v>
      </c>
      <c r="AR275" t="s">
        <v>159</v>
      </c>
      <c r="AS275" t="s">
        <v>159</v>
      </c>
      <c r="AT275" t="s">
        <v>159</v>
      </c>
      <c r="AU275" t="s">
        <v>159</v>
      </c>
      <c r="AV275" t="s">
        <v>159</v>
      </c>
      <c r="BZ275">
        <v>1.8070783281119789</v>
      </c>
      <c r="CA275">
        <v>121.79817172729457</v>
      </c>
      <c r="CB275">
        <v>1.7802534150118901</v>
      </c>
      <c r="CC275">
        <v>3.4574707036921999</v>
      </c>
      <c r="CD275">
        <v>2.9927501340832601</v>
      </c>
      <c r="CE275">
        <v>0.38187634232599998</v>
      </c>
      <c r="CF275">
        <v>1.66727835857633</v>
      </c>
      <c r="CG275">
        <v>0.80359762501548704</v>
      </c>
      <c r="CH275">
        <v>0.49369080442565899</v>
      </c>
      <c r="CI275">
        <v>2.0424806115949701</v>
      </c>
      <c r="CJ275">
        <v>3.9974271050758898</v>
      </c>
      <c r="CK275">
        <v>0.79713854373790205</v>
      </c>
      <c r="CL275">
        <v>1.46389796569218</v>
      </c>
    </row>
    <row r="276" spans="1:99" x14ac:dyDescent="0.25">
      <c r="A276" t="s">
        <v>136</v>
      </c>
      <c r="B276" t="s">
        <v>200</v>
      </c>
      <c r="C276" t="s">
        <v>192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28160</v>
      </c>
      <c r="N276">
        <v>16176.1450844754</v>
      </c>
      <c r="O276">
        <v>20</v>
      </c>
      <c r="P276">
        <v>24</v>
      </c>
      <c r="Q276">
        <v>44</v>
      </c>
      <c r="R276">
        <v>0.1</v>
      </c>
      <c r="S276">
        <v>0.127</v>
      </c>
      <c r="T276">
        <v>0.122</v>
      </c>
      <c r="U276">
        <v>0.111</v>
      </c>
      <c r="V276">
        <v>9.8000000000000004E-2</v>
      </c>
      <c r="W276">
        <v>0.107</v>
      </c>
      <c r="X276">
        <v>8.5000000000000006E-2</v>
      </c>
      <c r="Y276">
        <v>0.159</v>
      </c>
      <c r="Z276">
        <v>0.08</v>
      </c>
      <c r="AA276">
        <v>8.5000000000000006E-2</v>
      </c>
      <c r="AB276">
        <v>9.8000000000000004E-2</v>
      </c>
      <c r="AC276">
        <v>0.108</v>
      </c>
      <c r="AD276">
        <v>6.8000000000000005E-2</v>
      </c>
      <c r="AE276">
        <v>8.2000000000000003E-2</v>
      </c>
      <c r="AF276">
        <v>8.8999999999999996E-2</v>
      </c>
      <c r="AG276">
        <v>0.10100000000000001</v>
      </c>
      <c r="AH276">
        <v>9.0999999999999998E-2</v>
      </c>
      <c r="AI276">
        <v>0.115</v>
      </c>
      <c r="AJ276">
        <v>0.11700000000000001</v>
      </c>
      <c r="AK276">
        <v>8.3000000000000004E-2</v>
      </c>
      <c r="BZ276">
        <v>2.3407846E-2</v>
      </c>
      <c r="CA276">
        <v>378.64871301105717</v>
      </c>
      <c r="CB276">
        <v>0.02</v>
      </c>
      <c r="CC276">
        <v>4.0967660000000003E-2</v>
      </c>
      <c r="CD276">
        <v>3.6316960000000002E-2</v>
      </c>
      <c r="CE276">
        <v>2.7352620000000001E-2</v>
      </c>
      <c r="CF276">
        <v>1.8823840000000001E-2</v>
      </c>
      <c r="CG276">
        <v>2.4500859999999999E-2</v>
      </c>
      <c r="CH276">
        <v>1.22825E-2</v>
      </c>
      <c r="CI276">
        <v>8.0393580000000006E-2</v>
      </c>
      <c r="CJ276">
        <v>1.0240000000000001E-2</v>
      </c>
      <c r="CK276">
        <v>1.22825E-2</v>
      </c>
      <c r="CL276">
        <v>1.8823840000000001E-2</v>
      </c>
      <c r="CM276">
        <v>2.519424E-2</v>
      </c>
      <c r="CN276">
        <v>6.2886399999999999E-3</v>
      </c>
      <c r="CO276">
        <v>1.102736E-2</v>
      </c>
      <c r="CP276">
        <v>1.409938E-2</v>
      </c>
      <c r="CQ276">
        <v>2.0606019999999999E-2</v>
      </c>
      <c r="CR276">
        <v>1.507142E-2</v>
      </c>
      <c r="CS276">
        <v>3.04175E-2</v>
      </c>
      <c r="CT276">
        <v>3.203226E-2</v>
      </c>
      <c r="CU276">
        <v>1.143574E-2</v>
      </c>
    </row>
    <row r="277" spans="1:99" x14ac:dyDescent="0.25">
      <c r="A277" t="s">
        <v>136</v>
      </c>
      <c r="B277" t="s">
        <v>177</v>
      </c>
      <c r="C277" t="s">
        <v>168</v>
      </c>
      <c r="D277">
        <v>-1</v>
      </c>
      <c r="E277">
        <v>1</v>
      </c>
      <c r="F277">
        <v>-1</v>
      </c>
      <c r="G277">
        <v>-1</v>
      </c>
      <c r="H277">
        <v>-1</v>
      </c>
      <c r="I277">
        <v>5</v>
      </c>
      <c r="J277">
        <v>-1</v>
      </c>
      <c r="K277">
        <v>-1</v>
      </c>
      <c r="L277">
        <v>-1</v>
      </c>
      <c r="M277">
        <v>64</v>
      </c>
      <c r="N277">
        <v>36.763966101080598</v>
      </c>
      <c r="O277">
        <v>-1</v>
      </c>
      <c r="P277">
        <v>-1</v>
      </c>
      <c r="Q277">
        <v>-1</v>
      </c>
      <c r="R277">
        <v>0.63400000000000001</v>
      </c>
      <c r="S277">
        <v>0.56200000000000006</v>
      </c>
      <c r="T277">
        <v>0.55400000000000005</v>
      </c>
      <c r="U277">
        <v>0.58699999999999997</v>
      </c>
      <c r="V277">
        <v>0.44800000000000001</v>
      </c>
      <c r="W277">
        <v>0.48199999999999998</v>
      </c>
      <c r="AL277" t="s">
        <v>169</v>
      </c>
      <c r="AM277" t="s">
        <v>169</v>
      </c>
      <c r="AN277" t="s">
        <v>169</v>
      </c>
      <c r="AO277" t="s">
        <v>169</v>
      </c>
      <c r="AP277" t="s">
        <v>169</v>
      </c>
      <c r="AQ277" t="s">
        <v>169</v>
      </c>
      <c r="BZ277">
        <v>1.0430818720101194</v>
      </c>
      <c r="CA277">
        <v>38.347826583231722</v>
      </c>
      <c r="CB277">
        <v>1.5063968682999</v>
      </c>
      <c r="CC277">
        <v>1.1024154308237499</v>
      </c>
      <c r="CD277">
        <v>1.0622298876540099</v>
      </c>
      <c r="CE277">
        <v>1.23395950733425</v>
      </c>
      <c r="CF277">
        <v>0.61282755207478401</v>
      </c>
      <c r="CG277">
        <v>0.74066198587402299</v>
      </c>
    </row>
    <row r="278" spans="1:99" x14ac:dyDescent="0.25">
      <c r="A278" t="s">
        <v>136</v>
      </c>
      <c r="B278" t="s">
        <v>163</v>
      </c>
      <c r="C278" t="s">
        <v>158</v>
      </c>
      <c r="D278">
        <v>-1</v>
      </c>
      <c r="E278">
        <v>45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1440</v>
      </c>
      <c r="N278">
        <v>827.18923727431297</v>
      </c>
      <c r="O278">
        <v>-1</v>
      </c>
      <c r="P278">
        <v>-1</v>
      </c>
      <c r="Q278">
        <v>-1</v>
      </c>
      <c r="R278">
        <v>0.65700000000000003</v>
      </c>
      <c r="S278">
        <v>0.69699999999999995</v>
      </c>
      <c r="T278">
        <v>0.39100000000000001</v>
      </c>
      <c r="U278">
        <v>0.443</v>
      </c>
      <c r="V278">
        <v>0.67400000000000004</v>
      </c>
      <c r="W278">
        <v>0.63200000000000001</v>
      </c>
      <c r="X278">
        <v>0.60599999999999998</v>
      </c>
      <c r="Y278">
        <v>0.55300000000000005</v>
      </c>
      <c r="Z278">
        <v>0.51200000000000001</v>
      </c>
      <c r="AA278">
        <v>0.69199999999999995</v>
      </c>
      <c r="AB278">
        <v>0.60699999999999998</v>
      </c>
      <c r="AC278">
        <v>0.57799999999999996</v>
      </c>
      <c r="AD278">
        <v>0.44400000000000001</v>
      </c>
      <c r="AE278">
        <v>0.75800000000000001</v>
      </c>
      <c r="AF278">
        <v>0.48799999999999999</v>
      </c>
      <c r="AG278">
        <v>0.59099999999999997</v>
      </c>
      <c r="AH278">
        <v>0.57699999999999996</v>
      </c>
      <c r="AI278">
        <v>0.56100000000000005</v>
      </c>
      <c r="AJ278">
        <v>0.38600000000000001</v>
      </c>
      <c r="AK278">
        <v>0.55100000000000005</v>
      </c>
      <c r="AL278" t="s">
        <v>159</v>
      </c>
      <c r="AM278" t="s">
        <v>159</v>
      </c>
      <c r="AN278" t="s">
        <v>159</v>
      </c>
      <c r="AO278" t="s">
        <v>159</v>
      </c>
      <c r="AP278" t="s">
        <v>159</v>
      </c>
      <c r="AQ278" t="s">
        <v>159</v>
      </c>
      <c r="AR278" t="s">
        <v>159</v>
      </c>
      <c r="AS278" t="s">
        <v>159</v>
      </c>
      <c r="AT278" t="s">
        <v>159</v>
      </c>
      <c r="AU278" t="s">
        <v>159</v>
      </c>
      <c r="AV278" t="s">
        <v>159</v>
      </c>
      <c r="AW278" t="s">
        <v>159</v>
      </c>
      <c r="AX278" t="s">
        <v>159</v>
      </c>
      <c r="AY278" t="s">
        <v>159</v>
      </c>
      <c r="AZ278" t="s">
        <v>159</v>
      </c>
      <c r="BA278" t="s">
        <v>159</v>
      </c>
      <c r="BB278" t="s">
        <v>159</v>
      </c>
      <c r="BC278" t="s">
        <v>159</v>
      </c>
      <c r="BD278" t="s">
        <v>159</v>
      </c>
      <c r="BE278" t="s">
        <v>159</v>
      </c>
      <c r="BZ278">
        <v>1.4629306284059809</v>
      </c>
      <c r="CA278">
        <v>1210.1204706963747</v>
      </c>
      <c r="CB278">
        <v>2.0812583338958701</v>
      </c>
      <c r="CC278">
        <v>2.5130725307792301</v>
      </c>
      <c r="CD278">
        <v>0.39749925321270102</v>
      </c>
      <c r="CE278">
        <v>0.59199814739164403</v>
      </c>
      <c r="CF278">
        <v>2.2579666905227098</v>
      </c>
      <c r="CG278">
        <v>1.8389924265598701</v>
      </c>
      <c r="CH278">
        <v>1.6083484026593799</v>
      </c>
      <c r="CI278">
        <v>1.20111787409236</v>
      </c>
      <c r="CJ278">
        <v>0.939428294508036</v>
      </c>
      <c r="CK278">
        <v>2.4560143631781002</v>
      </c>
      <c r="CL278">
        <v>1.61683009930723</v>
      </c>
      <c r="CM278">
        <v>1.3830639630567301</v>
      </c>
      <c r="CN278">
        <v>0.59627161504180504</v>
      </c>
      <c r="CO278">
        <v>3.2842577011767902</v>
      </c>
      <c r="CP278">
        <v>0.80603090359482499</v>
      </c>
      <c r="CQ278">
        <v>1.48476090947619</v>
      </c>
      <c r="CR278">
        <v>1.3754452408192599</v>
      </c>
      <c r="CS278">
        <v>1.25743049445428</v>
      </c>
      <c r="CT278">
        <v>0.38151003239827502</v>
      </c>
      <c r="CU278">
        <v>1.1873152919943299</v>
      </c>
    </row>
    <row r="279" spans="1:99" x14ac:dyDescent="0.25">
      <c r="A279" t="s">
        <v>136</v>
      </c>
      <c r="B279" t="s">
        <v>201</v>
      </c>
      <c r="C279" t="s">
        <v>192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28160</v>
      </c>
      <c r="N279">
        <v>16176.1450844754</v>
      </c>
      <c r="O279">
        <v>20</v>
      </c>
      <c r="P279">
        <v>24</v>
      </c>
      <c r="Q279">
        <v>44</v>
      </c>
      <c r="R279">
        <v>0.17399999999999999</v>
      </c>
      <c r="S279">
        <v>0.157</v>
      </c>
      <c r="T279">
        <v>0.16800000000000001</v>
      </c>
      <c r="U279">
        <v>0.17</v>
      </c>
      <c r="V279">
        <v>0.187</v>
      </c>
      <c r="W279">
        <v>0.151</v>
      </c>
      <c r="X279">
        <v>0.17199999999999999</v>
      </c>
      <c r="Y279">
        <v>0.16</v>
      </c>
      <c r="Z279">
        <v>0.13100000000000001</v>
      </c>
      <c r="AA279">
        <v>0.16700000000000001</v>
      </c>
      <c r="AB279">
        <v>0.16700000000000001</v>
      </c>
      <c r="AC279">
        <v>0.14499999999999999</v>
      </c>
      <c r="AD279">
        <v>0.14399999999999999</v>
      </c>
      <c r="AE279">
        <v>0.153</v>
      </c>
      <c r="AF279">
        <v>0.19500000000000001</v>
      </c>
      <c r="AG279">
        <v>0.182</v>
      </c>
      <c r="AH279">
        <v>8.7999999999999995E-2</v>
      </c>
      <c r="AI279">
        <v>0.183</v>
      </c>
      <c r="AJ279">
        <v>0.14099999999999999</v>
      </c>
      <c r="AK279">
        <v>0.11899999999999999</v>
      </c>
      <c r="BZ279">
        <v>1.2770750705999997E-2</v>
      </c>
      <c r="CA279">
        <v>206.5815162579226</v>
      </c>
      <c r="CB279">
        <v>1.6041133079999999E-2</v>
      </c>
      <c r="CC279">
        <v>1.1783824185E-2</v>
      </c>
      <c r="CD279">
        <v>1.443826944E-2</v>
      </c>
      <c r="CE279">
        <v>1.4960085E-2</v>
      </c>
      <c r="CF279">
        <v>1.9911873135000001E-2</v>
      </c>
      <c r="CG279">
        <v>1.0483785795000001E-2</v>
      </c>
      <c r="CH279">
        <v>1.549432416E-2</v>
      </c>
      <c r="CI279">
        <v>1.247232E-2</v>
      </c>
      <c r="CJ279">
        <v>6.8454370950000003E-3</v>
      </c>
      <c r="CK279">
        <v>1.4181974835E-2</v>
      </c>
      <c r="CL279">
        <v>1.4181974835E-2</v>
      </c>
      <c r="CM279">
        <v>9.2830631249999993E-3</v>
      </c>
      <c r="CN279">
        <v>9.0923212799999993E-3</v>
      </c>
      <c r="CO279">
        <v>1.0905901964999999E-2</v>
      </c>
      <c r="CP279">
        <v>2.2578294374999999E-2</v>
      </c>
      <c r="CQ279">
        <v>1.8356989559999998E-2</v>
      </c>
      <c r="CR279">
        <v>2.0750822400000001E-3</v>
      </c>
      <c r="CS279">
        <v>1.8661242915000001E-2</v>
      </c>
      <c r="CT279">
        <v>8.5358079449999995E-3</v>
      </c>
      <c r="CU279">
        <v>5.1313091550000004E-3</v>
      </c>
    </row>
    <row r="280" spans="1:99" x14ac:dyDescent="0.25">
      <c r="A280" t="s">
        <v>136</v>
      </c>
      <c r="B280" t="s">
        <v>202</v>
      </c>
      <c r="C280" t="s">
        <v>192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14080</v>
      </c>
      <c r="N280">
        <v>8088.07254223772</v>
      </c>
      <c r="O280">
        <v>8</v>
      </c>
      <c r="P280">
        <v>14</v>
      </c>
      <c r="Q280">
        <v>22</v>
      </c>
      <c r="R280">
        <v>0.1</v>
      </c>
      <c r="S280">
        <v>7.4999999999999997E-2</v>
      </c>
      <c r="T280">
        <v>9.0999999999999998E-2</v>
      </c>
      <c r="U280">
        <v>0.124</v>
      </c>
      <c r="V280">
        <v>0.10299999999999999</v>
      </c>
      <c r="W280">
        <v>8.8999999999999996E-2</v>
      </c>
      <c r="X280">
        <v>8.1000000000000003E-2</v>
      </c>
      <c r="Y280">
        <v>0.14000000000000001</v>
      </c>
      <c r="Z280">
        <v>9.9000000000000005E-2</v>
      </c>
      <c r="AA280">
        <v>9.6000000000000002E-2</v>
      </c>
      <c r="AB280">
        <v>9.4E-2</v>
      </c>
      <c r="AC280">
        <v>7.9000000000000001E-2</v>
      </c>
      <c r="AD280">
        <v>0.08</v>
      </c>
      <c r="AE280">
        <v>9.1999999999999998E-2</v>
      </c>
      <c r="AF280">
        <v>0.08</v>
      </c>
      <c r="AG280">
        <v>8.4000000000000005E-2</v>
      </c>
      <c r="AH280">
        <v>9.7000000000000003E-2</v>
      </c>
      <c r="AI280">
        <v>0.106</v>
      </c>
      <c r="AJ280">
        <v>8.8999999999999996E-2</v>
      </c>
      <c r="AK280">
        <v>9.5000000000000001E-2</v>
      </c>
      <c r="BZ280">
        <v>1.8395290000000001E-3</v>
      </c>
      <c r="CA280">
        <v>14.878243995550012</v>
      </c>
      <c r="CB280">
        <v>2E-3</v>
      </c>
      <c r="CC280">
        <v>8.4374999999999999E-4</v>
      </c>
      <c r="CD280">
        <v>1.5071419999999999E-3</v>
      </c>
      <c r="CE280">
        <v>3.813248E-3</v>
      </c>
      <c r="CF280">
        <v>2.1854539999999999E-3</v>
      </c>
      <c r="CG280">
        <v>1.4099379999999999E-3</v>
      </c>
      <c r="CH280">
        <v>1.062882E-3</v>
      </c>
      <c r="CI280">
        <v>5.4879999999999998E-3</v>
      </c>
      <c r="CJ280">
        <v>1.940598E-3</v>
      </c>
      <c r="CK280">
        <v>1.769472E-3</v>
      </c>
      <c r="CL280">
        <v>1.661168E-3</v>
      </c>
      <c r="CM280">
        <v>9.8607800000000004E-4</v>
      </c>
      <c r="CN280">
        <v>1.024E-3</v>
      </c>
      <c r="CO280">
        <v>1.5573760000000001E-3</v>
      </c>
      <c r="CP280">
        <v>1.024E-3</v>
      </c>
      <c r="CQ280">
        <v>1.185408E-3</v>
      </c>
      <c r="CR280">
        <v>1.825346E-3</v>
      </c>
      <c r="CS280">
        <v>2.3820320000000001E-3</v>
      </c>
      <c r="CT280">
        <v>1.4099379999999999E-3</v>
      </c>
      <c r="CU280">
        <v>1.7147499999999999E-3</v>
      </c>
    </row>
    <row r="281" spans="1:99" x14ac:dyDescent="0.25">
      <c r="A281" t="s">
        <v>136</v>
      </c>
      <c r="B281" t="s">
        <v>203</v>
      </c>
      <c r="C281" t="s">
        <v>192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1920</v>
      </c>
      <c r="N281">
        <v>1102.9189830324201</v>
      </c>
      <c r="O281">
        <v>2</v>
      </c>
      <c r="P281">
        <v>1</v>
      </c>
      <c r="Q281">
        <v>3</v>
      </c>
      <c r="R281">
        <v>8.3000000000000004E-2</v>
      </c>
      <c r="S281">
        <v>0.108</v>
      </c>
      <c r="T281">
        <v>0.126</v>
      </c>
      <c r="BZ281">
        <v>2.5545833333333336E-3</v>
      </c>
      <c r="CA281">
        <v>2.81749845207157</v>
      </c>
      <c r="CB281">
        <v>1.1435740000000001E-3</v>
      </c>
      <c r="CC281">
        <v>2.5194240000000001E-3</v>
      </c>
      <c r="CD281">
        <v>4.0007519999999998E-3</v>
      </c>
    </row>
    <row r="282" spans="1:99" x14ac:dyDescent="0.25">
      <c r="A282" t="s">
        <v>136</v>
      </c>
      <c r="B282" t="s">
        <v>204</v>
      </c>
      <c r="C282" t="s">
        <v>192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11520</v>
      </c>
      <c r="N282">
        <v>6617.5138981945001</v>
      </c>
      <c r="O282">
        <v>11</v>
      </c>
      <c r="P282">
        <v>7</v>
      </c>
      <c r="Q282">
        <v>18</v>
      </c>
      <c r="R282">
        <v>0.123</v>
      </c>
      <c r="S282">
        <v>0.158</v>
      </c>
      <c r="T282">
        <v>0.13300000000000001</v>
      </c>
      <c r="U282">
        <v>0.12</v>
      </c>
      <c r="V282">
        <v>0.13200000000000001</v>
      </c>
      <c r="W282">
        <v>0.14099999999999999</v>
      </c>
      <c r="X282">
        <v>0.13800000000000001</v>
      </c>
      <c r="Y282">
        <v>0.13600000000000001</v>
      </c>
      <c r="Z282">
        <v>0.13900000000000001</v>
      </c>
      <c r="AA282">
        <v>8.8999999999999996E-2</v>
      </c>
      <c r="AB282">
        <v>0.128</v>
      </c>
      <c r="AC282">
        <v>0.14299999999999999</v>
      </c>
      <c r="AD282">
        <v>0.125</v>
      </c>
      <c r="AE282">
        <v>0.13</v>
      </c>
      <c r="AF282">
        <v>0.121</v>
      </c>
      <c r="AG282">
        <v>0.13</v>
      </c>
      <c r="AH282">
        <v>0.13500000000000001</v>
      </c>
      <c r="AI282">
        <v>0.128</v>
      </c>
      <c r="BZ282">
        <v>4.5800769999999984E-3</v>
      </c>
      <c r="CA282">
        <v>30.308723202300961</v>
      </c>
      <c r="CB282">
        <v>3.721734E-3</v>
      </c>
      <c r="CC282">
        <v>7.8886240000000003E-3</v>
      </c>
      <c r="CD282">
        <v>4.7052739999999997E-3</v>
      </c>
      <c r="CE282">
        <v>3.4559999999999999E-3</v>
      </c>
      <c r="CF282">
        <v>4.5999359999999998E-3</v>
      </c>
      <c r="CG282">
        <v>5.6064419999999997E-3</v>
      </c>
      <c r="CH282">
        <v>5.2561439999999999E-3</v>
      </c>
      <c r="CI282">
        <v>5.0309120000000002E-3</v>
      </c>
      <c r="CJ282">
        <v>5.3712380000000004E-3</v>
      </c>
      <c r="CK282">
        <v>1.4099379999999999E-3</v>
      </c>
      <c r="CL282">
        <v>4.1943040000000003E-3</v>
      </c>
      <c r="CM282">
        <v>5.8484139999999997E-3</v>
      </c>
      <c r="CN282">
        <v>3.90625E-3</v>
      </c>
      <c r="CO282">
        <v>4.3940000000000003E-3</v>
      </c>
      <c r="CP282">
        <v>3.5431220000000001E-3</v>
      </c>
      <c r="CQ282">
        <v>4.3940000000000003E-3</v>
      </c>
      <c r="CR282">
        <v>4.9207499999999998E-3</v>
      </c>
      <c r="CS282">
        <v>4.1943040000000003E-3</v>
      </c>
    </row>
    <row r="283" spans="1:99" x14ac:dyDescent="0.25">
      <c r="A283" t="s">
        <v>136</v>
      </c>
      <c r="B283" t="s">
        <v>205</v>
      </c>
      <c r="C283" t="s">
        <v>192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3200</v>
      </c>
      <c r="N283">
        <v>1838.19830505403</v>
      </c>
      <c r="O283">
        <v>3</v>
      </c>
      <c r="P283">
        <v>2</v>
      </c>
      <c r="Q283">
        <v>5</v>
      </c>
      <c r="R283">
        <v>0.106</v>
      </c>
      <c r="S283">
        <v>0.10199999999999999</v>
      </c>
      <c r="T283">
        <v>7.8E-2</v>
      </c>
      <c r="U283">
        <v>8.8999999999999996E-2</v>
      </c>
      <c r="V283">
        <v>9.6000000000000002E-2</v>
      </c>
      <c r="BZ283">
        <v>1.7265923999999998E-3</v>
      </c>
      <c r="CA283">
        <v>3.1738192231991693</v>
      </c>
      <c r="CB283">
        <v>2.3820320000000001E-3</v>
      </c>
      <c r="CC283">
        <v>2.1224159999999998E-3</v>
      </c>
      <c r="CD283">
        <v>9.4910399999999998E-4</v>
      </c>
      <c r="CE283">
        <v>1.4099379999999999E-3</v>
      </c>
      <c r="CF283">
        <v>1.769472E-3</v>
      </c>
    </row>
    <row r="284" spans="1:99" x14ac:dyDescent="0.25">
      <c r="A284" t="s">
        <v>136</v>
      </c>
      <c r="B284" t="s">
        <v>161</v>
      </c>
      <c r="C284" t="s">
        <v>154</v>
      </c>
      <c r="D284">
        <v>-1</v>
      </c>
      <c r="E284">
        <v>0</v>
      </c>
      <c r="F284">
        <v>1</v>
      </c>
      <c r="G284">
        <v>-1</v>
      </c>
      <c r="H284">
        <v>-1</v>
      </c>
      <c r="I284">
        <v>0</v>
      </c>
      <c r="J284">
        <v>0</v>
      </c>
      <c r="K284">
        <v>-1</v>
      </c>
      <c r="L284">
        <v>-1</v>
      </c>
      <c r="M284">
        <v>10.6666666666667</v>
      </c>
      <c r="N284">
        <v>6.12732768351343</v>
      </c>
      <c r="O284">
        <v>-1</v>
      </c>
      <c r="P284">
        <v>-1</v>
      </c>
      <c r="Q284">
        <v>-1</v>
      </c>
      <c r="R284">
        <v>0.84299999999999997</v>
      </c>
      <c r="AL284" t="s">
        <v>156</v>
      </c>
      <c r="BZ284">
        <v>3.1508058599075199</v>
      </c>
      <c r="CA284">
        <v>19.306019970787684</v>
      </c>
      <c r="CB284">
        <v>3.1508058599075199</v>
      </c>
    </row>
    <row r="285" spans="1:99" x14ac:dyDescent="0.25">
      <c r="A285" t="s">
        <v>136</v>
      </c>
      <c r="B285" t="s">
        <v>176</v>
      </c>
      <c r="C285" t="s">
        <v>168</v>
      </c>
      <c r="D285">
        <v>-1</v>
      </c>
      <c r="E285">
        <v>1</v>
      </c>
      <c r="F285">
        <v>-1</v>
      </c>
      <c r="G285">
        <v>-1</v>
      </c>
      <c r="H285">
        <v>-1</v>
      </c>
      <c r="I285">
        <v>0</v>
      </c>
      <c r="J285">
        <v>-1</v>
      </c>
      <c r="K285">
        <v>-1</v>
      </c>
      <c r="L285">
        <v>-1</v>
      </c>
      <c r="M285">
        <v>10.6666666666667</v>
      </c>
      <c r="N285">
        <v>6.12732768351343</v>
      </c>
      <c r="O285">
        <v>-1</v>
      </c>
      <c r="P285">
        <v>-1</v>
      </c>
      <c r="Q285">
        <v>-1</v>
      </c>
      <c r="R285">
        <v>0.79300000000000004</v>
      </c>
      <c r="AL285" t="s">
        <v>169</v>
      </c>
      <c r="BZ285">
        <v>2.0943217047443201</v>
      </c>
      <c r="CA285">
        <v>12.832595359662912</v>
      </c>
      <c r="CB285">
        <v>2.0943217047443201</v>
      </c>
    </row>
    <row r="286" spans="1:99" x14ac:dyDescent="0.25">
      <c r="A286" t="s">
        <v>136</v>
      </c>
      <c r="B286" t="s">
        <v>212</v>
      </c>
      <c r="C286" t="s">
        <v>192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4480</v>
      </c>
      <c r="N286">
        <v>2573.4776270756402</v>
      </c>
      <c r="O286">
        <v>6</v>
      </c>
      <c r="P286">
        <v>1</v>
      </c>
      <c r="Q286">
        <v>7</v>
      </c>
      <c r="R286">
        <v>0.255</v>
      </c>
      <c r="S286">
        <v>0.35499999999999998</v>
      </c>
      <c r="T286">
        <v>0.30499999999999999</v>
      </c>
      <c r="U286">
        <v>0.20899999999999999</v>
      </c>
      <c r="V286">
        <v>0.26400000000000001</v>
      </c>
      <c r="W286">
        <v>0.19600000000000001</v>
      </c>
      <c r="X286">
        <v>0.16600000000000001</v>
      </c>
      <c r="BZ286">
        <v>0.18475111428571431</v>
      </c>
      <c r="CA286">
        <v>475.45285919158044</v>
      </c>
      <c r="CB286">
        <v>0.16581375000000001</v>
      </c>
      <c r="CC286">
        <v>0.44738875</v>
      </c>
      <c r="CD286">
        <v>0.28372625000000001</v>
      </c>
      <c r="CE286">
        <v>9.1293289999999999E-2</v>
      </c>
      <c r="CF286">
        <v>0.18399744000000001</v>
      </c>
      <c r="CG286">
        <v>7.5295360000000006E-2</v>
      </c>
      <c r="CH286">
        <v>4.5742959999999999E-2</v>
      </c>
    </row>
    <row r="287" spans="1:99" x14ac:dyDescent="0.25">
      <c r="A287" t="s">
        <v>136</v>
      </c>
      <c r="B287" t="s">
        <v>208</v>
      </c>
      <c r="C287" t="s">
        <v>192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3200</v>
      </c>
      <c r="N287">
        <v>1838.19830505403</v>
      </c>
      <c r="O287">
        <v>4</v>
      </c>
      <c r="P287">
        <v>1</v>
      </c>
      <c r="Q287">
        <v>5</v>
      </c>
      <c r="R287">
        <v>0.158</v>
      </c>
      <c r="S287">
        <v>0.104</v>
      </c>
      <c r="T287">
        <v>9.6000000000000002E-2</v>
      </c>
      <c r="U287">
        <v>5.8999999999999997E-2</v>
      </c>
      <c r="V287">
        <v>0.09</v>
      </c>
      <c r="BZ287">
        <v>4.243187256E-2</v>
      </c>
      <c r="CA287">
        <v>77.998196220060606</v>
      </c>
      <c r="CB287">
        <v>0.12148480959999999</v>
      </c>
      <c r="CC287">
        <v>3.4645811200000001E-2</v>
      </c>
      <c r="CD287">
        <v>2.72498688E-2</v>
      </c>
      <c r="CE287">
        <v>6.3256731999999996E-3</v>
      </c>
      <c r="CF287">
        <v>2.24532E-2</v>
      </c>
    </row>
    <row r="288" spans="1:99" x14ac:dyDescent="0.25">
      <c r="A288" t="s">
        <v>136</v>
      </c>
      <c r="B288" t="s">
        <v>209</v>
      </c>
      <c r="C288" t="s">
        <v>192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10880</v>
      </c>
      <c r="N288">
        <v>6249.8742371836897</v>
      </c>
      <c r="O288">
        <v>9</v>
      </c>
      <c r="P288">
        <v>8</v>
      </c>
      <c r="Q288">
        <v>17</v>
      </c>
      <c r="R288">
        <v>0.14299999999999999</v>
      </c>
      <c r="S288">
        <v>8.3000000000000004E-2</v>
      </c>
      <c r="T288">
        <v>0.11700000000000001</v>
      </c>
      <c r="U288">
        <v>8.6999999999999994E-2</v>
      </c>
      <c r="V288">
        <v>7.6999999999999999E-2</v>
      </c>
      <c r="W288">
        <v>0.126</v>
      </c>
      <c r="X288">
        <v>0.126</v>
      </c>
      <c r="Y288">
        <v>0.14299999999999999</v>
      </c>
      <c r="Z288">
        <v>0.106</v>
      </c>
      <c r="AA288">
        <v>0.127</v>
      </c>
      <c r="AB288">
        <v>9.5000000000000001E-2</v>
      </c>
      <c r="AC288">
        <v>0.14599999999999999</v>
      </c>
      <c r="AD288">
        <v>0.10199999999999999</v>
      </c>
      <c r="AE288">
        <v>8.5999999999999993E-2</v>
      </c>
      <c r="AF288">
        <v>5.2999999999999999E-2</v>
      </c>
      <c r="AG288">
        <v>0.14699999999999999</v>
      </c>
      <c r="AH288">
        <v>9.2999999999999999E-2</v>
      </c>
      <c r="BZ288">
        <v>4.7420283317647069E-2</v>
      </c>
      <c r="CA288">
        <v>296.37080702691389</v>
      </c>
      <c r="CB288">
        <v>9.0065575600000003E-2</v>
      </c>
      <c r="CC288">
        <v>1.76110396E-2</v>
      </c>
      <c r="CD288">
        <v>4.9329680399999999E-2</v>
      </c>
      <c r="CE288">
        <v>2.0281892400000001E-2</v>
      </c>
      <c r="CF288">
        <v>1.40612164E-2</v>
      </c>
      <c r="CG288">
        <v>6.1611580800000003E-2</v>
      </c>
      <c r="CH288">
        <v>6.1611580800000003E-2</v>
      </c>
      <c r="CI288">
        <v>9.0065575600000003E-2</v>
      </c>
      <c r="CJ288">
        <v>3.6683292800000003E-2</v>
      </c>
      <c r="CK288">
        <v>6.3090196400000007E-2</v>
      </c>
      <c r="CL288">
        <v>2.6407150000000001E-2</v>
      </c>
      <c r="CM288">
        <v>9.5853788800000006E-2</v>
      </c>
      <c r="CN288">
        <v>3.26852064E-2</v>
      </c>
      <c r="CO288">
        <v>1.9590524799999998E-2</v>
      </c>
      <c r="CP288">
        <v>4.5854116000000004E-3</v>
      </c>
      <c r="CQ288">
        <v>9.7836908400000006E-2</v>
      </c>
      <c r="CR288">
        <v>2.47741956E-2</v>
      </c>
    </row>
    <row r="289" spans="1:99" x14ac:dyDescent="0.25">
      <c r="A289" t="s">
        <v>136</v>
      </c>
      <c r="B289" t="s">
        <v>178</v>
      </c>
      <c r="C289" t="s">
        <v>158</v>
      </c>
      <c r="D289">
        <v>-1</v>
      </c>
      <c r="E289">
        <v>4</v>
      </c>
      <c r="F289">
        <v>-1</v>
      </c>
      <c r="G289">
        <v>-1</v>
      </c>
      <c r="H289">
        <v>-1</v>
      </c>
      <c r="I289">
        <v>8</v>
      </c>
      <c r="J289">
        <v>-1</v>
      </c>
      <c r="K289">
        <v>5</v>
      </c>
      <c r="L289">
        <v>-1</v>
      </c>
      <c r="M289">
        <v>77.714285714285694</v>
      </c>
      <c r="N289">
        <v>44.641958837026401</v>
      </c>
      <c r="O289">
        <v>-1</v>
      </c>
      <c r="P289">
        <v>-1</v>
      </c>
      <c r="Q289">
        <v>-1</v>
      </c>
      <c r="R289">
        <v>0.79400000000000004</v>
      </c>
      <c r="S289">
        <v>0.98899999999999999</v>
      </c>
      <c r="T289">
        <v>0.71699999999999997</v>
      </c>
      <c r="U289">
        <v>0.38600000000000001</v>
      </c>
      <c r="V289">
        <v>0.53800000000000003</v>
      </c>
      <c r="W289">
        <v>1.1719999999999999</v>
      </c>
      <c r="X289">
        <v>0.93</v>
      </c>
      <c r="Y289">
        <v>0.95</v>
      </c>
      <c r="Z289">
        <v>0.79600000000000004</v>
      </c>
      <c r="AA289">
        <v>0.85</v>
      </c>
      <c r="AB289">
        <v>0.68700000000000006</v>
      </c>
      <c r="AC289">
        <v>0.51</v>
      </c>
      <c r="AD289">
        <v>0.82199999999999995</v>
      </c>
      <c r="AE289">
        <v>0.91100000000000003</v>
      </c>
      <c r="AF289">
        <v>0.73799999999999999</v>
      </c>
      <c r="AG289">
        <v>1.014</v>
      </c>
      <c r="AH289">
        <v>1.1859999999999999</v>
      </c>
      <c r="AL289" t="s">
        <v>159</v>
      </c>
      <c r="AM289" t="s">
        <v>159</v>
      </c>
      <c r="AN289" t="s">
        <v>159</v>
      </c>
      <c r="AO289" t="s">
        <v>159</v>
      </c>
      <c r="AP289" t="s">
        <v>159</v>
      </c>
      <c r="AQ289" t="s">
        <v>159</v>
      </c>
      <c r="AR289" t="s">
        <v>159</v>
      </c>
      <c r="AS289" t="s">
        <v>159</v>
      </c>
      <c r="AT289" t="s">
        <v>159</v>
      </c>
      <c r="AU289" t="s">
        <v>159</v>
      </c>
      <c r="AV289" t="s">
        <v>159</v>
      </c>
      <c r="AW289" t="s">
        <v>159</v>
      </c>
      <c r="AX289" t="s">
        <v>159</v>
      </c>
      <c r="AY289" t="s">
        <v>159</v>
      </c>
      <c r="AZ289" t="s">
        <v>159</v>
      </c>
      <c r="BA289" t="s">
        <v>159</v>
      </c>
      <c r="BB289" t="s">
        <v>159</v>
      </c>
      <c r="BZ289">
        <v>11.45408099019914</v>
      </c>
      <c r="CA289">
        <v>511.3326120804366</v>
      </c>
      <c r="CB289">
        <v>9.8065996419042207</v>
      </c>
      <c r="CC289">
        <v>15.724483608768301</v>
      </c>
      <c r="CD289">
        <v>7.8753624376215301</v>
      </c>
      <c r="CE289">
        <v>2.0800178897920301</v>
      </c>
      <c r="CF289">
        <v>4.2470390861919496</v>
      </c>
      <c r="CG289">
        <v>22.651591989764199</v>
      </c>
      <c r="CH289">
        <v>13.776620798014299</v>
      </c>
      <c r="CI289">
        <v>14.421489449645399</v>
      </c>
      <c r="CJ289">
        <v>9.8597853613695694</v>
      </c>
      <c r="CK289">
        <v>11.354161191966201</v>
      </c>
      <c r="CL289">
        <v>7.1839177254708799</v>
      </c>
      <c r="CM289">
        <v>3.7859968110375402</v>
      </c>
      <c r="CN289">
        <v>10.5652255492168</v>
      </c>
      <c r="CO289">
        <v>13.1785878415961</v>
      </c>
      <c r="CP289">
        <v>8.3796435105287408</v>
      </c>
      <c r="CQ289">
        <v>16.591512113210499</v>
      </c>
      <c r="CR289">
        <v>23.2373418272871</v>
      </c>
    </row>
    <row r="290" spans="1:99" x14ac:dyDescent="0.25">
      <c r="A290" t="s">
        <v>136</v>
      </c>
      <c r="B290" t="s">
        <v>210</v>
      </c>
      <c r="C290" t="s">
        <v>192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74880</v>
      </c>
      <c r="N290">
        <v>43013.840338264301</v>
      </c>
      <c r="O290">
        <v>62</v>
      </c>
      <c r="P290">
        <v>55</v>
      </c>
      <c r="Q290">
        <v>117</v>
      </c>
      <c r="R290">
        <v>0.12</v>
      </c>
      <c r="S290">
        <v>0.108</v>
      </c>
      <c r="T290">
        <v>0.126</v>
      </c>
      <c r="U290">
        <v>9.7000000000000003E-2</v>
      </c>
      <c r="V290">
        <v>0.122</v>
      </c>
      <c r="W290">
        <v>0.17499999999999999</v>
      </c>
      <c r="X290">
        <v>0.129</v>
      </c>
      <c r="Y290">
        <v>0.13</v>
      </c>
      <c r="Z290">
        <v>0.105</v>
      </c>
      <c r="AA290">
        <v>0.112</v>
      </c>
      <c r="AB290">
        <v>8.6999999999999994E-2</v>
      </c>
      <c r="AC290">
        <v>0.127</v>
      </c>
      <c r="AD290">
        <v>0.128</v>
      </c>
      <c r="AE290">
        <v>0.13400000000000001</v>
      </c>
      <c r="AF290">
        <v>7.8E-2</v>
      </c>
      <c r="AG290">
        <v>0.11799999999999999</v>
      </c>
      <c r="AH290">
        <v>0.104</v>
      </c>
      <c r="AI290">
        <v>0.125</v>
      </c>
      <c r="AJ290">
        <v>0.112</v>
      </c>
      <c r="AK290">
        <v>9.8000000000000004E-2</v>
      </c>
      <c r="BZ290">
        <v>1.7367030499999998E-2</v>
      </c>
      <c r="CA290">
        <v>747.0226770767664</v>
      </c>
      <c r="CB290">
        <v>1.728E-2</v>
      </c>
      <c r="CC290">
        <v>1.259712E-2</v>
      </c>
      <c r="CD290">
        <v>2.0003759999999999E-2</v>
      </c>
      <c r="CE290">
        <v>9.1267299999999996E-3</v>
      </c>
      <c r="CF290">
        <v>1.8158480000000001E-2</v>
      </c>
      <c r="CG290">
        <v>5.3593750000000002E-2</v>
      </c>
      <c r="CH290">
        <v>2.1466889999999999E-2</v>
      </c>
      <c r="CI290">
        <v>2.197E-2</v>
      </c>
      <c r="CJ290">
        <v>1.157625E-2</v>
      </c>
      <c r="CK290">
        <v>1.4049280000000001E-2</v>
      </c>
      <c r="CL290">
        <v>6.5850300000000004E-3</v>
      </c>
      <c r="CM290">
        <v>2.0483830000000001E-2</v>
      </c>
      <c r="CN290">
        <v>2.097152E-2</v>
      </c>
      <c r="CO290">
        <v>2.4061039999999999E-2</v>
      </c>
      <c r="CP290">
        <v>4.7455199999999996E-3</v>
      </c>
      <c r="CQ290">
        <v>1.6430320000000002E-2</v>
      </c>
      <c r="CR290">
        <v>1.1248640000000001E-2</v>
      </c>
      <c r="CS290">
        <v>1.953125E-2</v>
      </c>
      <c r="CT290">
        <v>1.4049280000000001E-2</v>
      </c>
      <c r="CU290">
        <v>9.4119200000000007E-3</v>
      </c>
    </row>
    <row r="291" spans="1:99" x14ac:dyDescent="0.25">
      <c r="A291" t="s">
        <v>136</v>
      </c>
      <c r="B291" t="s">
        <v>215</v>
      </c>
      <c r="C291" t="s">
        <v>192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3840</v>
      </c>
      <c r="N291">
        <v>2205.8379660648302</v>
      </c>
      <c r="O291">
        <v>1</v>
      </c>
      <c r="P291">
        <v>5</v>
      </c>
      <c r="Q291">
        <v>6</v>
      </c>
      <c r="R291">
        <v>0.34200000000000003</v>
      </c>
      <c r="S291">
        <v>0.1</v>
      </c>
      <c r="T291">
        <v>0.14299999999999999</v>
      </c>
      <c r="U291">
        <v>0.151</v>
      </c>
      <c r="V291">
        <v>8.5000000000000006E-2</v>
      </c>
      <c r="W291">
        <v>9.9000000000000005E-2</v>
      </c>
      <c r="BF291">
        <v>8.7692307692307694E-2</v>
      </c>
      <c r="BG291">
        <v>3.9E-2</v>
      </c>
      <c r="BH291">
        <v>5.8999999999999997E-2</v>
      </c>
      <c r="BI291">
        <v>5.8999999999999997E-2</v>
      </c>
      <c r="BJ291">
        <v>2.7E-2</v>
      </c>
      <c r="BK291">
        <v>3.4000000000000002E-2</v>
      </c>
      <c r="BZ291">
        <v>3.4716708519077003E-2</v>
      </c>
      <c r="CA291">
        <v>76.579433708186372</v>
      </c>
      <c r="CB291">
        <v>0.13757845513846201</v>
      </c>
      <c r="CC291">
        <v>7.9566551999999992E-3</v>
      </c>
      <c r="CD291">
        <v>2.6040024296000001E-2</v>
      </c>
      <c r="CE291">
        <v>2.7496808872000001E-2</v>
      </c>
      <c r="CF291">
        <v>3.2415130799999998E-3</v>
      </c>
      <c r="CG291">
        <v>5.9867945279999998E-3</v>
      </c>
    </row>
    <row r="292" spans="1:99" x14ac:dyDescent="0.25">
      <c r="A292" t="s">
        <v>136</v>
      </c>
      <c r="B292" t="s">
        <v>211</v>
      </c>
      <c r="C292" t="s">
        <v>192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1920</v>
      </c>
      <c r="N292">
        <v>1102.9189830324201</v>
      </c>
      <c r="O292">
        <v>2</v>
      </c>
      <c r="P292">
        <v>1</v>
      </c>
      <c r="Q292">
        <v>3</v>
      </c>
      <c r="R292">
        <v>0.16200000000000001</v>
      </c>
      <c r="S292">
        <v>0.192</v>
      </c>
      <c r="T292">
        <v>0.19900000000000001</v>
      </c>
      <c r="BF292">
        <v>0.11</v>
      </c>
      <c r="BG292">
        <v>0.107</v>
      </c>
      <c r="BH292">
        <v>0.156</v>
      </c>
      <c r="BZ292">
        <v>0.15695818028799999</v>
      </c>
      <c r="CA292">
        <v>173.11215658186021</v>
      </c>
      <c r="CB292">
        <v>0.1025419824</v>
      </c>
      <c r="CC292">
        <v>0.114992656896</v>
      </c>
      <c r="CD292">
        <v>0.25333990156800001</v>
      </c>
    </row>
    <row r="293" spans="1:99" x14ac:dyDescent="0.25">
      <c r="A293" t="s">
        <v>138</v>
      </c>
      <c r="B293" t="s">
        <v>191</v>
      </c>
      <c r="C293" t="s">
        <v>192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27104</v>
      </c>
      <c r="N293">
        <v>19306.229158321399</v>
      </c>
      <c r="O293">
        <v>5</v>
      </c>
      <c r="P293">
        <v>9</v>
      </c>
      <c r="Q293">
        <v>14</v>
      </c>
      <c r="R293">
        <v>0.09</v>
      </c>
      <c r="S293">
        <v>0.123</v>
      </c>
      <c r="T293">
        <v>0.121</v>
      </c>
      <c r="U293">
        <v>0.105</v>
      </c>
      <c r="V293">
        <v>0.112</v>
      </c>
      <c r="W293">
        <v>8.6999999999999994E-2</v>
      </c>
      <c r="X293">
        <v>9.8000000000000004E-2</v>
      </c>
      <c r="Y293">
        <v>0.114</v>
      </c>
      <c r="Z293">
        <v>9.7000000000000003E-2</v>
      </c>
      <c r="AA293">
        <v>0.1</v>
      </c>
      <c r="AB293">
        <v>9.6000000000000002E-2</v>
      </c>
      <c r="AC293">
        <v>0.1</v>
      </c>
      <c r="AD293">
        <v>9.5000000000000001E-2</v>
      </c>
      <c r="AE293">
        <v>0.1</v>
      </c>
      <c r="BZ293">
        <v>1.3422860571428575E-2</v>
      </c>
      <c r="CA293">
        <v>259.14482215219698</v>
      </c>
      <c r="CB293">
        <v>8.7480000000000006E-3</v>
      </c>
      <c r="CC293">
        <v>2.2330404000000002E-2</v>
      </c>
      <c r="CD293">
        <v>2.1258731999999999E-2</v>
      </c>
      <c r="CE293">
        <v>1.3891499999999999E-2</v>
      </c>
      <c r="CF293">
        <v>1.6859136E-2</v>
      </c>
      <c r="CG293">
        <v>7.9020359999999994E-3</v>
      </c>
      <c r="CH293">
        <v>1.1294304E-2</v>
      </c>
      <c r="CI293">
        <v>1.7778527999999998E-2</v>
      </c>
      <c r="CJ293">
        <v>1.0952076E-2</v>
      </c>
      <c r="CK293">
        <v>1.2E-2</v>
      </c>
      <c r="CL293">
        <v>1.0616832E-2</v>
      </c>
      <c r="CM293">
        <v>1.2E-2</v>
      </c>
      <c r="CN293">
        <v>1.0288500000000001E-2</v>
      </c>
      <c r="CO293">
        <v>1.2E-2</v>
      </c>
    </row>
    <row r="294" spans="1:99" x14ac:dyDescent="0.25">
      <c r="A294" t="s">
        <v>138</v>
      </c>
      <c r="B294" t="s">
        <v>193</v>
      </c>
      <c r="C294" t="s">
        <v>192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5808</v>
      </c>
      <c r="N294">
        <v>4137.0491053545902</v>
      </c>
      <c r="O294">
        <v>0</v>
      </c>
      <c r="P294">
        <v>3</v>
      </c>
      <c r="Q294">
        <v>3</v>
      </c>
      <c r="R294">
        <v>0.63500000000000001</v>
      </c>
      <c r="S294">
        <v>0.57099999999999995</v>
      </c>
      <c r="T294">
        <v>0.49</v>
      </c>
      <c r="BZ294">
        <v>1.6740001951399999</v>
      </c>
      <c r="CA294">
        <v>6925.421009667346</v>
      </c>
      <c r="CB294">
        <v>2.29674943875</v>
      </c>
      <c r="CC294">
        <v>1.66993961667</v>
      </c>
      <c r="CD294">
        <v>1.05531153</v>
      </c>
    </row>
    <row r="295" spans="1:99" x14ac:dyDescent="0.25">
      <c r="A295" t="s">
        <v>138</v>
      </c>
      <c r="B295" t="s">
        <v>172</v>
      </c>
      <c r="C295" t="s">
        <v>158</v>
      </c>
      <c r="D295">
        <v>-1</v>
      </c>
      <c r="E295">
        <v>79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20224</v>
      </c>
      <c r="N295">
        <v>14405.592477047399</v>
      </c>
      <c r="O295">
        <v>-1</v>
      </c>
      <c r="P295">
        <v>-1</v>
      </c>
      <c r="Q295">
        <v>-1</v>
      </c>
      <c r="R295">
        <v>0.33</v>
      </c>
      <c r="S295">
        <v>0.252</v>
      </c>
      <c r="T295">
        <v>0.38</v>
      </c>
      <c r="U295">
        <v>0.3</v>
      </c>
      <c r="V295">
        <v>0.39400000000000002</v>
      </c>
      <c r="W295">
        <v>0.26600000000000001</v>
      </c>
      <c r="X295">
        <v>0.38900000000000001</v>
      </c>
      <c r="Y295">
        <v>0.377</v>
      </c>
      <c r="Z295">
        <v>0.44400000000000001</v>
      </c>
      <c r="AA295">
        <v>0.25600000000000001</v>
      </c>
      <c r="AB295">
        <v>0.26300000000000001</v>
      </c>
      <c r="AC295">
        <v>0.373</v>
      </c>
      <c r="AD295">
        <v>0.34499999999999997</v>
      </c>
      <c r="AE295">
        <v>0.24299999999999999</v>
      </c>
      <c r="AF295">
        <v>0.29399999999999998</v>
      </c>
      <c r="AG295">
        <v>0.438</v>
      </c>
      <c r="AH295">
        <v>0.4</v>
      </c>
      <c r="AI295">
        <v>0.35099999999999998</v>
      </c>
      <c r="AJ295">
        <v>0.34399999999999997</v>
      </c>
      <c r="AK295">
        <v>0.51900000000000002</v>
      </c>
      <c r="AL295" t="s">
        <v>159</v>
      </c>
      <c r="AM295" t="s">
        <v>159</v>
      </c>
      <c r="AN295" t="s">
        <v>159</v>
      </c>
      <c r="AO295" t="s">
        <v>159</v>
      </c>
      <c r="AP295" t="s">
        <v>159</v>
      </c>
      <c r="AQ295" t="s">
        <v>159</v>
      </c>
      <c r="AR295" t="s">
        <v>159</v>
      </c>
      <c r="AS295" t="s">
        <v>159</v>
      </c>
      <c r="AT295" t="s">
        <v>159</v>
      </c>
      <c r="AU295" t="s">
        <v>159</v>
      </c>
      <c r="AV295" t="s">
        <v>159</v>
      </c>
      <c r="AW295" t="s">
        <v>159</v>
      </c>
      <c r="AX295" t="s">
        <v>159</v>
      </c>
      <c r="AY295" t="s">
        <v>159</v>
      </c>
      <c r="AZ295" t="s">
        <v>159</v>
      </c>
      <c r="BA295" t="s">
        <v>159</v>
      </c>
      <c r="BB295" t="s">
        <v>159</v>
      </c>
      <c r="BC295" t="s">
        <v>159</v>
      </c>
      <c r="BD295" t="s">
        <v>159</v>
      </c>
      <c r="BE295" t="s">
        <v>159</v>
      </c>
      <c r="BZ295">
        <v>1.1289691514204148</v>
      </c>
      <c r="CA295">
        <v>16263.469514520513</v>
      </c>
      <c r="CB295">
        <v>0.91126964277005995</v>
      </c>
      <c r="CC295">
        <v>0.46062764934648998</v>
      </c>
      <c r="CD295">
        <v>1.3021443604449601</v>
      </c>
      <c r="CE295">
        <v>0.716017124831829</v>
      </c>
      <c r="CF295">
        <v>1.42696090958891</v>
      </c>
      <c r="CG295">
        <v>0.52814986801842601</v>
      </c>
      <c r="CH295">
        <v>1.3815898254923</v>
      </c>
      <c r="CI295">
        <v>1.2762925992837899</v>
      </c>
      <c r="CJ295">
        <v>1.93056998267832</v>
      </c>
      <c r="CK295">
        <v>0.47935112080195802</v>
      </c>
      <c r="CL295">
        <v>0.51320949009263905</v>
      </c>
      <c r="CM295">
        <v>1.2423099951345</v>
      </c>
      <c r="CN295">
        <v>1.0197388032564401</v>
      </c>
      <c r="CO295">
        <v>0.42013659088921601</v>
      </c>
      <c r="CP295">
        <v>0.68033902120397705</v>
      </c>
      <c r="CQ295">
        <v>1.8652460737612799</v>
      </c>
      <c r="CR295">
        <v>1.4825809414743101</v>
      </c>
      <c r="CS295">
        <v>1.0652060871946101</v>
      </c>
      <c r="CT295">
        <v>1.01227729204482</v>
      </c>
      <c r="CU295">
        <v>2.8653656500994602</v>
      </c>
    </row>
    <row r="296" spans="1:99" x14ac:dyDescent="0.25">
      <c r="A296" t="s">
        <v>138</v>
      </c>
      <c r="B296" t="s">
        <v>157</v>
      </c>
      <c r="C296" t="s">
        <v>158</v>
      </c>
      <c r="D296">
        <v>928</v>
      </c>
      <c r="E296">
        <v>-1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928</v>
      </c>
      <c r="N296">
        <v>661.01611049742803</v>
      </c>
      <c r="O296">
        <v>-1</v>
      </c>
      <c r="P296">
        <v>-1</v>
      </c>
      <c r="Q296">
        <v>-1</v>
      </c>
      <c r="R296">
        <v>0.996</v>
      </c>
      <c r="S296">
        <v>1.077</v>
      </c>
      <c r="T296">
        <v>1.1910000000000001</v>
      </c>
      <c r="U296">
        <v>1.2989999999999999</v>
      </c>
      <c r="V296">
        <v>1.349</v>
      </c>
      <c r="W296">
        <v>1.4330000000000001</v>
      </c>
      <c r="X296">
        <v>1.1020000000000001</v>
      </c>
      <c r="Y296">
        <v>1.181</v>
      </c>
      <c r="Z296">
        <v>1.24</v>
      </c>
      <c r="AA296">
        <v>1.339</v>
      </c>
      <c r="AB296">
        <v>1.125</v>
      </c>
      <c r="AC296">
        <v>1.627</v>
      </c>
      <c r="AD296">
        <v>1.1579999999999999</v>
      </c>
      <c r="AE296">
        <v>1.0549999999999999</v>
      </c>
      <c r="AF296">
        <v>1.2509999999999999</v>
      </c>
      <c r="AG296">
        <v>1.351</v>
      </c>
      <c r="AH296">
        <v>1.24</v>
      </c>
      <c r="AI296">
        <v>1.1240000000000001</v>
      </c>
      <c r="AJ296">
        <v>0.56399999999999995</v>
      </c>
      <c r="AK296">
        <v>1.1080000000000001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  <c r="AX296" t="s">
        <v>159</v>
      </c>
      <c r="AY296" t="s">
        <v>159</v>
      </c>
      <c r="AZ296" t="s">
        <v>159</v>
      </c>
      <c r="BA296" t="s">
        <v>159</v>
      </c>
      <c r="BB296" t="s">
        <v>159</v>
      </c>
      <c r="BC296" t="s">
        <v>159</v>
      </c>
      <c r="BD296" t="s">
        <v>159</v>
      </c>
      <c r="BE296" t="s">
        <v>159</v>
      </c>
      <c r="BZ296">
        <v>25.204132255699157</v>
      </c>
      <c r="CA296">
        <v>16660.337472125026</v>
      </c>
      <c r="CB296">
        <v>16.8041055625892</v>
      </c>
      <c r="CC296">
        <v>19.7871936320552</v>
      </c>
      <c r="CD296">
        <v>24.417936797342399</v>
      </c>
      <c r="CE296">
        <v>29.274973426658502</v>
      </c>
      <c r="CF296">
        <v>31.679502927444201</v>
      </c>
      <c r="CG296">
        <v>35.942470231484997</v>
      </c>
      <c r="CH296">
        <v>20.759310097072699</v>
      </c>
      <c r="CI296">
        <v>23.9914043180191</v>
      </c>
      <c r="CJ296">
        <v>26.564687159026899</v>
      </c>
      <c r="CK296">
        <v>31.190676169168999</v>
      </c>
      <c r="CL296">
        <v>21.6751521992466</v>
      </c>
      <c r="CM296">
        <v>46.865512369254198</v>
      </c>
      <c r="CN296">
        <v>23.0252456845955</v>
      </c>
      <c r="CO296">
        <v>18.951824429923001</v>
      </c>
      <c r="CP296">
        <v>27.059586825652499</v>
      </c>
      <c r="CQ296">
        <v>31.777744086376501</v>
      </c>
      <c r="CR296">
        <v>26.564687159026899</v>
      </c>
      <c r="CS296">
        <v>21.6349040900635</v>
      </c>
      <c r="CT296">
        <v>5.1194901425430004</v>
      </c>
      <c r="CU296">
        <v>20.996237806439101</v>
      </c>
    </row>
    <row r="297" spans="1:99" x14ac:dyDescent="0.25">
      <c r="A297" t="s">
        <v>138</v>
      </c>
      <c r="B297" t="s">
        <v>194</v>
      </c>
      <c r="C297" t="s">
        <v>192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9680</v>
      </c>
      <c r="N297">
        <v>6895.0818422576604</v>
      </c>
      <c r="O297">
        <v>2</v>
      </c>
      <c r="P297">
        <v>3</v>
      </c>
      <c r="Q297">
        <v>5</v>
      </c>
      <c r="BF297">
        <v>3.2000000000000001E-2</v>
      </c>
      <c r="BG297">
        <v>4.2999999999999997E-2</v>
      </c>
      <c r="BH297">
        <v>0.04</v>
      </c>
      <c r="BI297">
        <v>3.9E-2</v>
      </c>
      <c r="BJ297">
        <v>0.04</v>
      </c>
      <c r="BZ297">
        <v>1.0785384E-2</v>
      </c>
      <c r="CA297">
        <v>74.366105380176293</v>
      </c>
      <c r="CB297">
        <v>5.8982399999999999E-3</v>
      </c>
      <c r="CC297">
        <v>1.4311259999999999E-2</v>
      </c>
      <c r="CD297">
        <v>1.1520000000000001E-2</v>
      </c>
      <c r="CE297">
        <v>1.067742E-2</v>
      </c>
      <c r="CF297">
        <v>1.1520000000000001E-2</v>
      </c>
    </row>
    <row r="298" spans="1:99" x14ac:dyDescent="0.25">
      <c r="A298" t="s">
        <v>138</v>
      </c>
      <c r="B298" t="s">
        <v>195</v>
      </c>
      <c r="C298" t="s">
        <v>192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243936</v>
      </c>
      <c r="N298">
        <v>173756.062424893</v>
      </c>
      <c r="O298">
        <v>60</v>
      </c>
      <c r="P298">
        <v>66</v>
      </c>
      <c r="Q298">
        <v>126</v>
      </c>
      <c r="R298">
        <v>0.13200000000000001</v>
      </c>
      <c r="S298">
        <v>0.13700000000000001</v>
      </c>
      <c r="T298">
        <v>0.13500000000000001</v>
      </c>
      <c r="U298">
        <v>0.113</v>
      </c>
      <c r="V298">
        <v>0.12</v>
      </c>
      <c r="W298">
        <v>8.6999999999999994E-2</v>
      </c>
      <c r="X298">
        <v>0.14699999999999999</v>
      </c>
      <c r="Y298">
        <v>9.4E-2</v>
      </c>
      <c r="Z298">
        <v>9.4E-2</v>
      </c>
      <c r="AA298">
        <v>0.126</v>
      </c>
      <c r="AB298">
        <v>0.109</v>
      </c>
      <c r="AC298">
        <v>0.17599999999999999</v>
      </c>
      <c r="AD298">
        <v>0.123</v>
      </c>
      <c r="AE298">
        <v>0.16400000000000001</v>
      </c>
      <c r="AF298">
        <v>0.111</v>
      </c>
      <c r="AG298">
        <v>0.104</v>
      </c>
      <c r="AH298">
        <v>0.106</v>
      </c>
      <c r="AI298">
        <v>0.13700000000000001</v>
      </c>
      <c r="AJ298">
        <v>0.124</v>
      </c>
      <c r="AK298">
        <v>0.122</v>
      </c>
      <c r="BF298">
        <v>6.6000000000000003E-2</v>
      </c>
      <c r="BG298">
        <v>7.8E-2</v>
      </c>
      <c r="BH298">
        <v>7.8E-2</v>
      </c>
      <c r="BI298">
        <v>5.0999999999999997E-2</v>
      </c>
      <c r="BJ298">
        <v>6.5000000000000002E-2</v>
      </c>
      <c r="BK298">
        <v>5.7000000000000002E-2</v>
      </c>
      <c r="BL298">
        <v>7.8E-2</v>
      </c>
      <c r="BM298">
        <v>7.8E-2</v>
      </c>
      <c r="BN298">
        <v>5.2999999999999999E-2</v>
      </c>
      <c r="BO298">
        <v>5.8999999999999997E-2</v>
      </c>
      <c r="BP298">
        <v>5.5E-2</v>
      </c>
      <c r="BQ298">
        <v>0.04</v>
      </c>
      <c r="BR298">
        <v>6.7000000000000004E-2</v>
      </c>
      <c r="BS298">
        <v>7.1999999999999995E-2</v>
      </c>
      <c r="BT298">
        <v>5.6000000000000001E-2</v>
      </c>
      <c r="BU298">
        <v>5.3999999999999999E-2</v>
      </c>
      <c r="BV298">
        <v>0.06</v>
      </c>
      <c r="BW298">
        <v>7.2999999999999995E-2</v>
      </c>
      <c r="BX298">
        <v>8.5000000000000006E-2</v>
      </c>
      <c r="BY298">
        <v>7.9000000000000001E-2</v>
      </c>
      <c r="BZ298">
        <v>1.4191183499999999E-2</v>
      </c>
      <c r="CA298">
        <v>2465.8041661091115</v>
      </c>
      <c r="CB298">
        <v>1.4949792E-2</v>
      </c>
      <c r="CC298">
        <v>2.1671208000000001E-2</v>
      </c>
      <c r="CD298">
        <v>2.135484E-2</v>
      </c>
      <c r="CE298">
        <v>7.6417380000000003E-3</v>
      </c>
      <c r="CF298">
        <v>1.3181999999999999E-2</v>
      </c>
      <c r="CG298">
        <v>7.3492380000000001E-3</v>
      </c>
      <c r="CH298">
        <v>2.3253047999999998E-2</v>
      </c>
      <c r="CI298">
        <v>1.4869296000000001E-2</v>
      </c>
      <c r="CJ298">
        <v>6.8651959999999996E-3</v>
      </c>
      <c r="CK298">
        <v>1.1403755999999999E-2</v>
      </c>
      <c r="CL298">
        <v>8.5728499999999999E-3</v>
      </c>
      <c r="CM298">
        <v>7.3216000000000002E-3</v>
      </c>
      <c r="CN298">
        <v>1.4355822000000001E-2</v>
      </c>
      <c r="CO298">
        <v>2.2104576000000001E-2</v>
      </c>
      <c r="CP298">
        <v>9.0504959999999999E-3</v>
      </c>
      <c r="CQ298">
        <v>7.8848640000000001E-3</v>
      </c>
      <c r="CR298">
        <v>9.9215999999999992E-3</v>
      </c>
      <c r="CS298">
        <v>1.8981898000000001E-2</v>
      </c>
      <c r="CT298">
        <v>2.3293399999999999E-2</v>
      </c>
      <c r="CU298">
        <v>1.9796451999999999E-2</v>
      </c>
    </row>
    <row r="299" spans="1:99" x14ac:dyDescent="0.25">
      <c r="A299" t="s">
        <v>138</v>
      </c>
      <c r="B299" t="s">
        <v>196</v>
      </c>
      <c r="C299" t="s">
        <v>197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98736</v>
      </c>
      <c r="N299">
        <v>70329.834791028101</v>
      </c>
      <c r="O299">
        <v>25</v>
      </c>
      <c r="P299">
        <v>26</v>
      </c>
      <c r="Q299">
        <v>51</v>
      </c>
      <c r="R299">
        <v>0.106</v>
      </c>
      <c r="S299">
        <v>0.13500000000000001</v>
      </c>
      <c r="T299">
        <v>0.13700000000000001</v>
      </c>
      <c r="U299">
        <v>0.17100000000000001</v>
      </c>
      <c r="V299">
        <v>0.124</v>
      </c>
      <c r="W299">
        <v>0.219</v>
      </c>
      <c r="X299">
        <v>0.128</v>
      </c>
      <c r="Y299">
        <v>0.10299999999999999</v>
      </c>
      <c r="Z299">
        <v>0.108</v>
      </c>
      <c r="AA299">
        <v>0.13600000000000001</v>
      </c>
      <c r="AB299">
        <v>0.307</v>
      </c>
      <c r="AC299">
        <v>0.246</v>
      </c>
      <c r="AD299">
        <v>0.22700000000000001</v>
      </c>
      <c r="AE299">
        <v>0.15</v>
      </c>
      <c r="AF299">
        <v>0.187</v>
      </c>
      <c r="AG299">
        <v>0.23699999999999999</v>
      </c>
      <c r="AH299">
        <v>0.20799999999999999</v>
      </c>
      <c r="AI299">
        <v>0.107</v>
      </c>
      <c r="AJ299">
        <v>0.11799999999999999</v>
      </c>
      <c r="AK299">
        <v>0.125</v>
      </c>
      <c r="BZ299">
        <v>0.11114435371295359</v>
      </c>
      <c r="CA299">
        <v>7816.7640345876162</v>
      </c>
      <c r="CB299">
        <v>3.2278340588934862E-2</v>
      </c>
      <c r="CC299">
        <v>5.7673746944497048E-2</v>
      </c>
      <c r="CD299">
        <v>5.9745676682321308E-2</v>
      </c>
      <c r="CE299">
        <v>0.10171096812044977</v>
      </c>
      <c r="CF299">
        <v>4.7031536538474132E-2</v>
      </c>
      <c r="CG299">
        <v>0.1841802248270773</v>
      </c>
      <c r="CH299">
        <v>5.0755259236681539E-2</v>
      </c>
      <c r="CI299">
        <v>3.012912106148239E-2</v>
      </c>
      <c r="CJ299">
        <v>3.3759354676859761E-2</v>
      </c>
      <c r="CK299">
        <v>5.8704379673962324E-2</v>
      </c>
      <c r="CL299">
        <v>0.41429455387624414</v>
      </c>
      <c r="CM299">
        <v>0.24345650337498176</v>
      </c>
      <c r="CN299">
        <v>0.20074243157728705</v>
      </c>
      <c r="CO299">
        <v>7.4267045120984129E-2</v>
      </c>
      <c r="CP299">
        <v>0.1260657113773983</v>
      </c>
      <c r="CQ299">
        <v>0.22262460073121362</v>
      </c>
      <c r="CR299">
        <v>0.16275304664658838</v>
      </c>
      <c r="CS299">
        <v>3.3014003242246778E-2</v>
      </c>
      <c r="CT299">
        <v>4.1753601378629192E-2</v>
      </c>
      <c r="CU299">
        <v>4.7946968582758688E-2</v>
      </c>
    </row>
    <row r="300" spans="1:99" x14ac:dyDescent="0.25">
      <c r="A300" t="s">
        <v>138</v>
      </c>
      <c r="B300" t="s">
        <v>173</v>
      </c>
      <c r="C300" t="s">
        <v>168</v>
      </c>
      <c r="D300">
        <v>-1</v>
      </c>
      <c r="E300">
        <v>19</v>
      </c>
      <c r="F300">
        <v>-1</v>
      </c>
      <c r="G300">
        <v>-1</v>
      </c>
      <c r="H300">
        <v>-1</v>
      </c>
      <c r="I300">
        <v>32</v>
      </c>
      <c r="J300">
        <v>-1</v>
      </c>
      <c r="K300">
        <v>-1</v>
      </c>
      <c r="L300">
        <v>-1</v>
      </c>
      <c r="M300">
        <v>4352</v>
      </c>
      <c r="N300">
        <v>3099.9376216431101</v>
      </c>
      <c r="O300">
        <v>-1</v>
      </c>
      <c r="P300">
        <v>-1</v>
      </c>
      <c r="Q300">
        <v>-1</v>
      </c>
      <c r="R300">
        <v>0.44600000000000001</v>
      </c>
      <c r="S300">
        <v>0.36199999999999999</v>
      </c>
      <c r="T300">
        <v>0.55200000000000005</v>
      </c>
      <c r="U300">
        <v>0.42</v>
      </c>
      <c r="V300">
        <v>0.38900000000000001</v>
      </c>
      <c r="W300">
        <v>0.315</v>
      </c>
      <c r="X300">
        <v>0.38200000000000001</v>
      </c>
      <c r="Y300">
        <v>0.374</v>
      </c>
      <c r="Z300">
        <v>0.41799999999999998</v>
      </c>
      <c r="AA300">
        <v>0.42499999999999999</v>
      </c>
      <c r="AB300">
        <v>0.38700000000000001</v>
      </c>
      <c r="AC300">
        <v>0.39100000000000001</v>
      </c>
      <c r="AD300">
        <v>0.36099999999999999</v>
      </c>
      <c r="AE300">
        <v>0.40100000000000002</v>
      </c>
      <c r="AF300">
        <v>0.38100000000000001</v>
      </c>
      <c r="AG300">
        <v>0.56000000000000005</v>
      </c>
      <c r="AH300">
        <v>0.42699999999999999</v>
      </c>
      <c r="AI300">
        <v>0.41</v>
      </c>
      <c r="AJ300">
        <v>0.37</v>
      </c>
      <c r="AK300">
        <v>0.39100000000000001</v>
      </c>
      <c r="AL300" t="s">
        <v>169</v>
      </c>
      <c r="AM300" t="s">
        <v>169</v>
      </c>
      <c r="AN300" t="s">
        <v>169</v>
      </c>
      <c r="AO300" t="s">
        <v>169</v>
      </c>
      <c r="AP300" t="s">
        <v>169</v>
      </c>
      <c r="AQ300" t="s">
        <v>169</v>
      </c>
      <c r="AR300" t="s">
        <v>169</v>
      </c>
      <c r="AS300" t="s">
        <v>169</v>
      </c>
      <c r="AT300" t="s">
        <v>169</v>
      </c>
      <c r="AU300" t="s">
        <v>169</v>
      </c>
      <c r="AV300" t="s">
        <v>169</v>
      </c>
      <c r="AW300" t="s">
        <v>169</v>
      </c>
      <c r="AX300" t="s">
        <v>169</v>
      </c>
      <c r="AY300" t="s">
        <v>169</v>
      </c>
      <c r="AZ300" t="s">
        <v>169</v>
      </c>
      <c r="BA300" t="s">
        <v>169</v>
      </c>
      <c r="BB300" t="s">
        <v>169</v>
      </c>
      <c r="BC300" t="s">
        <v>169</v>
      </c>
      <c r="BD300" t="s">
        <v>169</v>
      </c>
      <c r="BE300" t="s">
        <v>169</v>
      </c>
      <c r="BZ300">
        <v>0.16955121861871303</v>
      </c>
      <c r="CA300">
        <v>525.59820139158433</v>
      </c>
      <c r="CB300">
        <v>0.213200504996995</v>
      </c>
      <c r="CC300">
        <v>9.3111187390138905E-2</v>
      </c>
      <c r="CD300">
        <v>0.49708078847157</v>
      </c>
      <c r="CE300">
        <v>0.16796876259736301</v>
      </c>
      <c r="CF300">
        <v>0.123887861734121</v>
      </c>
      <c r="CG300">
        <v>5.3607029001190201E-2</v>
      </c>
      <c r="CH300">
        <v>0.115271087575072</v>
      </c>
      <c r="CI300">
        <v>0.10598126541873</v>
      </c>
      <c r="CJ300">
        <v>0.164815737679887</v>
      </c>
      <c r="CK300">
        <v>0.17604872829895499</v>
      </c>
      <c r="CL300">
        <v>0.121378389582547</v>
      </c>
      <c r="CM300">
        <v>0.126435947311136</v>
      </c>
      <c r="CN300">
        <v>9.2094232210272894E-2</v>
      </c>
      <c r="CO300">
        <v>0.13976936730923001</v>
      </c>
      <c r="CP300">
        <v>0.114077762229817</v>
      </c>
      <c r="CQ300">
        <v>0.52630234754966199</v>
      </c>
      <c r="CR300">
        <v>0.17936078822020901</v>
      </c>
      <c r="CS300">
        <v>0.15264435606058199</v>
      </c>
      <c r="CT300">
        <v>0.101552281425646</v>
      </c>
      <c r="CU300">
        <v>0.126435947311136</v>
      </c>
    </row>
    <row r="301" spans="1:99" x14ac:dyDescent="0.25">
      <c r="A301" t="s">
        <v>138</v>
      </c>
      <c r="B301" t="s">
        <v>179</v>
      </c>
      <c r="C301" t="s">
        <v>158</v>
      </c>
      <c r="D301">
        <v>-1</v>
      </c>
      <c r="E301">
        <v>33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8448</v>
      </c>
      <c r="N301">
        <v>6017.5259714248696</v>
      </c>
      <c r="O301">
        <v>-1</v>
      </c>
      <c r="P301">
        <v>-1</v>
      </c>
      <c r="Q301">
        <v>-1</v>
      </c>
      <c r="R301">
        <v>0.70899999999999996</v>
      </c>
      <c r="S301">
        <v>0.61899999999999999</v>
      </c>
      <c r="T301">
        <v>0.47</v>
      </c>
      <c r="U301">
        <v>0.78</v>
      </c>
      <c r="V301">
        <v>0.45200000000000001</v>
      </c>
      <c r="W301">
        <v>0.91800000000000004</v>
      </c>
      <c r="X301">
        <v>0.72599999999999998</v>
      </c>
      <c r="Y301">
        <v>0.622</v>
      </c>
      <c r="Z301">
        <v>0.51800000000000002</v>
      </c>
      <c r="AA301">
        <v>0.51500000000000001</v>
      </c>
      <c r="AB301">
        <v>0.56699999999999995</v>
      </c>
      <c r="AC301">
        <v>1.1739999999999999</v>
      </c>
      <c r="AD301">
        <v>0.59599999999999997</v>
      </c>
      <c r="AE301">
        <v>0.61099999999999999</v>
      </c>
      <c r="AF301">
        <v>0.70599999999999996</v>
      </c>
      <c r="AG301">
        <v>0.96299999999999997</v>
      </c>
      <c r="AH301">
        <v>0.871</v>
      </c>
      <c r="AI301">
        <v>0.502</v>
      </c>
      <c r="AJ301">
        <v>0.48899999999999999</v>
      </c>
      <c r="AK301">
        <v>0.87</v>
      </c>
      <c r="AL301" t="s">
        <v>159</v>
      </c>
      <c r="AM301" t="s">
        <v>159</v>
      </c>
      <c r="AN301" t="s">
        <v>159</v>
      </c>
      <c r="AO301" t="s">
        <v>159</v>
      </c>
      <c r="AP301" t="s">
        <v>159</v>
      </c>
      <c r="AQ301" t="s">
        <v>159</v>
      </c>
      <c r="AR301" t="s">
        <v>159</v>
      </c>
      <c r="AS301" t="s">
        <v>159</v>
      </c>
      <c r="AT301" t="s">
        <v>159</v>
      </c>
      <c r="AU301" t="s">
        <v>159</v>
      </c>
      <c r="AV301" t="s">
        <v>159</v>
      </c>
      <c r="AW301" t="s">
        <v>159</v>
      </c>
      <c r="AX301" t="s">
        <v>159</v>
      </c>
      <c r="AY301" t="s">
        <v>159</v>
      </c>
      <c r="AZ301" t="s">
        <v>159</v>
      </c>
      <c r="BA301" t="s">
        <v>159</v>
      </c>
      <c r="BB301" t="s">
        <v>159</v>
      </c>
      <c r="BC301" t="s">
        <v>159</v>
      </c>
      <c r="BD301" t="s">
        <v>159</v>
      </c>
      <c r="BE301" t="s">
        <v>159</v>
      </c>
      <c r="BZ301">
        <v>2.048448421982386</v>
      </c>
      <c r="CA301">
        <v>12326.591580403297</v>
      </c>
      <c r="CB301">
        <v>1.8707224684938999</v>
      </c>
      <c r="CC301">
        <v>1.2722589002190801</v>
      </c>
      <c r="CD301">
        <v>0.58201204281102603</v>
      </c>
      <c r="CE301">
        <v>2.4531422151192999</v>
      </c>
      <c r="CF301">
        <v>0.52091541503700001</v>
      </c>
      <c r="CG301">
        <v>3.89625407140226</v>
      </c>
      <c r="CH301">
        <v>2.0009399592780901</v>
      </c>
      <c r="CI301">
        <v>1.2898486308599399</v>
      </c>
      <c r="CJ301">
        <v>0.76713283543983601</v>
      </c>
      <c r="CK301">
        <v>0.75458224977384802</v>
      </c>
      <c r="CL301">
        <v>0.991630649935898</v>
      </c>
      <c r="CM301">
        <v>7.8348637739200804</v>
      </c>
      <c r="CN301">
        <v>1.1425453105863099</v>
      </c>
      <c r="CO301">
        <v>1.22611467832177</v>
      </c>
      <c r="CP301">
        <v>1.84832954432286</v>
      </c>
      <c r="CQ301">
        <v>4.4634709228923404</v>
      </c>
      <c r="CR301">
        <v>3.3560283024314699</v>
      </c>
      <c r="CS301">
        <v>0.70173414859767402</v>
      </c>
      <c r="CT301">
        <v>0.65134519607563202</v>
      </c>
      <c r="CU301">
        <v>3.3450971241294001</v>
      </c>
    </row>
    <row r="302" spans="1:99" x14ac:dyDescent="0.25">
      <c r="A302" t="s">
        <v>138</v>
      </c>
      <c r="B302" t="s">
        <v>167</v>
      </c>
      <c r="C302" t="s">
        <v>168</v>
      </c>
      <c r="D302">
        <v>-1</v>
      </c>
      <c r="E302">
        <v>2</v>
      </c>
      <c r="F302">
        <v>-1</v>
      </c>
      <c r="G302">
        <v>-1</v>
      </c>
      <c r="H302">
        <v>-1</v>
      </c>
      <c r="I302">
        <v>4</v>
      </c>
      <c r="J302">
        <v>-1</v>
      </c>
      <c r="K302">
        <v>-1</v>
      </c>
      <c r="L302">
        <v>-1</v>
      </c>
      <c r="M302">
        <v>512</v>
      </c>
      <c r="N302">
        <v>364.69854372271902</v>
      </c>
      <c r="O302">
        <v>-1</v>
      </c>
      <c r="P302">
        <v>-1</v>
      </c>
      <c r="Q302">
        <v>-1</v>
      </c>
      <c r="R302">
        <v>0.505</v>
      </c>
      <c r="S302">
        <v>0.65500000000000003</v>
      </c>
      <c r="T302">
        <v>0.505</v>
      </c>
      <c r="U302">
        <v>0.40899999999999997</v>
      </c>
      <c r="V302">
        <v>0.63100000000000001</v>
      </c>
      <c r="W302">
        <v>0.59499999999999997</v>
      </c>
      <c r="AL302" t="s">
        <v>169</v>
      </c>
      <c r="AM302" t="s">
        <v>169</v>
      </c>
      <c r="AN302" t="s">
        <v>169</v>
      </c>
      <c r="AO302" t="s">
        <v>169</v>
      </c>
      <c r="AP302" t="s">
        <v>169</v>
      </c>
      <c r="AQ302" t="s">
        <v>169</v>
      </c>
      <c r="BZ302">
        <v>1.0934180984162738</v>
      </c>
      <c r="CA302">
        <v>398.7679881724797</v>
      </c>
      <c r="CB302">
        <v>0.83570479796318897</v>
      </c>
      <c r="CC302">
        <v>1.63905374036364</v>
      </c>
      <c r="CD302">
        <v>0.83570479796318897</v>
      </c>
      <c r="CE302">
        <v>0.48405152640721499</v>
      </c>
      <c r="CF302">
        <v>1.4880045756176099</v>
      </c>
      <c r="CG302">
        <v>1.2779891521828</v>
      </c>
    </row>
    <row r="303" spans="1:99" x14ac:dyDescent="0.25">
      <c r="A303" t="s">
        <v>138</v>
      </c>
      <c r="B303" t="s">
        <v>166</v>
      </c>
      <c r="C303" t="s">
        <v>154</v>
      </c>
      <c r="D303">
        <v>-1</v>
      </c>
      <c r="E303">
        <v>1</v>
      </c>
      <c r="F303">
        <v>0</v>
      </c>
      <c r="G303">
        <v>-1</v>
      </c>
      <c r="H303">
        <v>-1</v>
      </c>
      <c r="I303">
        <v>1</v>
      </c>
      <c r="J303">
        <v>1</v>
      </c>
      <c r="K303">
        <v>-1</v>
      </c>
      <c r="L303">
        <v>-1</v>
      </c>
      <c r="M303">
        <v>256</v>
      </c>
      <c r="N303">
        <v>182.34927186135999</v>
      </c>
      <c r="O303">
        <v>-1</v>
      </c>
      <c r="P303">
        <v>-1</v>
      </c>
      <c r="Q303">
        <v>-1</v>
      </c>
      <c r="R303">
        <v>0.95899999999999996</v>
      </c>
      <c r="S303">
        <v>0.93500000000000005</v>
      </c>
      <c r="T303">
        <v>0.97499999999999998</v>
      </c>
      <c r="AL303" t="s">
        <v>155</v>
      </c>
      <c r="AM303" t="s">
        <v>156</v>
      </c>
      <c r="AN303" t="s">
        <v>155</v>
      </c>
      <c r="BZ303">
        <v>4.4126713569042701</v>
      </c>
      <c r="CA303">
        <v>804.64740889497307</v>
      </c>
      <c r="CB303">
        <v>4.4539845931640203</v>
      </c>
      <c r="CC303">
        <v>4.0276426873798901</v>
      </c>
      <c r="CD303">
        <v>4.7563867901689001</v>
      </c>
    </row>
    <row r="304" spans="1:99" x14ac:dyDescent="0.25">
      <c r="A304" t="s">
        <v>138</v>
      </c>
      <c r="B304" t="s">
        <v>198</v>
      </c>
      <c r="C304" t="s">
        <v>199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569184</v>
      </c>
      <c r="N304">
        <v>405430.81232475</v>
      </c>
      <c r="O304">
        <v>152</v>
      </c>
      <c r="P304">
        <v>142</v>
      </c>
      <c r="Q304">
        <v>294</v>
      </c>
      <c r="R304">
        <v>9.2999999999999999E-2</v>
      </c>
      <c r="S304">
        <v>9.1999999999999998E-2</v>
      </c>
      <c r="T304">
        <v>0.11799999999999999</v>
      </c>
      <c r="U304">
        <v>0.11700000000000001</v>
      </c>
      <c r="V304">
        <v>0.10100000000000001</v>
      </c>
      <c r="W304">
        <v>0.107</v>
      </c>
      <c r="X304">
        <v>0.1</v>
      </c>
      <c r="Y304">
        <v>0.105</v>
      </c>
      <c r="Z304">
        <v>0.111</v>
      </c>
      <c r="AA304">
        <v>9.6000000000000002E-2</v>
      </c>
      <c r="AB304">
        <v>0.107</v>
      </c>
      <c r="AC304">
        <v>0.12</v>
      </c>
      <c r="AD304">
        <v>0.108</v>
      </c>
      <c r="AE304">
        <v>0.113</v>
      </c>
      <c r="AF304">
        <v>0.104</v>
      </c>
      <c r="AG304">
        <v>0.10100000000000001</v>
      </c>
      <c r="AH304">
        <v>0.113</v>
      </c>
      <c r="AI304">
        <v>9.7000000000000003E-2</v>
      </c>
      <c r="AJ304">
        <v>0.10199999999999999</v>
      </c>
      <c r="AK304">
        <v>0.124</v>
      </c>
      <c r="BZ304">
        <v>0.16301401581609587</v>
      </c>
      <c r="CA304">
        <v>66090.904852639389</v>
      </c>
      <c r="CB304">
        <v>0.12727827420164603</v>
      </c>
      <c r="CC304">
        <v>0.12507028069583967</v>
      </c>
      <c r="CD304">
        <v>0.19713244744137251</v>
      </c>
      <c r="CE304">
        <v>0.19371264020039231</v>
      </c>
      <c r="CF304">
        <v>0.14640486397791924</v>
      </c>
      <c r="CG304">
        <v>0.16261343582795867</v>
      </c>
      <c r="CH304">
        <v>0.14386506690014328</v>
      </c>
      <c r="CI304">
        <v>0.15702041439172909</v>
      </c>
      <c r="CJ304">
        <v>0.17440424030734322</v>
      </c>
      <c r="CK304">
        <v>0.13413889927804937</v>
      </c>
      <c r="CL304">
        <v>0.16261343582795867</v>
      </c>
      <c r="CM304">
        <v>0.20415424781419131</v>
      </c>
      <c r="CN304">
        <v>0.16548421702607694</v>
      </c>
      <c r="CO304">
        <v>0.18061646856051028</v>
      </c>
      <c r="CP304">
        <v>0.15429646124708882</v>
      </c>
      <c r="CQ304">
        <v>0.14640486397791924</v>
      </c>
      <c r="CR304">
        <v>0.18061646856051028</v>
      </c>
      <c r="CS304">
        <v>0.13650699037718286</v>
      </c>
      <c r="CT304">
        <v>0.14898949868956468</v>
      </c>
      <c r="CU304">
        <v>0.21895710101852087</v>
      </c>
    </row>
    <row r="305" spans="1:99" x14ac:dyDescent="0.25">
      <c r="A305" t="s">
        <v>138</v>
      </c>
      <c r="B305" t="s">
        <v>164</v>
      </c>
      <c r="C305" t="s">
        <v>158</v>
      </c>
      <c r="D305">
        <v>-1</v>
      </c>
      <c r="E305">
        <v>8</v>
      </c>
      <c r="F305">
        <v>-1</v>
      </c>
      <c r="G305">
        <v>-1</v>
      </c>
      <c r="H305">
        <v>-1</v>
      </c>
      <c r="I305">
        <v>12</v>
      </c>
      <c r="J305">
        <v>-1</v>
      </c>
      <c r="K305">
        <v>-1</v>
      </c>
      <c r="L305">
        <v>-1</v>
      </c>
      <c r="M305">
        <v>1706.6666666666699</v>
      </c>
      <c r="N305">
        <v>1215.6618124090601</v>
      </c>
      <c r="O305">
        <v>-1</v>
      </c>
      <c r="P305">
        <v>-1</v>
      </c>
      <c r="Q305">
        <v>-1</v>
      </c>
      <c r="R305">
        <v>0.26100000000000001</v>
      </c>
      <c r="S305">
        <v>0.505</v>
      </c>
      <c r="T305">
        <v>0.46300000000000002</v>
      </c>
      <c r="U305">
        <v>0.29699999999999999</v>
      </c>
      <c r="V305">
        <v>0.38900000000000001</v>
      </c>
      <c r="W305">
        <v>0.38800000000000001</v>
      </c>
      <c r="X305">
        <v>0.33900000000000002</v>
      </c>
      <c r="Y305">
        <v>0.56200000000000006</v>
      </c>
      <c r="Z305">
        <v>0.25700000000000001</v>
      </c>
      <c r="AA305">
        <v>0.29299999999999998</v>
      </c>
      <c r="AB305">
        <v>0.49099999999999999</v>
      </c>
      <c r="AC305">
        <v>0.39500000000000002</v>
      </c>
      <c r="AD305">
        <v>0.30399999999999999</v>
      </c>
      <c r="AE305">
        <v>0.317</v>
      </c>
      <c r="AF305">
        <v>0.29799999999999999</v>
      </c>
      <c r="AG305">
        <v>0.28899999999999998</v>
      </c>
      <c r="AH305">
        <v>0.44700000000000001</v>
      </c>
      <c r="AI305">
        <v>0.30399999999999999</v>
      </c>
      <c r="AJ305">
        <v>0.39700000000000002</v>
      </c>
      <c r="AK305">
        <v>0.49199999999999999</v>
      </c>
      <c r="AL305" t="s">
        <v>159</v>
      </c>
      <c r="AM305" t="s">
        <v>159</v>
      </c>
      <c r="AN305" t="s">
        <v>159</v>
      </c>
      <c r="AO305" t="s">
        <v>159</v>
      </c>
      <c r="AP305" t="s">
        <v>159</v>
      </c>
      <c r="AQ305" t="s">
        <v>159</v>
      </c>
      <c r="AR305" t="s">
        <v>159</v>
      </c>
      <c r="AS305" t="s">
        <v>159</v>
      </c>
      <c r="AT305" t="s">
        <v>159</v>
      </c>
      <c r="AU305" t="s">
        <v>159</v>
      </c>
      <c r="AV305" t="s">
        <v>159</v>
      </c>
      <c r="AW305" t="s">
        <v>159</v>
      </c>
      <c r="AX305" t="s">
        <v>159</v>
      </c>
      <c r="AY305" t="s">
        <v>159</v>
      </c>
      <c r="AZ305" t="s">
        <v>159</v>
      </c>
      <c r="BA305" t="s">
        <v>159</v>
      </c>
      <c r="BB305" t="s">
        <v>159</v>
      </c>
      <c r="BC305" t="s">
        <v>159</v>
      </c>
      <c r="BD305" t="s">
        <v>159</v>
      </c>
      <c r="BE305" t="s">
        <v>159</v>
      </c>
      <c r="BZ305">
        <v>1.3960960955799095</v>
      </c>
      <c r="CA305">
        <v>1697.1807098498853</v>
      </c>
      <c r="CB305">
        <v>0.50339293784214301</v>
      </c>
      <c r="CC305">
        <v>2.6738301838295002</v>
      </c>
      <c r="CD305">
        <v>2.1464784971809499</v>
      </c>
      <c r="CE305">
        <v>0.69804022799210996</v>
      </c>
      <c r="CF305">
        <v>1.3815898254923</v>
      </c>
      <c r="CG305">
        <v>1.3726218271622199</v>
      </c>
      <c r="CH305">
        <v>0.97546540427839601</v>
      </c>
      <c r="CI305">
        <v>3.5046085271018801</v>
      </c>
      <c r="CJ305">
        <v>0.48410262431156198</v>
      </c>
      <c r="CK305">
        <v>0.67449962789376405</v>
      </c>
      <c r="CL305">
        <v>2.4902492042461999</v>
      </c>
      <c r="CM305">
        <v>1.4361416809524801</v>
      </c>
      <c r="CN305">
        <v>0.74041771577438797</v>
      </c>
      <c r="CO305">
        <v>0.82316437806424703</v>
      </c>
      <c r="CP305">
        <v>0.704001821854362</v>
      </c>
      <c r="CQ305">
        <v>0.65144563297581304</v>
      </c>
      <c r="CR305">
        <v>1.9637430836057901</v>
      </c>
      <c r="CS305">
        <v>0.74041771577438797</v>
      </c>
      <c r="CT305">
        <v>1.45461016125359</v>
      </c>
      <c r="CU305">
        <v>2.5031008340121002</v>
      </c>
    </row>
    <row r="306" spans="1:99" x14ac:dyDescent="0.25">
      <c r="A306" t="s">
        <v>138</v>
      </c>
      <c r="B306" t="s">
        <v>200</v>
      </c>
      <c r="C306" t="s">
        <v>192</v>
      </c>
      <c r="D306">
        <v>-1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11616</v>
      </c>
      <c r="N306">
        <v>8274.0982107091895</v>
      </c>
      <c r="O306">
        <v>2</v>
      </c>
      <c r="P306">
        <v>4</v>
      </c>
      <c r="Q306">
        <v>6</v>
      </c>
      <c r="R306">
        <v>0.11</v>
      </c>
      <c r="S306">
        <v>0.113</v>
      </c>
      <c r="T306">
        <v>8.3000000000000004E-2</v>
      </c>
      <c r="U306">
        <v>9.6000000000000002E-2</v>
      </c>
      <c r="V306">
        <v>0.12</v>
      </c>
      <c r="W306">
        <v>9.6000000000000002E-2</v>
      </c>
      <c r="BZ306">
        <v>2.2810520000000001E-2</v>
      </c>
      <c r="CA306">
        <v>188.73648271734618</v>
      </c>
      <c r="CB306">
        <v>2.6620000000000001E-2</v>
      </c>
      <c r="CC306">
        <v>2.8857939999999999E-2</v>
      </c>
      <c r="CD306">
        <v>1.143574E-2</v>
      </c>
      <c r="CE306">
        <v>1.7694720000000001E-2</v>
      </c>
      <c r="CF306">
        <v>3.456E-2</v>
      </c>
      <c r="CG306">
        <v>1.7694720000000001E-2</v>
      </c>
    </row>
    <row r="307" spans="1:99" x14ac:dyDescent="0.25">
      <c r="A307" t="s">
        <v>138</v>
      </c>
      <c r="B307" t="s">
        <v>163</v>
      </c>
      <c r="C307" t="s">
        <v>158</v>
      </c>
      <c r="D307">
        <v>-1</v>
      </c>
      <c r="E307">
        <v>68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17408</v>
      </c>
      <c r="N307">
        <v>12399.7504865725</v>
      </c>
      <c r="O307">
        <v>-1</v>
      </c>
      <c r="P307">
        <v>-1</v>
      </c>
      <c r="Q307">
        <v>-1</v>
      </c>
      <c r="R307">
        <v>0.51</v>
      </c>
      <c r="S307">
        <v>0.498</v>
      </c>
      <c r="T307">
        <v>0.53500000000000003</v>
      </c>
      <c r="U307">
        <v>0.78700000000000003</v>
      </c>
      <c r="V307">
        <v>0.63800000000000001</v>
      </c>
      <c r="W307">
        <v>0.65600000000000003</v>
      </c>
      <c r="X307">
        <v>0.77800000000000002</v>
      </c>
      <c r="Y307">
        <v>0.38500000000000001</v>
      </c>
      <c r="Z307">
        <v>0.68600000000000005</v>
      </c>
      <c r="AA307">
        <v>0.74</v>
      </c>
      <c r="AB307">
        <v>0.70899999999999996</v>
      </c>
      <c r="AC307">
        <v>0.71299999999999997</v>
      </c>
      <c r="AD307">
        <v>0.35099999999999998</v>
      </c>
      <c r="AE307">
        <v>0.66800000000000004</v>
      </c>
      <c r="AF307">
        <v>0.44400000000000001</v>
      </c>
      <c r="AG307">
        <v>0.58199999999999996</v>
      </c>
      <c r="AH307">
        <v>0.61899999999999999</v>
      </c>
      <c r="AI307">
        <v>0.59199999999999997</v>
      </c>
      <c r="AJ307">
        <v>0.64100000000000001</v>
      </c>
      <c r="AK307">
        <v>0.44700000000000001</v>
      </c>
      <c r="AL307" t="s">
        <v>159</v>
      </c>
      <c r="AM307" t="s">
        <v>159</v>
      </c>
      <c r="AN307" t="s">
        <v>159</v>
      </c>
      <c r="AO307" t="s">
        <v>159</v>
      </c>
      <c r="AP307" t="s">
        <v>159</v>
      </c>
      <c r="AQ307" t="s">
        <v>159</v>
      </c>
      <c r="AR307" t="s">
        <v>159</v>
      </c>
      <c r="AS307" t="s">
        <v>159</v>
      </c>
      <c r="AT307" t="s">
        <v>159</v>
      </c>
      <c r="AU307" t="s">
        <v>159</v>
      </c>
      <c r="AV307" t="s">
        <v>159</v>
      </c>
      <c r="AW307" t="s">
        <v>159</v>
      </c>
      <c r="AX307" t="s">
        <v>159</v>
      </c>
      <c r="AY307" t="s">
        <v>159</v>
      </c>
      <c r="AZ307" t="s">
        <v>159</v>
      </c>
      <c r="BA307" t="s">
        <v>159</v>
      </c>
      <c r="BB307" t="s">
        <v>159</v>
      </c>
      <c r="BC307" t="s">
        <v>159</v>
      </c>
      <c r="BD307" t="s">
        <v>159</v>
      </c>
      <c r="BE307" t="s">
        <v>159</v>
      </c>
      <c r="BZ307">
        <v>1.7751707590370018</v>
      </c>
      <c r="CA307">
        <v>22011.674483118339</v>
      </c>
      <c r="CB307">
        <v>0.92777213093307997</v>
      </c>
      <c r="CC307">
        <v>0.85991210861310496</v>
      </c>
      <c r="CD307">
        <v>1.0807892730931199</v>
      </c>
      <c r="CE307">
        <v>3.7021316393417298</v>
      </c>
      <c r="CF307">
        <v>1.8952671103233301</v>
      </c>
      <c r="CG307">
        <v>2.0711698172922199</v>
      </c>
      <c r="CH307">
        <v>3.5687602699988998</v>
      </c>
      <c r="CI307">
        <v>0.37836607350699297</v>
      </c>
      <c r="CJ307">
        <v>2.38872629397203</v>
      </c>
      <c r="CK307">
        <v>3.0418769845616001</v>
      </c>
      <c r="CL307">
        <v>2.6537129954369099</v>
      </c>
      <c r="CM307">
        <v>2.70176804766233</v>
      </c>
      <c r="CN307">
        <v>0.28172290793110799</v>
      </c>
      <c r="CO307">
        <v>2.19446862651712</v>
      </c>
      <c r="CP307">
        <v>0.59627161504180504</v>
      </c>
      <c r="CQ307">
        <v>1.4138286630433901</v>
      </c>
      <c r="CR307">
        <v>1.7210188668781801</v>
      </c>
      <c r="CS307">
        <v>1.49278995978344</v>
      </c>
      <c r="CT307">
        <v>1.92384276825684</v>
      </c>
      <c r="CU307">
        <v>0.60921902855280696</v>
      </c>
    </row>
    <row r="308" spans="1:99" x14ac:dyDescent="0.25">
      <c r="A308" t="s">
        <v>138</v>
      </c>
      <c r="B308" t="s">
        <v>201</v>
      </c>
      <c r="C308" t="s">
        <v>192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183920</v>
      </c>
      <c r="N308">
        <v>131006.555002896</v>
      </c>
      <c r="O308">
        <v>49</v>
      </c>
      <c r="P308">
        <v>46</v>
      </c>
      <c r="Q308">
        <v>95</v>
      </c>
      <c r="R308">
        <v>0.157</v>
      </c>
      <c r="S308">
        <v>0.13300000000000001</v>
      </c>
      <c r="T308">
        <v>0.15</v>
      </c>
      <c r="U308">
        <v>0.158</v>
      </c>
      <c r="V308">
        <v>0.152</v>
      </c>
      <c r="W308">
        <v>0.16200000000000001</v>
      </c>
      <c r="X308">
        <v>0.17199999999999999</v>
      </c>
      <c r="Y308">
        <v>0.15</v>
      </c>
      <c r="Z308">
        <v>0.13200000000000001</v>
      </c>
      <c r="AA308">
        <v>0.14899999999999999</v>
      </c>
      <c r="AB308">
        <v>0.17699999999999999</v>
      </c>
      <c r="AC308">
        <v>0.14799999999999999</v>
      </c>
      <c r="AD308">
        <v>0.123</v>
      </c>
      <c r="AE308">
        <v>0.161</v>
      </c>
      <c r="AF308">
        <v>0.153</v>
      </c>
      <c r="AG308">
        <v>0.13900000000000001</v>
      </c>
      <c r="AH308">
        <v>0.19</v>
      </c>
      <c r="AI308">
        <v>0.16700000000000001</v>
      </c>
      <c r="AJ308">
        <v>0.17799999999999999</v>
      </c>
      <c r="AK308">
        <v>0.17499999999999999</v>
      </c>
      <c r="BZ308">
        <v>1.2024781429499998E-2</v>
      </c>
      <c r="CA308">
        <v>1575.3251897415939</v>
      </c>
      <c r="CB308">
        <v>1.1783824185E-2</v>
      </c>
      <c r="CC308">
        <v>7.1637796649999998E-3</v>
      </c>
      <c r="CD308">
        <v>1.0276875E-2</v>
      </c>
      <c r="CE308">
        <v>1.2010430040000001E-2</v>
      </c>
      <c r="CF308">
        <v>1.069345536E-2</v>
      </c>
      <c r="CG308">
        <v>1.2945902759999999E-2</v>
      </c>
      <c r="CH308">
        <v>1.549432416E-2</v>
      </c>
      <c r="CI308">
        <v>1.0276875E-2</v>
      </c>
      <c r="CJ308">
        <v>7.0034025600000001E-3</v>
      </c>
      <c r="CK308">
        <v>1.0072704704999999E-2</v>
      </c>
      <c r="CL308">
        <v>1.6885234485000001E-2</v>
      </c>
      <c r="CM308">
        <v>9.8712566399999993E-3</v>
      </c>
      <c r="CN308">
        <v>5.6663400150000001E-3</v>
      </c>
      <c r="CO308">
        <v>1.2707640645000001E-2</v>
      </c>
      <c r="CP308">
        <v>1.0905901964999999E-2</v>
      </c>
      <c r="CQ308">
        <v>8.1777098549999996E-3</v>
      </c>
      <c r="CR308">
        <v>2.0885654999999999E-2</v>
      </c>
      <c r="CS308">
        <v>1.4181974835E-2</v>
      </c>
      <c r="CT308">
        <v>1.7173044839999999E-2</v>
      </c>
      <c r="CU308">
        <v>1.6319296875E-2</v>
      </c>
    </row>
    <row r="309" spans="1:99" x14ac:dyDescent="0.25">
      <c r="A309" t="s">
        <v>138</v>
      </c>
      <c r="B309" t="s">
        <v>202</v>
      </c>
      <c r="C309" t="s">
        <v>192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199408</v>
      </c>
      <c r="N309">
        <v>142038.68595050799</v>
      </c>
      <c r="O309">
        <v>58</v>
      </c>
      <c r="P309">
        <v>45</v>
      </c>
      <c r="Q309">
        <v>103</v>
      </c>
      <c r="R309">
        <v>8.5000000000000006E-2</v>
      </c>
      <c r="S309">
        <v>0.1</v>
      </c>
      <c r="T309">
        <v>9.9000000000000005E-2</v>
      </c>
      <c r="U309">
        <v>8.8999999999999996E-2</v>
      </c>
      <c r="V309">
        <v>8.7999999999999995E-2</v>
      </c>
      <c r="W309">
        <v>8.7999999999999995E-2</v>
      </c>
      <c r="X309">
        <v>9.4E-2</v>
      </c>
      <c r="Y309">
        <v>9.5000000000000001E-2</v>
      </c>
      <c r="Z309">
        <v>8.6999999999999994E-2</v>
      </c>
      <c r="AA309">
        <v>0.14799999999999999</v>
      </c>
      <c r="AB309">
        <v>9.0999999999999998E-2</v>
      </c>
      <c r="AC309">
        <v>8.5000000000000006E-2</v>
      </c>
      <c r="AD309">
        <v>0.11600000000000001</v>
      </c>
      <c r="AE309">
        <v>9.1999999999999998E-2</v>
      </c>
      <c r="AF309">
        <v>7.3999999999999996E-2</v>
      </c>
      <c r="AG309">
        <v>8.1000000000000003E-2</v>
      </c>
      <c r="AH309">
        <v>0.11</v>
      </c>
      <c r="AI309">
        <v>0.09</v>
      </c>
      <c r="AJ309">
        <v>9.8000000000000004E-2</v>
      </c>
      <c r="AK309">
        <v>8.7999999999999995E-2</v>
      </c>
      <c r="BZ309">
        <v>1.8567199999999996E-3</v>
      </c>
      <c r="CA309">
        <v>263.72606897802717</v>
      </c>
      <c r="CB309">
        <v>1.22825E-3</v>
      </c>
      <c r="CC309">
        <v>2E-3</v>
      </c>
      <c r="CD309">
        <v>1.940598E-3</v>
      </c>
      <c r="CE309">
        <v>1.4099379999999999E-3</v>
      </c>
      <c r="CF309">
        <v>1.362944E-3</v>
      </c>
      <c r="CG309">
        <v>1.362944E-3</v>
      </c>
      <c r="CH309">
        <v>1.661168E-3</v>
      </c>
      <c r="CI309">
        <v>1.7147499999999999E-3</v>
      </c>
      <c r="CJ309">
        <v>1.3170059999999999E-3</v>
      </c>
      <c r="CK309">
        <v>6.4835839999999997E-3</v>
      </c>
      <c r="CL309">
        <v>1.5071419999999999E-3</v>
      </c>
      <c r="CM309">
        <v>1.22825E-3</v>
      </c>
      <c r="CN309">
        <v>3.121792E-3</v>
      </c>
      <c r="CO309">
        <v>1.5573760000000001E-3</v>
      </c>
      <c r="CP309">
        <v>8.1044799999999996E-4</v>
      </c>
      <c r="CQ309">
        <v>1.062882E-3</v>
      </c>
      <c r="CR309">
        <v>2.6619999999999999E-3</v>
      </c>
      <c r="CS309">
        <v>1.4580000000000001E-3</v>
      </c>
      <c r="CT309">
        <v>1.882384E-3</v>
      </c>
      <c r="CU309">
        <v>1.362944E-3</v>
      </c>
    </row>
    <row r="310" spans="1:99" x14ac:dyDescent="0.25">
      <c r="A310" t="s">
        <v>138</v>
      </c>
      <c r="B310" t="s">
        <v>203</v>
      </c>
      <c r="C310" t="s">
        <v>192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1936</v>
      </c>
      <c r="N310">
        <v>1379.0163684515301</v>
      </c>
      <c r="O310">
        <v>1</v>
      </c>
      <c r="P310">
        <v>0</v>
      </c>
      <c r="Q310">
        <v>1</v>
      </c>
      <c r="R310">
        <v>0.10199999999999999</v>
      </c>
      <c r="BZ310">
        <v>2.1224159999999998E-3</v>
      </c>
      <c r="CA310">
        <v>2.9268464046634222</v>
      </c>
      <c r="CB310">
        <v>2.1224159999999998E-3</v>
      </c>
    </row>
    <row r="311" spans="1:99" x14ac:dyDescent="0.25">
      <c r="A311" t="s">
        <v>138</v>
      </c>
      <c r="B311" t="s">
        <v>204</v>
      </c>
      <c r="C311" t="s">
        <v>192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25168</v>
      </c>
      <c r="N311">
        <v>17927.2127898699</v>
      </c>
      <c r="O311">
        <v>7</v>
      </c>
      <c r="P311">
        <v>6</v>
      </c>
      <c r="Q311">
        <v>13</v>
      </c>
      <c r="R311">
        <v>0.128</v>
      </c>
      <c r="S311">
        <v>0.16</v>
      </c>
      <c r="T311">
        <v>0.129</v>
      </c>
      <c r="U311">
        <v>0.11899999999999999</v>
      </c>
      <c r="V311">
        <v>0.125</v>
      </c>
      <c r="W311">
        <v>0.11899999999999999</v>
      </c>
      <c r="X311">
        <v>0.13300000000000001</v>
      </c>
      <c r="Y311">
        <v>0.125</v>
      </c>
      <c r="Z311">
        <v>0.121</v>
      </c>
      <c r="AA311">
        <v>0.11600000000000001</v>
      </c>
      <c r="AB311">
        <v>0.14099999999999999</v>
      </c>
      <c r="AC311">
        <v>0.12</v>
      </c>
      <c r="AD311">
        <v>0.122</v>
      </c>
      <c r="BZ311">
        <v>4.2536264615384619E-3</v>
      </c>
      <c r="CA311">
        <v>76.255666704621362</v>
      </c>
      <c r="CB311">
        <v>4.1943040000000003E-3</v>
      </c>
      <c r="CC311">
        <v>8.1919999999999996E-3</v>
      </c>
      <c r="CD311">
        <v>4.2933779999999996E-3</v>
      </c>
      <c r="CE311">
        <v>3.3703180000000002E-3</v>
      </c>
      <c r="CF311">
        <v>3.90625E-3</v>
      </c>
      <c r="CG311">
        <v>3.3703180000000002E-3</v>
      </c>
      <c r="CH311">
        <v>4.7052739999999997E-3</v>
      </c>
      <c r="CI311">
        <v>3.90625E-3</v>
      </c>
      <c r="CJ311">
        <v>3.5431220000000001E-3</v>
      </c>
      <c r="CK311">
        <v>3.121792E-3</v>
      </c>
      <c r="CL311">
        <v>5.6064419999999997E-3</v>
      </c>
      <c r="CM311">
        <v>3.4559999999999999E-3</v>
      </c>
      <c r="CN311">
        <v>3.6316959999999998E-3</v>
      </c>
    </row>
    <row r="312" spans="1:99" x14ac:dyDescent="0.25">
      <c r="A312" t="s">
        <v>138</v>
      </c>
      <c r="B312" t="s">
        <v>216</v>
      </c>
      <c r="C312" t="s">
        <v>192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19360</v>
      </c>
      <c r="N312">
        <v>13790.163684515301</v>
      </c>
      <c r="O312">
        <v>4</v>
      </c>
      <c r="P312">
        <v>6</v>
      </c>
      <c r="Q312">
        <v>10</v>
      </c>
      <c r="R312">
        <v>0.14599999999999999</v>
      </c>
      <c r="S312">
        <v>0.14899999999999999</v>
      </c>
      <c r="T312">
        <v>0.16300000000000001</v>
      </c>
      <c r="U312">
        <v>0.14799999999999999</v>
      </c>
      <c r="V312">
        <v>0.188</v>
      </c>
      <c r="W312">
        <v>0.16700000000000001</v>
      </c>
      <c r="X312">
        <v>0.17499999999999999</v>
      </c>
      <c r="Y312">
        <v>0.156</v>
      </c>
      <c r="Z312">
        <v>0.14499999999999999</v>
      </c>
      <c r="AA312">
        <v>0.153</v>
      </c>
      <c r="BZ312">
        <v>9.4896537119999999E-2</v>
      </c>
      <c r="CA312">
        <v>1308.6387799784823</v>
      </c>
      <c r="CB312">
        <v>7.1890341600000005E-2</v>
      </c>
      <c r="CC312">
        <v>7.6413621900000006E-2</v>
      </c>
      <c r="CD312">
        <v>0.1000402557</v>
      </c>
      <c r="CE312">
        <v>7.4885395199999996E-2</v>
      </c>
      <c r="CF312">
        <v>0.15349192319999999</v>
      </c>
      <c r="CG312">
        <v>0.1075873953</v>
      </c>
      <c r="CH312">
        <v>0.1238015625</v>
      </c>
      <c r="CI312">
        <v>8.7697209600000006E-2</v>
      </c>
      <c r="CJ312">
        <v>7.0423237499999999E-2</v>
      </c>
      <c r="CK312">
        <v>8.2734428700000001E-2</v>
      </c>
    </row>
    <row r="313" spans="1:99" x14ac:dyDescent="0.25">
      <c r="A313" t="s">
        <v>138</v>
      </c>
      <c r="B313" t="s">
        <v>165</v>
      </c>
      <c r="C313" t="s">
        <v>158</v>
      </c>
      <c r="D313">
        <v>-1</v>
      </c>
      <c r="E313">
        <v>0</v>
      </c>
      <c r="F313">
        <v>-1</v>
      </c>
      <c r="G313">
        <v>-1</v>
      </c>
      <c r="H313">
        <v>-1</v>
      </c>
      <c r="I313">
        <v>1</v>
      </c>
      <c r="J313">
        <v>-1</v>
      </c>
      <c r="K313">
        <v>3</v>
      </c>
      <c r="L313">
        <v>-1</v>
      </c>
      <c r="M313">
        <v>146.28571428571399</v>
      </c>
      <c r="N313">
        <v>104.199583920777</v>
      </c>
      <c r="O313">
        <v>-1</v>
      </c>
      <c r="P313">
        <v>-1</v>
      </c>
      <c r="Q313">
        <v>-1</v>
      </c>
      <c r="R313">
        <v>1.76</v>
      </c>
      <c r="S313">
        <v>3.75</v>
      </c>
      <c r="T313">
        <v>3.569</v>
      </c>
      <c r="U313">
        <v>2.7549999999999999</v>
      </c>
      <c r="AL313" t="s">
        <v>159</v>
      </c>
      <c r="AM313" t="s">
        <v>159</v>
      </c>
      <c r="AN313" t="s">
        <v>159</v>
      </c>
      <c r="AO313" t="s">
        <v>159</v>
      </c>
      <c r="BZ313">
        <v>9.1710130553370544</v>
      </c>
      <c r="CA313">
        <v>955.61574449813486</v>
      </c>
      <c r="CB313">
        <v>1.9885144852771399</v>
      </c>
      <c r="CC313">
        <v>14.9855753149264</v>
      </c>
      <c r="CD313">
        <v>13.131345217996801</v>
      </c>
      <c r="CE313">
        <v>6.5786172031478802</v>
      </c>
    </row>
    <row r="314" spans="1:99" x14ac:dyDescent="0.25">
      <c r="A314" t="s">
        <v>138</v>
      </c>
      <c r="B314" t="s">
        <v>212</v>
      </c>
      <c r="C314" t="s">
        <v>192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5808</v>
      </c>
      <c r="N314">
        <v>4137.0491053545902</v>
      </c>
      <c r="O314">
        <v>1</v>
      </c>
      <c r="P314">
        <v>2</v>
      </c>
      <c r="Q314">
        <v>3</v>
      </c>
      <c r="R314">
        <v>0.39200000000000002</v>
      </c>
      <c r="S314">
        <v>0.30499999999999999</v>
      </c>
      <c r="T314">
        <v>0.26</v>
      </c>
      <c r="BZ314">
        <v>0.35394970999999997</v>
      </c>
      <c r="CA314">
        <v>1464.3073310960165</v>
      </c>
      <c r="CB314">
        <v>0.60236288000000004</v>
      </c>
      <c r="CC314">
        <v>0.28372625000000001</v>
      </c>
      <c r="CD314">
        <v>0.17576</v>
      </c>
    </row>
    <row r="315" spans="1:99" x14ac:dyDescent="0.25">
      <c r="A315" t="s">
        <v>138</v>
      </c>
      <c r="B315" t="s">
        <v>209</v>
      </c>
      <c r="C315" t="s">
        <v>192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3872</v>
      </c>
      <c r="N315">
        <v>2758.0327369030601</v>
      </c>
      <c r="O315">
        <v>2</v>
      </c>
      <c r="P315">
        <v>0</v>
      </c>
      <c r="Q315">
        <v>2</v>
      </c>
      <c r="R315">
        <v>0.09</v>
      </c>
      <c r="S315">
        <v>8.5000000000000006E-2</v>
      </c>
      <c r="BZ315">
        <v>2.0684124999999998E-2</v>
      </c>
      <c r="CA315">
        <v>57.047493884194999</v>
      </c>
      <c r="CB315">
        <v>2.24532E-2</v>
      </c>
      <c r="CC315">
        <v>1.8915049999999999E-2</v>
      </c>
    </row>
    <row r="316" spans="1:99" x14ac:dyDescent="0.25">
      <c r="A316" t="s">
        <v>138</v>
      </c>
      <c r="B316" t="s">
        <v>178</v>
      </c>
      <c r="C316" t="s">
        <v>158</v>
      </c>
      <c r="D316">
        <v>-1</v>
      </c>
      <c r="E316">
        <v>32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8192</v>
      </c>
      <c r="N316">
        <v>5835.1766995635098</v>
      </c>
      <c r="O316">
        <v>-1</v>
      </c>
      <c r="P316">
        <v>-1</v>
      </c>
      <c r="Q316">
        <v>-1</v>
      </c>
      <c r="R316">
        <v>0.41199999999999998</v>
      </c>
      <c r="S316">
        <v>0.46100000000000002</v>
      </c>
      <c r="T316">
        <v>0.26600000000000001</v>
      </c>
      <c r="U316">
        <v>0.48699999999999999</v>
      </c>
      <c r="V316">
        <v>0.57899999999999996</v>
      </c>
      <c r="W316">
        <v>0.6</v>
      </c>
      <c r="X316">
        <v>0.52100000000000002</v>
      </c>
      <c r="Y316">
        <v>0.59899999999999998</v>
      </c>
      <c r="Z316">
        <v>0.371</v>
      </c>
      <c r="AA316">
        <v>0.49</v>
      </c>
      <c r="AB316">
        <v>0.52900000000000003</v>
      </c>
      <c r="AC316">
        <v>0.78900000000000003</v>
      </c>
      <c r="AD316">
        <v>0.68500000000000005</v>
      </c>
      <c r="AE316">
        <v>0.60499999999999998</v>
      </c>
      <c r="AF316">
        <v>0.67200000000000004</v>
      </c>
      <c r="AG316">
        <v>0.52400000000000002</v>
      </c>
      <c r="AH316">
        <v>0.70499999999999996</v>
      </c>
      <c r="AI316">
        <v>0.60199999999999998</v>
      </c>
      <c r="AJ316">
        <v>0.35799999999999998</v>
      </c>
      <c r="AK316">
        <v>0.88600000000000001</v>
      </c>
      <c r="AL316" t="s">
        <v>159</v>
      </c>
      <c r="AM316" t="s">
        <v>159</v>
      </c>
      <c r="AN316" t="s">
        <v>159</v>
      </c>
      <c r="AO316" t="s">
        <v>159</v>
      </c>
      <c r="AP316" t="s">
        <v>159</v>
      </c>
      <c r="AQ316" t="s">
        <v>159</v>
      </c>
      <c r="AR316" t="s">
        <v>159</v>
      </c>
      <c r="AS316" t="s">
        <v>159</v>
      </c>
      <c r="AT316" t="s">
        <v>159</v>
      </c>
      <c r="AU316" t="s">
        <v>159</v>
      </c>
      <c r="AV316" t="s">
        <v>159</v>
      </c>
      <c r="AW316" t="s">
        <v>159</v>
      </c>
      <c r="AX316" t="s">
        <v>159</v>
      </c>
      <c r="AY316" t="s">
        <v>159</v>
      </c>
      <c r="AZ316" t="s">
        <v>159</v>
      </c>
      <c r="BA316" t="s">
        <v>159</v>
      </c>
      <c r="BB316" t="s">
        <v>159</v>
      </c>
      <c r="BC316" t="s">
        <v>159</v>
      </c>
      <c r="BD316" t="s">
        <v>159</v>
      </c>
      <c r="BE316" t="s">
        <v>159</v>
      </c>
      <c r="BZ316">
        <v>4.9633790616902917</v>
      </c>
      <c r="CA316">
        <v>28962.193851876586</v>
      </c>
      <c r="CB316">
        <v>2.39294865242712</v>
      </c>
      <c r="CC316">
        <v>3.0469221276814902</v>
      </c>
      <c r="CD316">
        <v>0.93411400616143703</v>
      </c>
      <c r="CE316">
        <v>3.4284011477372598</v>
      </c>
      <c r="CF316">
        <v>4.9735132263446102</v>
      </c>
      <c r="CG316">
        <v>5.3694469205371798</v>
      </c>
      <c r="CH316">
        <v>3.9637428378579398</v>
      </c>
      <c r="CI316">
        <v>5.3502248396980097</v>
      </c>
      <c r="CJ316">
        <v>1.91010952776576</v>
      </c>
      <c r="CK316">
        <v>3.4739689885899399</v>
      </c>
      <c r="CL316">
        <v>4.0957558485939298</v>
      </c>
      <c r="CM316">
        <v>9.6743082727864191</v>
      </c>
      <c r="CN316">
        <v>7.13902814150706</v>
      </c>
      <c r="CO316">
        <v>5.4661106736757796</v>
      </c>
      <c r="CP316">
        <v>6.8509106312912298</v>
      </c>
      <c r="CQ316">
        <v>4.0129766451859501</v>
      </c>
      <c r="CR316">
        <v>7.5947060046609103</v>
      </c>
      <c r="CS316">
        <v>5.4080017244043903</v>
      </c>
      <c r="CT316">
        <v>1.76910199600143</v>
      </c>
      <c r="CU316">
        <v>12.413289020898</v>
      </c>
    </row>
    <row r="317" spans="1:99" x14ac:dyDescent="0.25">
      <c r="A317" t="s">
        <v>138</v>
      </c>
      <c r="B317" t="s">
        <v>153</v>
      </c>
      <c r="C317" t="s">
        <v>154</v>
      </c>
      <c r="D317">
        <v>-1</v>
      </c>
      <c r="E317">
        <v>1</v>
      </c>
      <c r="F317">
        <v>0</v>
      </c>
      <c r="G317">
        <v>-1</v>
      </c>
      <c r="H317">
        <v>-1</v>
      </c>
      <c r="I317">
        <v>0</v>
      </c>
      <c r="J317">
        <v>0</v>
      </c>
      <c r="K317">
        <v>-1</v>
      </c>
      <c r="L317">
        <v>-1</v>
      </c>
      <c r="M317">
        <v>85.3333333333333</v>
      </c>
      <c r="N317">
        <v>60.783090620453201</v>
      </c>
      <c r="O317">
        <v>-1</v>
      </c>
      <c r="P317">
        <v>-1</v>
      </c>
      <c r="Q317">
        <v>-1</v>
      </c>
      <c r="R317">
        <v>1.117</v>
      </c>
      <c r="AL317" t="s">
        <v>155</v>
      </c>
      <c r="BZ317">
        <v>6.5310941522602404</v>
      </c>
      <c r="CA317">
        <v>396.98008770754615</v>
      </c>
      <c r="CB317">
        <v>6.5310941522602404</v>
      </c>
    </row>
    <row r="318" spans="1:99" x14ac:dyDescent="0.25">
      <c r="A318" t="s">
        <v>138</v>
      </c>
      <c r="B318" t="s">
        <v>210</v>
      </c>
      <c r="C318" t="s">
        <v>192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7744</v>
      </c>
      <c r="N318">
        <v>5516.0654738061303</v>
      </c>
      <c r="O318">
        <v>2</v>
      </c>
      <c r="P318">
        <v>2</v>
      </c>
      <c r="Q318">
        <v>4</v>
      </c>
      <c r="R318">
        <v>0.189</v>
      </c>
      <c r="S318">
        <v>0.19</v>
      </c>
      <c r="T318">
        <v>0.14699999999999999</v>
      </c>
      <c r="U318">
        <v>0.182</v>
      </c>
      <c r="BZ318">
        <v>5.7038400000000003E-2</v>
      </c>
      <c r="CA318">
        <v>314.62754892114361</v>
      </c>
      <c r="CB318">
        <v>6.751269E-2</v>
      </c>
      <c r="CC318">
        <v>6.8589999999999998E-2</v>
      </c>
      <c r="CD318">
        <v>3.1765229999999998E-2</v>
      </c>
      <c r="CE318">
        <v>6.0285680000000001E-2</v>
      </c>
    </row>
    <row r="319" spans="1:99" x14ac:dyDescent="0.25">
      <c r="A319" t="s">
        <v>138</v>
      </c>
      <c r="B319" t="s">
        <v>215</v>
      </c>
      <c r="C319" t="s">
        <v>192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60016</v>
      </c>
      <c r="N319">
        <v>42749.507421997499</v>
      </c>
      <c r="O319">
        <v>17</v>
      </c>
      <c r="P319">
        <v>14</v>
      </c>
      <c r="Q319">
        <v>31</v>
      </c>
      <c r="R319">
        <v>0.316</v>
      </c>
      <c r="S319">
        <v>0.38</v>
      </c>
      <c r="T319">
        <v>0.33300000000000002</v>
      </c>
      <c r="U319">
        <v>0.41699999999999998</v>
      </c>
      <c r="V319">
        <v>0.32900000000000001</v>
      </c>
      <c r="W319">
        <v>0.30299999999999999</v>
      </c>
      <c r="X319">
        <v>0.35299999999999998</v>
      </c>
      <c r="Y319">
        <v>0.24299999999999999</v>
      </c>
      <c r="Z319">
        <v>0.40200000000000002</v>
      </c>
      <c r="AA319">
        <v>0.33100000000000002</v>
      </c>
      <c r="AB319">
        <v>0.38100000000000001</v>
      </c>
      <c r="AC319">
        <v>0.28599999999999998</v>
      </c>
      <c r="AD319">
        <v>0.38900000000000001</v>
      </c>
      <c r="AE319">
        <v>0.374</v>
      </c>
      <c r="AF319">
        <v>0.32800000000000001</v>
      </c>
      <c r="AG319">
        <v>0.32300000000000001</v>
      </c>
      <c r="AH319">
        <v>0.252</v>
      </c>
      <c r="AI319">
        <v>0.39600000000000002</v>
      </c>
      <c r="AJ319">
        <v>0.41199999999999998</v>
      </c>
      <c r="AK319">
        <v>0.25700000000000001</v>
      </c>
      <c r="BF319">
        <v>0.10100000000000001</v>
      </c>
      <c r="BG319">
        <v>7.6999999999999999E-2</v>
      </c>
      <c r="BH319">
        <v>8.5999999999999993E-2</v>
      </c>
      <c r="BI319">
        <v>0.08</v>
      </c>
      <c r="BJ319">
        <v>7.0999999999999994E-2</v>
      </c>
      <c r="BK319">
        <v>7.0999999999999994E-2</v>
      </c>
      <c r="BL319">
        <v>6.8000000000000005E-2</v>
      </c>
      <c r="BM319">
        <v>7.2999999999999995E-2</v>
      </c>
      <c r="BN319">
        <v>0.09</v>
      </c>
      <c r="BO319">
        <v>8.1000000000000003E-2</v>
      </c>
      <c r="BP319">
        <v>8.5000000000000006E-2</v>
      </c>
      <c r="BQ319">
        <v>0.11600000000000001</v>
      </c>
      <c r="BR319">
        <v>8.7999999999999995E-2</v>
      </c>
      <c r="BS319">
        <v>8.6999999999999994E-2</v>
      </c>
      <c r="BT319">
        <v>7.5999999999999998E-2</v>
      </c>
      <c r="BU319">
        <v>7.0000000000000007E-2</v>
      </c>
      <c r="BV319">
        <v>6.9000000000000006E-2</v>
      </c>
      <c r="BW319">
        <v>8.4000000000000005E-2</v>
      </c>
      <c r="BX319">
        <v>8.2000000000000003E-2</v>
      </c>
      <c r="BY319">
        <v>7.9000000000000001E-2</v>
      </c>
      <c r="BZ319">
        <v>0.121465822244</v>
      </c>
      <c r="CA319">
        <v>5192.6040695389074</v>
      </c>
      <c r="CB319">
        <v>0.16862856899199999</v>
      </c>
      <c r="CC319">
        <v>0.11785998223999999</v>
      </c>
      <c r="CD319">
        <v>0.12883755081600001</v>
      </c>
      <c r="CE319">
        <v>0.13961026560000001</v>
      </c>
      <c r="CF319">
        <v>8.6758876568000007E-2</v>
      </c>
      <c r="CG319">
        <v>7.9902551976000005E-2</v>
      </c>
      <c r="CH319">
        <v>8.5387412864000006E-2</v>
      </c>
      <c r="CI319">
        <v>6.7741267463999999E-2</v>
      </c>
      <c r="CJ319">
        <v>0.17033833440000001</v>
      </c>
      <c r="CK319">
        <v>0.113605499592</v>
      </c>
      <c r="CL319">
        <v>0.14400055019999999</v>
      </c>
      <c r="CM319">
        <v>0.20131833779200001</v>
      </c>
      <c r="CN319">
        <v>0.15758550579200001</v>
      </c>
      <c r="CO319">
        <v>0.14808512347200001</v>
      </c>
      <c r="CP319">
        <v>9.9106548736E-2</v>
      </c>
      <c r="CQ319">
        <v>8.2794202400000003E-2</v>
      </c>
      <c r="CR319">
        <v>6.2762472863999996E-2</v>
      </c>
      <c r="CS319">
        <v>0.146168934912</v>
      </c>
      <c r="CT319">
        <v>0.14491930585599999</v>
      </c>
      <c r="CU319">
        <v>8.3905152344000006E-2</v>
      </c>
    </row>
    <row r="320" spans="1:99" x14ac:dyDescent="0.25">
      <c r="A320" t="s">
        <v>141</v>
      </c>
      <c r="B320" t="s">
        <v>217</v>
      </c>
      <c r="C320" t="s">
        <v>192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1968</v>
      </c>
      <c r="N320">
        <v>687.16177815402</v>
      </c>
      <c r="O320">
        <v>0</v>
      </c>
      <c r="P320">
        <v>2</v>
      </c>
      <c r="Q320">
        <v>2</v>
      </c>
      <c r="R320">
        <v>0.152</v>
      </c>
      <c r="S320">
        <v>0.13700000000000001</v>
      </c>
      <c r="BZ320">
        <v>3.6498966000000001E-2</v>
      </c>
      <c r="CA320">
        <v>25.080694377343118</v>
      </c>
      <c r="CB320">
        <v>4.2141695999999999E-2</v>
      </c>
      <c r="CC320">
        <v>3.0856235999999999E-2</v>
      </c>
    </row>
    <row r="321" spans="1:99" x14ac:dyDescent="0.25">
      <c r="A321" t="s">
        <v>141</v>
      </c>
      <c r="B321" t="s">
        <v>191</v>
      </c>
      <c r="C321" t="s">
        <v>192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29520</v>
      </c>
      <c r="N321">
        <v>10307.426672310299</v>
      </c>
      <c r="O321">
        <v>17</v>
      </c>
      <c r="P321">
        <v>13</v>
      </c>
      <c r="Q321">
        <v>30</v>
      </c>
      <c r="R321">
        <v>8.4000000000000005E-2</v>
      </c>
      <c r="S321">
        <v>8.5999999999999993E-2</v>
      </c>
      <c r="T321">
        <v>8.8999999999999996E-2</v>
      </c>
      <c r="U321">
        <v>0.11</v>
      </c>
      <c r="V321">
        <v>9.9000000000000005E-2</v>
      </c>
      <c r="W321">
        <v>9.8000000000000004E-2</v>
      </c>
      <c r="X321">
        <v>9.1999999999999998E-2</v>
      </c>
      <c r="Y321">
        <v>8.7999999999999995E-2</v>
      </c>
      <c r="Z321">
        <v>9.7000000000000003E-2</v>
      </c>
      <c r="AA321">
        <v>0.10100000000000001</v>
      </c>
      <c r="AB321">
        <v>0.1</v>
      </c>
      <c r="AC321">
        <v>0.10299999999999999</v>
      </c>
      <c r="AD321">
        <v>9.7000000000000003E-2</v>
      </c>
      <c r="AE321">
        <v>0.10100000000000001</v>
      </c>
      <c r="AF321">
        <v>8.7999999999999995E-2</v>
      </c>
      <c r="AG321">
        <v>0.10199999999999999</v>
      </c>
      <c r="AH321">
        <v>0.10100000000000001</v>
      </c>
      <c r="AI321">
        <v>9.7000000000000003E-2</v>
      </c>
      <c r="AJ321">
        <v>8.8999999999999996E-2</v>
      </c>
      <c r="AK321">
        <v>0.107</v>
      </c>
      <c r="BZ321">
        <v>1.0938432600000001E-2</v>
      </c>
      <c r="CA321">
        <v>112.7470919345085</v>
      </c>
      <c r="CB321">
        <v>7.1124480000000004E-3</v>
      </c>
      <c r="CC321">
        <v>7.6326720000000001E-3</v>
      </c>
      <c r="CD321">
        <v>8.4596280000000003E-3</v>
      </c>
      <c r="CE321">
        <v>1.5972E-2</v>
      </c>
      <c r="CF321">
        <v>1.1643588E-2</v>
      </c>
      <c r="CG321">
        <v>1.1294304E-2</v>
      </c>
      <c r="CH321">
        <v>9.3442560000000004E-3</v>
      </c>
      <c r="CI321">
        <v>8.1776639999999994E-3</v>
      </c>
      <c r="CJ321">
        <v>1.0952076E-2</v>
      </c>
      <c r="CK321">
        <v>1.2363612E-2</v>
      </c>
      <c r="CL321">
        <v>1.2E-2</v>
      </c>
      <c r="CM321">
        <v>1.3112723999999999E-2</v>
      </c>
      <c r="CN321">
        <v>1.0952076E-2</v>
      </c>
      <c r="CO321">
        <v>1.2363612E-2</v>
      </c>
      <c r="CP321">
        <v>8.1776639999999994E-3</v>
      </c>
      <c r="CQ321">
        <v>1.2734496E-2</v>
      </c>
      <c r="CR321">
        <v>1.2363612E-2</v>
      </c>
      <c r="CS321">
        <v>1.0952076E-2</v>
      </c>
      <c r="CT321">
        <v>8.4596280000000003E-3</v>
      </c>
      <c r="CU321">
        <v>1.4700516E-2</v>
      </c>
    </row>
    <row r="322" spans="1:99" x14ac:dyDescent="0.25">
      <c r="A322" t="s">
        <v>141</v>
      </c>
      <c r="B322" t="s">
        <v>218</v>
      </c>
      <c r="C322" t="s">
        <v>192</v>
      </c>
      <c r="D322">
        <v>-1</v>
      </c>
      <c r="E322">
        <v>-1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1968</v>
      </c>
      <c r="N322">
        <v>687.16177815402</v>
      </c>
      <c r="O322">
        <v>0</v>
      </c>
      <c r="P322">
        <v>2</v>
      </c>
      <c r="Q322">
        <v>2</v>
      </c>
      <c r="R322">
        <v>9.5000000000000001E-2</v>
      </c>
      <c r="S322">
        <v>0.89500000000000002</v>
      </c>
      <c r="BZ322">
        <v>3.21921975375</v>
      </c>
      <c r="CA322">
        <v>2212.1247702553965</v>
      </c>
      <c r="CB322">
        <v>7.69065375E-3</v>
      </c>
      <c r="CC322">
        <v>6.4307488537499999</v>
      </c>
    </row>
    <row r="323" spans="1:99" x14ac:dyDescent="0.25">
      <c r="A323" t="s">
        <v>141</v>
      </c>
      <c r="B323" t="s">
        <v>193</v>
      </c>
      <c r="C323" t="s">
        <v>192</v>
      </c>
      <c r="D323">
        <v>-1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3936</v>
      </c>
      <c r="N323">
        <v>1374.32355630804</v>
      </c>
      <c r="O323">
        <v>2</v>
      </c>
      <c r="P323">
        <v>2</v>
      </c>
      <c r="Q323">
        <v>4</v>
      </c>
      <c r="R323">
        <v>0.64</v>
      </c>
      <c r="S323">
        <v>0.49099999999999999</v>
      </c>
      <c r="T323">
        <v>0.81699999999999995</v>
      </c>
      <c r="U323">
        <v>0.51500000000000001</v>
      </c>
      <c r="BZ323">
        <v>2.3825310265575004</v>
      </c>
      <c r="CA323">
        <v>3274.3685134327493</v>
      </c>
      <c r="CB323">
        <v>2.3514316800000001</v>
      </c>
      <c r="CC323">
        <v>1.06178581587</v>
      </c>
      <c r="CD323">
        <v>4.89168646161</v>
      </c>
      <c r="CE323">
        <v>1.2252201487500001</v>
      </c>
    </row>
    <row r="324" spans="1:99" x14ac:dyDescent="0.25">
      <c r="A324" t="s">
        <v>141</v>
      </c>
      <c r="B324" t="s">
        <v>172</v>
      </c>
      <c r="C324" t="s">
        <v>158</v>
      </c>
      <c r="D324">
        <v>-1</v>
      </c>
      <c r="E324">
        <v>51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13056</v>
      </c>
      <c r="N324">
        <v>4558.7317965339898</v>
      </c>
      <c r="O324">
        <v>-1</v>
      </c>
      <c r="P324">
        <v>-1</v>
      </c>
      <c r="Q324">
        <v>-1</v>
      </c>
      <c r="R324">
        <v>0.47199999999999998</v>
      </c>
      <c r="S324">
        <v>0.41299999999999998</v>
      </c>
      <c r="T324">
        <v>0.28699999999999998</v>
      </c>
      <c r="U324">
        <v>0.49299999999999999</v>
      </c>
      <c r="V324">
        <v>0.432</v>
      </c>
      <c r="W324">
        <v>0.47399999999999998</v>
      </c>
      <c r="X324">
        <v>0.245</v>
      </c>
      <c r="Y324">
        <v>0.32800000000000001</v>
      </c>
      <c r="Z324">
        <v>0.34599999999999997</v>
      </c>
      <c r="AA324">
        <v>0.29399999999999998</v>
      </c>
      <c r="AB324">
        <v>0.27500000000000002</v>
      </c>
      <c r="AC324">
        <v>0.36399999999999999</v>
      </c>
      <c r="AD324">
        <v>0.30299999999999999</v>
      </c>
      <c r="AE324">
        <v>0.41</v>
      </c>
      <c r="AF324">
        <v>0.42599999999999999</v>
      </c>
      <c r="AG324">
        <v>0.49099999999999999</v>
      </c>
      <c r="AH324">
        <v>0.38800000000000001</v>
      </c>
      <c r="AI324">
        <v>0.45600000000000002</v>
      </c>
      <c r="AJ324">
        <v>0.41499999999999998</v>
      </c>
      <c r="AK324">
        <v>0.42799999999999999</v>
      </c>
      <c r="AL324" t="s">
        <v>159</v>
      </c>
      <c r="AM324" t="s">
        <v>159</v>
      </c>
      <c r="AN324" t="s">
        <v>159</v>
      </c>
      <c r="AO324" t="s">
        <v>159</v>
      </c>
      <c r="AP324" t="s">
        <v>159</v>
      </c>
      <c r="AQ324" t="s">
        <v>159</v>
      </c>
      <c r="AR324" t="s">
        <v>159</v>
      </c>
      <c r="AS324" t="s">
        <v>159</v>
      </c>
      <c r="AT324" t="s">
        <v>159</v>
      </c>
      <c r="AU324" t="s">
        <v>159</v>
      </c>
      <c r="AV324" t="s">
        <v>159</v>
      </c>
      <c r="AW324" t="s">
        <v>159</v>
      </c>
      <c r="AX324" t="s">
        <v>159</v>
      </c>
      <c r="AY324" t="s">
        <v>159</v>
      </c>
      <c r="AZ324" t="s">
        <v>159</v>
      </c>
      <c r="BA324" t="s">
        <v>159</v>
      </c>
      <c r="BB324" t="s">
        <v>159</v>
      </c>
      <c r="BC324" t="s">
        <v>159</v>
      </c>
      <c r="BD324" t="s">
        <v>159</v>
      </c>
      <c r="BE324" t="s">
        <v>159</v>
      </c>
      <c r="BZ324">
        <v>1.4619302731189332</v>
      </c>
      <c r="CA324">
        <v>6664.5480203829011</v>
      </c>
      <c r="CB324">
        <v>2.2536158656852101</v>
      </c>
      <c r="CC324">
        <v>1.60753436427573</v>
      </c>
      <c r="CD324">
        <v>0.64010000952546497</v>
      </c>
      <c r="CE324">
        <v>2.5159924914243601</v>
      </c>
      <c r="CF324">
        <v>1.8012770443528101</v>
      </c>
      <c r="CG324">
        <v>2.2778537640162702</v>
      </c>
      <c r="CH324">
        <v>0.428940277450781</v>
      </c>
      <c r="CI324">
        <v>0.89736155515516403</v>
      </c>
      <c r="CJ324">
        <v>1.0272334781416199</v>
      </c>
      <c r="CK324">
        <v>0.68033902120397705</v>
      </c>
      <c r="CL324">
        <v>0.57453746032460995</v>
      </c>
      <c r="CM324">
        <v>1.16786632408174</v>
      </c>
      <c r="CN324">
        <v>0.734271184165047</v>
      </c>
      <c r="CO324">
        <v>1.5781554971349001</v>
      </c>
      <c r="CP324">
        <v>1.7386530256291399</v>
      </c>
      <c r="CQ324">
        <v>2.4902492042461999</v>
      </c>
      <c r="CR324">
        <v>1.3726218271622199</v>
      </c>
      <c r="CS324">
        <v>2.0653215988863498</v>
      </c>
      <c r="CT324">
        <v>1.62730260477958</v>
      </c>
      <c r="CU324">
        <v>1.7593788647374899</v>
      </c>
    </row>
    <row r="325" spans="1:99" x14ac:dyDescent="0.25">
      <c r="A325" t="s">
        <v>141</v>
      </c>
      <c r="B325" t="s">
        <v>157</v>
      </c>
      <c r="C325" t="s">
        <v>158</v>
      </c>
      <c r="D325">
        <v>7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7</v>
      </c>
      <c r="N325">
        <v>2.4441729914015</v>
      </c>
      <c r="O325">
        <v>-1</v>
      </c>
      <c r="P325">
        <v>-1</v>
      </c>
      <c r="Q325">
        <v>-1</v>
      </c>
      <c r="R325">
        <v>1.859</v>
      </c>
      <c r="S325">
        <v>2.528</v>
      </c>
      <c r="T325">
        <v>2.6120000000000001</v>
      </c>
      <c r="U325">
        <v>1.923</v>
      </c>
      <c r="V325">
        <v>2.492</v>
      </c>
      <c r="W325">
        <v>1.6559999999999999</v>
      </c>
      <c r="X325">
        <v>1.6459999999999999</v>
      </c>
      <c r="AL325" t="s">
        <v>159</v>
      </c>
      <c r="AM325" t="s">
        <v>159</v>
      </c>
      <c r="AN325" t="s">
        <v>159</v>
      </c>
      <c r="AO325" t="s">
        <v>159</v>
      </c>
      <c r="AP325" t="s">
        <v>159</v>
      </c>
      <c r="AQ325" t="s">
        <v>159</v>
      </c>
      <c r="AR325" t="s">
        <v>159</v>
      </c>
      <c r="BZ325">
        <v>83.291666415064356</v>
      </c>
      <c r="CA325">
        <v>203.57924146052369</v>
      </c>
      <c r="CB325">
        <v>61.922332693167803</v>
      </c>
      <c r="CC325">
        <v>117.72195323463301</v>
      </c>
      <c r="CD325">
        <v>126.045491047995</v>
      </c>
      <c r="CE325">
        <v>66.461492195375698</v>
      </c>
      <c r="CF325">
        <v>114.245415943173</v>
      </c>
      <c r="CG325">
        <v>48.628343814269201</v>
      </c>
      <c r="CH325">
        <v>48.016635976836803</v>
      </c>
    </row>
    <row r="326" spans="1:99" x14ac:dyDescent="0.25">
      <c r="A326" t="s">
        <v>141</v>
      </c>
      <c r="B326" t="s">
        <v>171</v>
      </c>
      <c r="C326" t="s">
        <v>158</v>
      </c>
      <c r="D326">
        <v>3422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3422</v>
      </c>
      <c r="N326">
        <v>1194.85142522513</v>
      </c>
      <c r="O326">
        <v>-1</v>
      </c>
      <c r="P326">
        <v>-1</v>
      </c>
      <c r="Q326">
        <v>-1</v>
      </c>
      <c r="R326">
        <v>0.88</v>
      </c>
      <c r="S326">
        <v>0.64400000000000002</v>
      </c>
      <c r="T326">
        <v>0.68400000000000005</v>
      </c>
      <c r="U326">
        <v>1.52</v>
      </c>
      <c r="V326">
        <v>0.76300000000000001</v>
      </c>
      <c r="W326">
        <v>0.95499999999999996</v>
      </c>
      <c r="X326">
        <v>0.63100000000000001</v>
      </c>
      <c r="Y326">
        <v>1.2889999999999999</v>
      </c>
      <c r="Z326">
        <v>0.88400000000000001</v>
      </c>
      <c r="AA326">
        <v>1.133</v>
      </c>
      <c r="AB326">
        <v>0.79200000000000004</v>
      </c>
      <c r="AC326">
        <v>0.68899999999999995</v>
      </c>
      <c r="AD326">
        <v>0.749</v>
      </c>
      <c r="AE326">
        <v>0.76900000000000002</v>
      </c>
      <c r="AF326">
        <v>0.78900000000000003</v>
      </c>
      <c r="AG326">
        <v>1.2150000000000001</v>
      </c>
      <c r="AH326">
        <v>1.0740000000000001</v>
      </c>
      <c r="AI326">
        <v>1.145</v>
      </c>
      <c r="AJ326">
        <v>1.157</v>
      </c>
      <c r="AK326">
        <v>1.1739999999999999</v>
      </c>
      <c r="AL326" t="s">
        <v>159</v>
      </c>
      <c r="AM326" t="s">
        <v>159</v>
      </c>
      <c r="AN326" t="s">
        <v>159</v>
      </c>
      <c r="AO326" t="s">
        <v>159</v>
      </c>
      <c r="AP326" t="s">
        <v>159</v>
      </c>
      <c r="AQ326" t="s">
        <v>159</v>
      </c>
      <c r="AR326" t="s">
        <v>159</v>
      </c>
      <c r="AS326" t="s">
        <v>159</v>
      </c>
      <c r="AT326" t="s">
        <v>159</v>
      </c>
      <c r="AU326" t="s">
        <v>159</v>
      </c>
      <c r="AV326" t="s">
        <v>159</v>
      </c>
      <c r="AW326" t="s">
        <v>159</v>
      </c>
      <c r="AX326" t="s">
        <v>159</v>
      </c>
      <c r="AY326" t="s">
        <v>159</v>
      </c>
      <c r="AZ326" t="s">
        <v>159</v>
      </c>
      <c r="BA326" t="s">
        <v>159</v>
      </c>
      <c r="BB326" t="s">
        <v>159</v>
      </c>
      <c r="BC326" t="s">
        <v>159</v>
      </c>
      <c r="BD326" t="s">
        <v>159</v>
      </c>
      <c r="BE326" t="s">
        <v>159</v>
      </c>
      <c r="BZ326">
        <v>1.6684511691869015</v>
      </c>
      <c r="CA326">
        <v>1993.5512574215038</v>
      </c>
      <c r="CB326">
        <v>1.1129971959192699</v>
      </c>
      <c r="CC326">
        <v>0.43895054431331698</v>
      </c>
      <c r="CD326">
        <v>0.52529454435217504</v>
      </c>
      <c r="CE326">
        <v>5.6732196601630296</v>
      </c>
      <c r="CF326">
        <v>0.72754327429461396</v>
      </c>
      <c r="CG326">
        <v>1.42018772455428</v>
      </c>
      <c r="CH326">
        <v>0.41306956539432599</v>
      </c>
      <c r="CI326">
        <v>3.4712780400138299</v>
      </c>
      <c r="CJ326">
        <v>1.12814119181714</v>
      </c>
      <c r="CK326">
        <v>2.3634196311292901</v>
      </c>
      <c r="CL326">
        <v>0.81308649615430095</v>
      </c>
      <c r="CM326">
        <v>0.53682037172033803</v>
      </c>
      <c r="CN326">
        <v>0.68848030940738303</v>
      </c>
      <c r="CO326">
        <v>0.74472545727896899</v>
      </c>
      <c r="CP326">
        <v>0.80394284933522897</v>
      </c>
      <c r="CQ326">
        <v>2.9105362682925402</v>
      </c>
      <c r="CR326">
        <v>2.0152478460147201</v>
      </c>
      <c r="CS326">
        <v>2.4387992762300201</v>
      </c>
      <c r="CT326">
        <v>2.5157594739275102</v>
      </c>
      <c r="CU326">
        <v>2.6275236634257499</v>
      </c>
    </row>
    <row r="327" spans="1:99" x14ac:dyDescent="0.25">
      <c r="A327" t="s">
        <v>141</v>
      </c>
      <c r="B327" t="s">
        <v>194</v>
      </c>
      <c r="C327" t="s">
        <v>192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3936</v>
      </c>
      <c r="N327">
        <v>1374.32355630804</v>
      </c>
      <c r="O327">
        <v>1</v>
      </c>
      <c r="P327">
        <v>3</v>
      </c>
      <c r="Q327">
        <v>4</v>
      </c>
      <c r="BF327">
        <v>5.8999999999999997E-2</v>
      </c>
      <c r="BG327">
        <v>4.2999999999999997E-2</v>
      </c>
      <c r="BH327">
        <v>5.2999999999999999E-2</v>
      </c>
      <c r="BI327">
        <v>3.2000000000000001E-2</v>
      </c>
      <c r="BZ327">
        <v>2.0993894999999999E-2</v>
      </c>
      <c r="CA327">
        <v>28.852404437157578</v>
      </c>
      <c r="CB327">
        <v>3.6968220000000003E-2</v>
      </c>
      <c r="CC327">
        <v>1.4311259999999999E-2</v>
      </c>
      <c r="CD327">
        <v>2.679786E-2</v>
      </c>
      <c r="CE327">
        <v>5.8982399999999999E-3</v>
      </c>
    </row>
    <row r="328" spans="1:99" x14ac:dyDescent="0.25">
      <c r="A328" t="s">
        <v>141</v>
      </c>
      <c r="B328" t="s">
        <v>195</v>
      </c>
      <c r="C328" t="s">
        <v>192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272568</v>
      </c>
      <c r="N328">
        <v>95171.906274331806</v>
      </c>
      <c r="O328">
        <v>148</v>
      </c>
      <c r="P328">
        <v>129</v>
      </c>
      <c r="Q328">
        <v>277</v>
      </c>
      <c r="R328">
        <v>7.4999999999999997E-2</v>
      </c>
      <c r="S328">
        <v>0.124</v>
      </c>
      <c r="T328">
        <v>0.17699999999999999</v>
      </c>
      <c r="U328">
        <v>0.11</v>
      </c>
      <c r="V328">
        <v>0.13200000000000001</v>
      </c>
      <c r="W328">
        <v>0.122</v>
      </c>
      <c r="X328">
        <v>0.123</v>
      </c>
      <c r="Y328">
        <v>0.127</v>
      </c>
      <c r="Z328">
        <v>0.108</v>
      </c>
      <c r="AA328">
        <v>0.11</v>
      </c>
      <c r="AB328">
        <v>0.108</v>
      </c>
      <c r="AC328">
        <v>0.122</v>
      </c>
      <c r="AD328">
        <v>0.109</v>
      </c>
      <c r="AE328">
        <v>9.7000000000000003E-2</v>
      </c>
      <c r="AF328">
        <v>0.19400000000000001</v>
      </c>
      <c r="AG328">
        <v>0.127</v>
      </c>
      <c r="AH328">
        <v>0.17199999999999999</v>
      </c>
      <c r="AI328">
        <v>8.6999999999999994E-2</v>
      </c>
      <c r="AJ328">
        <v>0.115</v>
      </c>
      <c r="AK328">
        <v>8.3000000000000004E-2</v>
      </c>
      <c r="BF328">
        <v>6.9000000000000006E-2</v>
      </c>
      <c r="BG328">
        <v>5.8000000000000003E-2</v>
      </c>
      <c r="BH328">
        <v>5.5E-2</v>
      </c>
      <c r="BI328">
        <v>7.1999999999999995E-2</v>
      </c>
      <c r="BJ328">
        <v>7.0999999999999994E-2</v>
      </c>
      <c r="BK328">
        <v>6.8000000000000005E-2</v>
      </c>
      <c r="BL328">
        <v>6.9000000000000006E-2</v>
      </c>
      <c r="BM328">
        <v>5.2999999999999999E-2</v>
      </c>
      <c r="BN328">
        <v>5.2999999999999999E-2</v>
      </c>
      <c r="BO328">
        <v>5.2999999999999999E-2</v>
      </c>
      <c r="BP328">
        <v>6.7000000000000004E-2</v>
      </c>
      <c r="BQ328">
        <v>6.7000000000000004E-2</v>
      </c>
      <c r="BR328">
        <v>6.7000000000000004E-2</v>
      </c>
      <c r="BS328">
        <v>5.6000000000000001E-2</v>
      </c>
      <c r="BT328">
        <v>6.2E-2</v>
      </c>
      <c r="BU328">
        <v>6.2E-2</v>
      </c>
      <c r="BV328">
        <v>5.0999999999999997E-2</v>
      </c>
      <c r="BW328">
        <v>4.8000000000000001E-2</v>
      </c>
      <c r="BX328">
        <v>6.7000000000000004E-2</v>
      </c>
      <c r="BY328">
        <v>6.6000000000000003E-2</v>
      </c>
      <c r="BZ328">
        <v>1.2024498199999999E-2</v>
      </c>
      <c r="CA328">
        <v>1144.3944156862715</v>
      </c>
      <c r="CB328">
        <v>9.2839499999999991E-3</v>
      </c>
      <c r="CC328">
        <v>1.0845535999999999E-2</v>
      </c>
      <c r="CD328">
        <v>1.3921050000000001E-2</v>
      </c>
      <c r="CE328">
        <v>1.4826239999999999E-2</v>
      </c>
      <c r="CF328">
        <v>1.7300711999999999E-2</v>
      </c>
      <c r="CG328">
        <v>1.4667328E-2</v>
      </c>
      <c r="CH328">
        <v>1.5225677999999999E-2</v>
      </c>
      <c r="CI328">
        <v>9.2753179999999994E-3</v>
      </c>
      <c r="CJ328">
        <v>7.8876720000000001E-3</v>
      </c>
      <c r="CK328">
        <v>8.0337399999999993E-3</v>
      </c>
      <c r="CL328">
        <v>1.2605112E-2</v>
      </c>
      <c r="CM328">
        <v>1.4239108E-2</v>
      </c>
      <c r="CN328">
        <v>1.2721826E-2</v>
      </c>
      <c r="CO328">
        <v>7.9089920000000001E-3</v>
      </c>
      <c r="CP328">
        <v>1.9389136000000001E-2</v>
      </c>
      <c r="CQ328">
        <v>1.2692887999999999E-2</v>
      </c>
      <c r="CR328">
        <v>1.1631671999999999E-2</v>
      </c>
      <c r="CS328">
        <v>5.2116480000000001E-3</v>
      </c>
      <c r="CT328">
        <v>1.3422109999999999E-2</v>
      </c>
      <c r="CU328">
        <v>9.4002479999999999E-3</v>
      </c>
    </row>
    <row r="329" spans="1:99" x14ac:dyDescent="0.25">
      <c r="A329" t="s">
        <v>141</v>
      </c>
      <c r="B329" t="s">
        <v>196</v>
      </c>
      <c r="C329" t="s">
        <v>197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3936</v>
      </c>
      <c r="N329">
        <v>1374.32355630804</v>
      </c>
      <c r="O329">
        <v>3</v>
      </c>
      <c r="P329">
        <v>1</v>
      </c>
      <c r="Q329">
        <v>4</v>
      </c>
      <c r="R329">
        <v>0.21299999999999999</v>
      </c>
      <c r="S329">
        <v>0.13800000000000001</v>
      </c>
      <c r="T329">
        <v>0.13300000000000001</v>
      </c>
      <c r="U329">
        <v>0.16</v>
      </c>
      <c r="BZ329">
        <v>9.3863086580423472E-2</v>
      </c>
      <c r="CA329">
        <v>128.99825095525705</v>
      </c>
      <c r="CB329">
        <v>0.17230114814102757</v>
      </c>
      <c r="CC329">
        <v>6.0797669266349663E-2</v>
      </c>
      <c r="CD329">
        <v>5.564434844158727E-2</v>
      </c>
      <c r="CE329">
        <v>8.6709180472729408E-2</v>
      </c>
      <c r="CF329" t="s">
        <v>239</v>
      </c>
      <c r="CG329" t="s">
        <v>239</v>
      </c>
      <c r="CH329" t="s">
        <v>239</v>
      </c>
      <c r="CI329" t="s">
        <v>239</v>
      </c>
      <c r="CJ329" t="s">
        <v>239</v>
      </c>
      <c r="CK329" t="s">
        <v>239</v>
      </c>
      <c r="CL329" t="s">
        <v>239</v>
      </c>
      <c r="CM329" t="s">
        <v>239</v>
      </c>
      <c r="CN329" t="s">
        <v>239</v>
      </c>
      <c r="CO329" t="s">
        <v>239</v>
      </c>
      <c r="CP329" t="s">
        <v>239</v>
      </c>
      <c r="CQ329" t="s">
        <v>239</v>
      </c>
      <c r="CR329" t="s">
        <v>239</v>
      </c>
      <c r="CS329" t="s">
        <v>239</v>
      </c>
      <c r="CT329" t="s">
        <v>239</v>
      </c>
      <c r="CU329" t="s">
        <v>239</v>
      </c>
    </row>
    <row r="330" spans="1:99" x14ac:dyDescent="0.25">
      <c r="A330" t="s">
        <v>141</v>
      </c>
      <c r="B330" t="s">
        <v>173</v>
      </c>
      <c r="C330" t="s">
        <v>168</v>
      </c>
      <c r="D330">
        <v>-1</v>
      </c>
      <c r="E330">
        <v>2</v>
      </c>
      <c r="F330">
        <v>-1</v>
      </c>
      <c r="G330">
        <v>-1</v>
      </c>
      <c r="H330">
        <v>-1</v>
      </c>
      <c r="I330">
        <v>3</v>
      </c>
      <c r="J330">
        <v>-1</v>
      </c>
      <c r="K330">
        <v>-1</v>
      </c>
      <c r="L330">
        <v>-1</v>
      </c>
      <c r="M330">
        <v>426.66666666666703</v>
      </c>
      <c r="N330">
        <v>148.97816328542399</v>
      </c>
      <c r="O330">
        <v>-1</v>
      </c>
      <c r="P330">
        <v>-1</v>
      </c>
      <c r="Q330">
        <v>-1</v>
      </c>
      <c r="R330">
        <v>0.76900000000000002</v>
      </c>
      <c r="S330">
        <v>0.56499999999999995</v>
      </c>
      <c r="T330">
        <v>0.66500000000000004</v>
      </c>
      <c r="U330">
        <v>0.46800000000000003</v>
      </c>
      <c r="V330">
        <v>0.38500000000000001</v>
      </c>
      <c r="AL330" t="s">
        <v>169</v>
      </c>
      <c r="AM330" t="s">
        <v>169</v>
      </c>
      <c r="AN330" t="s">
        <v>169</v>
      </c>
      <c r="AO330" t="s">
        <v>169</v>
      </c>
      <c r="AP330" t="s">
        <v>169</v>
      </c>
      <c r="BZ330">
        <v>0.76343762520354153</v>
      </c>
      <c r="CA330">
        <v>113.73553518580952</v>
      </c>
      <c r="CB330">
        <v>1.85377238770398</v>
      </c>
      <c r="CC330">
        <v>0.54520669196328497</v>
      </c>
      <c r="CD330">
        <v>1.0411918783659599</v>
      </c>
      <c r="CE330">
        <v>0.25811002724854298</v>
      </c>
      <c r="CF330">
        <v>0.11890714073594</v>
      </c>
    </row>
    <row r="331" spans="1:99" x14ac:dyDescent="0.25">
      <c r="A331" t="s">
        <v>141</v>
      </c>
      <c r="B331" t="s">
        <v>170</v>
      </c>
      <c r="C331" t="s">
        <v>158</v>
      </c>
      <c r="D331">
        <v>-1</v>
      </c>
      <c r="E331">
        <v>8</v>
      </c>
      <c r="F331">
        <v>-1</v>
      </c>
      <c r="G331">
        <v>-1</v>
      </c>
      <c r="H331">
        <v>-1</v>
      </c>
      <c r="I331">
        <v>8</v>
      </c>
      <c r="J331">
        <v>-1</v>
      </c>
      <c r="K331">
        <v>-1</v>
      </c>
      <c r="L331">
        <v>-1</v>
      </c>
      <c r="M331">
        <v>1365.3333333333301</v>
      </c>
      <c r="N331">
        <v>476.73012251335803</v>
      </c>
      <c r="O331">
        <v>-1</v>
      </c>
      <c r="P331">
        <v>-1</v>
      </c>
      <c r="Q331">
        <v>-1</v>
      </c>
      <c r="R331">
        <v>0.82499999999999996</v>
      </c>
      <c r="S331">
        <v>1.008</v>
      </c>
      <c r="T331">
        <v>0.72799999999999998</v>
      </c>
      <c r="U331">
        <v>1.006</v>
      </c>
      <c r="V331">
        <v>0.54600000000000004</v>
      </c>
      <c r="W331">
        <v>0.746</v>
      </c>
      <c r="X331">
        <v>0.74199999999999999</v>
      </c>
      <c r="Y331">
        <v>0.59399999999999997</v>
      </c>
      <c r="Z331">
        <v>1.095</v>
      </c>
      <c r="AA331">
        <v>0.56399999999999995</v>
      </c>
      <c r="AB331">
        <v>0.80600000000000005</v>
      </c>
      <c r="AC331">
        <v>0.72099999999999997</v>
      </c>
      <c r="AD331">
        <v>0.59099999999999997</v>
      </c>
      <c r="AE331">
        <v>1.0309999999999999</v>
      </c>
      <c r="AF331">
        <v>0.88200000000000001</v>
      </c>
      <c r="AG331">
        <v>0.83099999999999996</v>
      </c>
      <c r="AL331" t="s">
        <v>159</v>
      </c>
      <c r="AM331" t="s">
        <v>159</v>
      </c>
      <c r="AN331" t="s">
        <v>159</v>
      </c>
      <c r="AO331" t="s">
        <v>159</v>
      </c>
      <c r="AP331" t="s">
        <v>159</v>
      </c>
      <c r="AQ331" t="s">
        <v>159</v>
      </c>
      <c r="AR331" t="s">
        <v>159</v>
      </c>
      <c r="AS331" t="s">
        <v>159</v>
      </c>
      <c r="AT331" t="s">
        <v>159</v>
      </c>
      <c r="AU331" t="s">
        <v>159</v>
      </c>
      <c r="AV331" t="s">
        <v>159</v>
      </c>
      <c r="AW331" t="s">
        <v>159</v>
      </c>
      <c r="AX331" t="s">
        <v>159</v>
      </c>
      <c r="AY331" t="s">
        <v>159</v>
      </c>
      <c r="AZ331" t="s">
        <v>159</v>
      </c>
      <c r="BA331" t="s">
        <v>159</v>
      </c>
      <c r="BZ331">
        <v>2.8967811139447543</v>
      </c>
      <c r="CA331">
        <v>1380.9828153452645</v>
      </c>
      <c r="CB331">
        <v>2.87675759508971</v>
      </c>
      <c r="CC331">
        <v>5.0816174257155904</v>
      </c>
      <c r="CD331">
        <v>2.0166344026673602</v>
      </c>
      <c r="CE331">
        <v>5.0530351551290904</v>
      </c>
      <c r="CF331">
        <v>0.89084297537114898</v>
      </c>
      <c r="CG331">
        <v>2.1614854902101599</v>
      </c>
      <c r="CH331">
        <v>2.1287327684586601</v>
      </c>
      <c r="CI331">
        <v>1.13169020822413</v>
      </c>
      <c r="CJ331">
        <v>6.4285074708230798</v>
      </c>
      <c r="CK331">
        <v>0.97680238156912702</v>
      </c>
      <c r="CL331">
        <v>2.6925611375715</v>
      </c>
      <c r="CM331">
        <v>1.96205061326185</v>
      </c>
      <c r="CN331">
        <v>1.11553320026563</v>
      </c>
      <c r="CO331">
        <v>5.4178710457444597</v>
      </c>
      <c r="CP331">
        <v>3.4778018668285502</v>
      </c>
      <c r="CQ331">
        <v>2.9365740861860199</v>
      </c>
    </row>
    <row r="332" spans="1:99" x14ac:dyDescent="0.25">
      <c r="A332" t="s">
        <v>141</v>
      </c>
      <c r="B332" t="s">
        <v>167</v>
      </c>
      <c r="C332" t="s">
        <v>168</v>
      </c>
      <c r="D332">
        <v>-1</v>
      </c>
      <c r="E332">
        <v>1</v>
      </c>
      <c r="F332">
        <v>-1</v>
      </c>
      <c r="G332">
        <v>-1</v>
      </c>
      <c r="H332">
        <v>-1</v>
      </c>
      <c r="I332">
        <v>3</v>
      </c>
      <c r="J332">
        <v>-1</v>
      </c>
      <c r="K332">
        <v>-1</v>
      </c>
      <c r="L332">
        <v>-1</v>
      </c>
      <c r="M332">
        <v>341.33333333333297</v>
      </c>
      <c r="N332">
        <v>119.18253062834</v>
      </c>
      <c r="O332">
        <v>-1</v>
      </c>
      <c r="P332">
        <v>-1</v>
      </c>
      <c r="Q332">
        <v>-1</v>
      </c>
      <c r="R332">
        <v>0.625</v>
      </c>
      <c r="S332">
        <v>0.64900000000000002</v>
      </c>
      <c r="T332">
        <v>0.41499999999999998</v>
      </c>
      <c r="AL332" t="s">
        <v>169</v>
      </c>
      <c r="AM332" t="s">
        <v>169</v>
      </c>
      <c r="AN332" t="s">
        <v>169</v>
      </c>
      <c r="BZ332">
        <v>1.1849143073354114</v>
      </c>
      <c r="CA332">
        <v>141.22108572596093</v>
      </c>
      <c r="CB332">
        <v>1.45163513480174</v>
      </c>
      <c r="CC332">
        <v>1.6004495582718401</v>
      </c>
      <c r="CD332">
        <v>0.50265822893265399</v>
      </c>
    </row>
    <row r="333" spans="1:99" x14ac:dyDescent="0.25">
      <c r="A333" t="s">
        <v>141</v>
      </c>
      <c r="B333" t="s">
        <v>174</v>
      </c>
      <c r="C333" t="s">
        <v>158</v>
      </c>
      <c r="D333">
        <v>-1</v>
      </c>
      <c r="E333">
        <v>1</v>
      </c>
      <c r="F333">
        <v>-1</v>
      </c>
      <c r="G333">
        <v>-1</v>
      </c>
      <c r="H333">
        <v>-1</v>
      </c>
      <c r="I333">
        <v>0</v>
      </c>
      <c r="J333">
        <v>-1</v>
      </c>
      <c r="K333">
        <v>-1</v>
      </c>
      <c r="L333">
        <v>-1</v>
      </c>
      <c r="M333">
        <v>85.3333333333333</v>
      </c>
      <c r="N333">
        <v>29.795632657084901</v>
      </c>
      <c r="O333">
        <v>-1</v>
      </c>
      <c r="P333">
        <v>-1</v>
      </c>
      <c r="Q333">
        <v>-1</v>
      </c>
      <c r="R333">
        <v>0.63600000000000001</v>
      </c>
      <c r="AL333" t="s">
        <v>159</v>
      </c>
      <c r="BZ333">
        <v>0.916885740825508</v>
      </c>
      <c r="CA333">
        <v>27.319190722155991</v>
      </c>
      <c r="CB333">
        <v>0.916885740825508</v>
      </c>
    </row>
    <row r="334" spans="1:99" x14ac:dyDescent="0.25">
      <c r="A334" t="s">
        <v>141</v>
      </c>
      <c r="B334" t="s">
        <v>166</v>
      </c>
      <c r="C334" t="s">
        <v>154</v>
      </c>
      <c r="D334">
        <v>-1</v>
      </c>
      <c r="E334">
        <v>0</v>
      </c>
      <c r="F334">
        <v>0</v>
      </c>
      <c r="G334">
        <v>-1</v>
      </c>
      <c r="H334">
        <v>-1</v>
      </c>
      <c r="I334">
        <v>0</v>
      </c>
      <c r="J334">
        <v>1</v>
      </c>
      <c r="K334">
        <v>-1</v>
      </c>
      <c r="L334">
        <v>-1</v>
      </c>
      <c r="M334">
        <v>85.3333333333333</v>
      </c>
      <c r="N334">
        <v>29.795632657084901</v>
      </c>
      <c r="O334">
        <v>-1</v>
      </c>
      <c r="P334">
        <v>-1</v>
      </c>
      <c r="Q334">
        <v>-1</v>
      </c>
      <c r="R334">
        <v>1.0129999999999999</v>
      </c>
      <c r="AL334" t="s">
        <v>156</v>
      </c>
      <c r="BZ334">
        <v>5.5360287650909799</v>
      </c>
      <c r="CA334">
        <v>164.94947946370621</v>
      </c>
      <c r="CB334">
        <v>5.5360287650909799</v>
      </c>
    </row>
    <row r="335" spans="1:99" x14ac:dyDescent="0.25">
      <c r="A335" t="s">
        <v>141</v>
      </c>
      <c r="B335" t="s">
        <v>198</v>
      </c>
      <c r="C335" t="s">
        <v>199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58056</v>
      </c>
      <c r="N335">
        <v>20271.2724555436</v>
      </c>
      <c r="O335">
        <v>31</v>
      </c>
      <c r="P335">
        <v>28</v>
      </c>
      <c r="Q335">
        <v>59</v>
      </c>
      <c r="R335">
        <v>9.2999999999999999E-2</v>
      </c>
      <c r="S335">
        <v>0.184</v>
      </c>
      <c r="T335">
        <v>9.8000000000000004E-2</v>
      </c>
      <c r="U335">
        <v>0.20599999999999999</v>
      </c>
      <c r="V335">
        <v>9.1999999999999998E-2</v>
      </c>
      <c r="W335">
        <v>8.5999999999999993E-2</v>
      </c>
      <c r="X335">
        <v>0.186</v>
      </c>
      <c r="Y335">
        <v>0.10199999999999999</v>
      </c>
      <c r="Z335">
        <v>9.1999999999999998E-2</v>
      </c>
      <c r="AA335">
        <v>0.153</v>
      </c>
      <c r="AB335">
        <v>9.4E-2</v>
      </c>
      <c r="AC335">
        <v>0.111</v>
      </c>
      <c r="AD335">
        <v>8.8999999999999996E-2</v>
      </c>
      <c r="AE335">
        <v>8.2000000000000003E-2</v>
      </c>
      <c r="AF335">
        <v>0.189</v>
      </c>
      <c r="AG335">
        <v>0.16600000000000001</v>
      </c>
      <c r="AH335">
        <v>0.18099999999999999</v>
      </c>
      <c r="AI335">
        <v>8.5000000000000006E-2</v>
      </c>
      <c r="AJ335">
        <v>9.0999999999999998E-2</v>
      </c>
      <c r="AK335">
        <v>9.5000000000000001E-2</v>
      </c>
      <c r="BZ335">
        <v>0.29805446051388707</v>
      </c>
      <c r="CA335">
        <v>6041.9431756670665</v>
      </c>
      <c r="CB335">
        <v>0.12727827420164603</v>
      </c>
      <c r="CC335">
        <v>0.62570300453344518</v>
      </c>
      <c r="CD335">
        <v>0.13891688780903549</v>
      </c>
      <c r="CE335">
        <v>0.91954209643110441</v>
      </c>
      <c r="CF335">
        <v>0.12507028069583967</v>
      </c>
      <c r="CG335">
        <v>0.11260384075721208</v>
      </c>
      <c r="CH335">
        <v>0.64799036334997595</v>
      </c>
      <c r="CI335">
        <v>0.14898949868956468</v>
      </c>
      <c r="CJ335">
        <v>0.12507028069583967</v>
      </c>
      <c r="CK335">
        <v>0.36371690257748368</v>
      </c>
      <c r="CL335">
        <v>0.12952524767371265</v>
      </c>
      <c r="CM335">
        <v>0.17440424030734322</v>
      </c>
      <c r="CN335">
        <v>0.11867347627390945</v>
      </c>
      <c r="CO335">
        <v>0.10499112521969811</v>
      </c>
      <c r="CP335">
        <v>0.68291870413674205</v>
      </c>
      <c r="CQ335">
        <v>0.45663109130522966</v>
      </c>
      <c r="CR335">
        <v>0.59370099954915723</v>
      </c>
      <c r="CS335">
        <v>0.11065041586454837</v>
      </c>
      <c r="CT335">
        <v>0.12290059094102512</v>
      </c>
      <c r="CU335">
        <v>0.1318118892652273</v>
      </c>
    </row>
    <row r="336" spans="1:99" x14ac:dyDescent="0.25">
      <c r="A336" t="s">
        <v>141</v>
      </c>
      <c r="B336" t="s">
        <v>164</v>
      </c>
      <c r="C336" t="s">
        <v>158</v>
      </c>
      <c r="D336">
        <v>-1</v>
      </c>
      <c r="E336">
        <v>4</v>
      </c>
      <c r="F336">
        <v>-1</v>
      </c>
      <c r="G336">
        <v>-1</v>
      </c>
      <c r="H336">
        <v>-1</v>
      </c>
      <c r="I336">
        <v>7</v>
      </c>
      <c r="J336">
        <v>-1</v>
      </c>
      <c r="K336">
        <v>-1</v>
      </c>
      <c r="L336">
        <v>-1</v>
      </c>
      <c r="M336">
        <v>938.66666666666697</v>
      </c>
      <c r="N336">
        <v>327.75195922793398</v>
      </c>
      <c r="O336">
        <v>-1</v>
      </c>
      <c r="P336">
        <v>-1</v>
      </c>
      <c r="Q336">
        <v>-1</v>
      </c>
      <c r="R336">
        <v>0.318</v>
      </c>
      <c r="S336">
        <v>0.373</v>
      </c>
      <c r="T336">
        <v>0.36399999999999999</v>
      </c>
      <c r="U336">
        <v>0.51900000000000002</v>
      </c>
      <c r="V336">
        <v>0.3</v>
      </c>
      <c r="W336">
        <v>0.34</v>
      </c>
      <c r="X336">
        <v>0.41399999999999998</v>
      </c>
      <c r="Y336">
        <v>0.45400000000000001</v>
      </c>
      <c r="Z336">
        <v>0.56599999999999995</v>
      </c>
      <c r="AA336">
        <v>0.41299999999999998</v>
      </c>
      <c r="AB336">
        <v>0.46400000000000002</v>
      </c>
      <c r="AL336" t="s">
        <v>159</v>
      </c>
      <c r="AM336" t="s">
        <v>159</v>
      </c>
      <c r="AN336" t="s">
        <v>159</v>
      </c>
      <c r="AO336" t="s">
        <v>159</v>
      </c>
      <c r="AP336" t="s">
        <v>159</v>
      </c>
      <c r="AQ336" t="s">
        <v>159</v>
      </c>
      <c r="AR336" t="s">
        <v>159</v>
      </c>
      <c r="AS336" t="s">
        <v>159</v>
      </c>
      <c r="AT336" t="s">
        <v>159</v>
      </c>
      <c r="AU336" t="s">
        <v>159</v>
      </c>
      <c r="AV336" t="s">
        <v>159</v>
      </c>
      <c r="BZ336">
        <v>1.7088885108851117</v>
      </c>
      <c r="CA336">
        <v>560.09155754470191</v>
      </c>
      <c r="CB336">
        <v>0.82974997592986099</v>
      </c>
      <c r="CC336">
        <v>1.2423099951345</v>
      </c>
      <c r="CD336">
        <v>1.16786632408174</v>
      </c>
      <c r="CE336">
        <v>2.8653656500994602</v>
      </c>
      <c r="CF336">
        <v>0.716017124831829</v>
      </c>
      <c r="CG336">
        <v>0.98276186324897996</v>
      </c>
      <c r="CH336">
        <v>1.6174002204090201</v>
      </c>
      <c r="CI336">
        <v>2.0424806115949701</v>
      </c>
      <c r="CJ336">
        <v>3.5680604685197599</v>
      </c>
      <c r="CK336">
        <v>1.60753436427573</v>
      </c>
      <c r="CL336">
        <v>2.1582270216103798</v>
      </c>
    </row>
    <row r="337" spans="1:99" x14ac:dyDescent="0.25">
      <c r="A337" t="s">
        <v>141</v>
      </c>
      <c r="B337" t="s">
        <v>200</v>
      </c>
      <c r="C337" t="s">
        <v>192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15744</v>
      </c>
      <c r="N337">
        <v>5497.29422523216</v>
      </c>
      <c r="O337">
        <v>3</v>
      </c>
      <c r="P337">
        <v>13</v>
      </c>
      <c r="Q337">
        <v>16</v>
      </c>
      <c r="R337">
        <v>0.121</v>
      </c>
      <c r="S337">
        <v>9.2999999999999999E-2</v>
      </c>
      <c r="T337">
        <v>0.104</v>
      </c>
      <c r="U337">
        <v>8.5999999999999993E-2</v>
      </c>
      <c r="V337">
        <v>7.9000000000000001E-2</v>
      </c>
      <c r="W337">
        <v>0.106</v>
      </c>
      <c r="X337">
        <v>0.109</v>
      </c>
      <c r="Y337">
        <v>9.6000000000000002E-2</v>
      </c>
      <c r="Z337">
        <v>9.4E-2</v>
      </c>
      <c r="AA337">
        <v>0.1</v>
      </c>
      <c r="AB337">
        <v>0.1</v>
      </c>
      <c r="AC337">
        <v>8.4000000000000005E-2</v>
      </c>
      <c r="AD337">
        <v>0.122</v>
      </c>
      <c r="AE337">
        <v>0.125</v>
      </c>
      <c r="AF337">
        <v>0.107</v>
      </c>
      <c r="AG337">
        <v>0.128</v>
      </c>
      <c r="BZ337">
        <v>2.3393892499999996E-2</v>
      </c>
      <c r="CA337">
        <v>128.60311014595192</v>
      </c>
      <c r="CB337">
        <v>3.5431219999999999E-2</v>
      </c>
      <c r="CC337">
        <v>1.608714E-2</v>
      </c>
      <c r="CD337">
        <v>2.2497280000000001E-2</v>
      </c>
      <c r="CE337">
        <v>1.2721120000000001E-2</v>
      </c>
      <c r="CF337">
        <v>9.8607799999999995E-3</v>
      </c>
      <c r="CG337">
        <v>2.3820319999999999E-2</v>
      </c>
      <c r="CH337">
        <v>2.5900579999999999E-2</v>
      </c>
      <c r="CI337">
        <v>1.7694720000000001E-2</v>
      </c>
      <c r="CJ337">
        <v>1.661168E-2</v>
      </c>
      <c r="CK337">
        <v>0.02</v>
      </c>
      <c r="CL337">
        <v>0.02</v>
      </c>
      <c r="CM337">
        <v>1.1854079999999999E-2</v>
      </c>
      <c r="CN337">
        <v>3.6316960000000002E-2</v>
      </c>
      <c r="CO337">
        <v>3.90625E-2</v>
      </c>
      <c r="CP337">
        <v>2.4500859999999999E-2</v>
      </c>
      <c r="CQ337">
        <v>4.1943040000000001E-2</v>
      </c>
    </row>
    <row r="338" spans="1:99" x14ac:dyDescent="0.25">
      <c r="A338" t="s">
        <v>141</v>
      </c>
      <c r="B338" t="s">
        <v>163</v>
      </c>
      <c r="C338" t="s">
        <v>158</v>
      </c>
      <c r="D338">
        <v>-1</v>
      </c>
      <c r="E338">
        <v>128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32768</v>
      </c>
      <c r="N338">
        <v>11441.522940320599</v>
      </c>
      <c r="O338">
        <v>-1</v>
      </c>
      <c r="P338">
        <v>-1</v>
      </c>
      <c r="Q338">
        <v>-1</v>
      </c>
      <c r="R338">
        <v>0.79900000000000004</v>
      </c>
      <c r="S338">
        <v>0.42599999999999999</v>
      </c>
      <c r="T338">
        <v>0.45200000000000001</v>
      </c>
      <c r="U338">
        <v>0.65500000000000003</v>
      </c>
      <c r="V338">
        <v>0.374</v>
      </c>
      <c r="W338">
        <v>0.59699999999999998</v>
      </c>
      <c r="X338">
        <v>0.56799999999999995</v>
      </c>
      <c r="Y338">
        <v>0.45800000000000002</v>
      </c>
      <c r="Z338">
        <v>0.35</v>
      </c>
      <c r="AA338">
        <v>0.88400000000000001</v>
      </c>
      <c r="AB338">
        <v>0.54900000000000004</v>
      </c>
      <c r="AC338">
        <v>0.49199999999999999</v>
      </c>
      <c r="AD338">
        <v>0.308</v>
      </c>
      <c r="AE338">
        <v>0.54100000000000004</v>
      </c>
      <c r="AF338">
        <v>0.84</v>
      </c>
      <c r="AG338">
        <v>0.33100000000000002</v>
      </c>
      <c r="AH338">
        <v>0.50900000000000001</v>
      </c>
      <c r="AI338">
        <v>0.48</v>
      </c>
      <c r="AJ338">
        <v>0.23799999999999999</v>
      </c>
      <c r="AK338">
        <v>0.45200000000000001</v>
      </c>
      <c r="AL338" t="s">
        <v>159</v>
      </c>
      <c r="AM338" t="s">
        <v>159</v>
      </c>
      <c r="AN338" t="s">
        <v>159</v>
      </c>
      <c r="AO338" t="s">
        <v>159</v>
      </c>
      <c r="AP338" t="s">
        <v>159</v>
      </c>
      <c r="AQ338" t="s">
        <v>159</v>
      </c>
      <c r="AR338" t="s">
        <v>159</v>
      </c>
      <c r="AS338" t="s">
        <v>159</v>
      </c>
      <c r="AT338" t="s">
        <v>159</v>
      </c>
      <c r="AU338" t="s">
        <v>159</v>
      </c>
      <c r="AV338" t="s">
        <v>159</v>
      </c>
      <c r="AW338" t="s">
        <v>159</v>
      </c>
      <c r="AX338" t="s">
        <v>159</v>
      </c>
      <c r="AY338" t="s">
        <v>159</v>
      </c>
      <c r="AZ338" t="s">
        <v>159</v>
      </c>
      <c r="BA338" t="s">
        <v>159</v>
      </c>
      <c r="BB338" t="s">
        <v>159</v>
      </c>
      <c r="BC338" t="s">
        <v>159</v>
      </c>
      <c r="BD338" t="s">
        <v>159</v>
      </c>
      <c r="BE338" t="s">
        <v>159</v>
      </c>
      <c r="BZ338">
        <v>1.3542602010948113</v>
      </c>
      <c r="CA338">
        <v>15494.799157989471</v>
      </c>
      <c r="CB338">
        <v>3.8852295839500099</v>
      </c>
      <c r="CC338">
        <v>0.52252741618424003</v>
      </c>
      <c r="CD338">
        <v>0.63122482126804902</v>
      </c>
      <c r="CE338">
        <v>2.0611149241829998</v>
      </c>
      <c r="CF338">
        <v>0.34494739694446103</v>
      </c>
      <c r="CG338">
        <v>1.5333827641084901</v>
      </c>
      <c r="CH338">
        <v>1.30816839325267</v>
      </c>
      <c r="CI338">
        <v>0.65834468815804104</v>
      </c>
      <c r="CJ338">
        <v>0.27917049875803601</v>
      </c>
      <c r="CK338">
        <v>5.3638322405283203</v>
      </c>
      <c r="CL338">
        <v>1.1736219941927399</v>
      </c>
      <c r="CM338">
        <v>0.82729640823805894</v>
      </c>
      <c r="CN338">
        <v>0.18568176113647999</v>
      </c>
      <c r="CO338">
        <v>1.1199322132229299</v>
      </c>
      <c r="CP338">
        <v>4.5576753187183101</v>
      </c>
      <c r="CQ338">
        <v>0.23363815128638599</v>
      </c>
      <c r="CR338">
        <v>0.92198145717019997</v>
      </c>
      <c r="CS338">
        <v>0.76463118806907704</v>
      </c>
      <c r="CT338">
        <v>8.1577981258674506E-2</v>
      </c>
      <c r="CU338">
        <v>0.63122482126804902</v>
      </c>
    </row>
    <row r="339" spans="1:99" x14ac:dyDescent="0.25">
      <c r="A339" t="s">
        <v>141</v>
      </c>
      <c r="B339" t="s">
        <v>201</v>
      </c>
      <c r="C339" t="s">
        <v>192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33456</v>
      </c>
      <c r="N339">
        <v>11681.750228618301</v>
      </c>
      <c r="O339">
        <v>22</v>
      </c>
      <c r="P339">
        <v>12</v>
      </c>
      <c r="Q339">
        <v>34</v>
      </c>
      <c r="R339">
        <v>0.13300000000000001</v>
      </c>
      <c r="S339">
        <v>0.161</v>
      </c>
      <c r="T339">
        <v>0.13100000000000001</v>
      </c>
      <c r="U339">
        <v>0.153</v>
      </c>
      <c r="V339">
        <v>0.13</v>
      </c>
      <c r="W339">
        <v>0.152</v>
      </c>
      <c r="X339">
        <v>0.14599999999999999</v>
      </c>
      <c r="Y339">
        <v>0.14899999999999999</v>
      </c>
      <c r="Z339">
        <v>0.129</v>
      </c>
      <c r="AA339">
        <v>0.125</v>
      </c>
      <c r="AB339">
        <v>0.14599999999999999</v>
      </c>
      <c r="AC339">
        <v>0.13400000000000001</v>
      </c>
      <c r="AD339">
        <v>0.13500000000000001</v>
      </c>
      <c r="AE339">
        <v>0.121</v>
      </c>
      <c r="AF339">
        <v>0.13600000000000001</v>
      </c>
      <c r="AG339">
        <v>0.123</v>
      </c>
      <c r="AH339">
        <v>0.125</v>
      </c>
      <c r="AI339">
        <v>0.125</v>
      </c>
      <c r="AJ339">
        <v>0.13</v>
      </c>
      <c r="AK339">
        <v>0.14099999999999999</v>
      </c>
      <c r="BZ339">
        <v>7.8587282917499997E-3</v>
      </c>
      <c r="CA339">
        <v>91.803701018799671</v>
      </c>
      <c r="CB339">
        <v>7.1637796649999998E-3</v>
      </c>
      <c r="CC339">
        <v>1.2707640645000001E-2</v>
      </c>
      <c r="CD339">
        <v>6.8454370950000003E-3</v>
      </c>
      <c r="CE339">
        <v>1.0905901964999999E-2</v>
      </c>
      <c r="CF339">
        <v>6.6898649999999997E-3</v>
      </c>
      <c r="CG339">
        <v>1.069345536E-2</v>
      </c>
      <c r="CH339">
        <v>9.47645412E-3</v>
      </c>
      <c r="CI339">
        <v>1.0072704704999999E-2</v>
      </c>
      <c r="CJ339">
        <v>6.5366680050000002E-3</v>
      </c>
      <c r="CK339">
        <v>5.9472656249999999E-3</v>
      </c>
      <c r="CL339">
        <v>9.47645412E-3</v>
      </c>
      <c r="CM339">
        <v>7.3265866800000003E-3</v>
      </c>
      <c r="CN339">
        <v>7.4918418750000004E-3</v>
      </c>
      <c r="CO339">
        <v>5.3944032450000002E-3</v>
      </c>
      <c r="CP339">
        <v>7.65956352E-3</v>
      </c>
      <c r="CQ339">
        <v>5.6663400150000001E-3</v>
      </c>
      <c r="CR339">
        <v>5.9472656249999999E-3</v>
      </c>
      <c r="CS339">
        <v>5.9472656249999999E-3</v>
      </c>
      <c r="CT339">
        <v>6.6898649999999997E-3</v>
      </c>
      <c r="CU339">
        <v>8.5358079449999995E-3</v>
      </c>
    </row>
    <row r="340" spans="1:99" x14ac:dyDescent="0.25">
      <c r="A340" t="s">
        <v>141</v>
      </c>
      <c r="B340" t="s">
        <v>202</v>
      </c>
      <c r="C340" t="s">
        <v>192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8856</v>
      </c>
      <c r="N340">
        <v>3092.2280016930899</v>
      </c>
      <c r="O340">
        <v>5</v>
      </c>
      <c r="P340">
        <v>4</v>
      </c>
      <c r="Q340">
        <v>9</v>
      </c>
      <c r="R340">
        <v>8.5000000000000006E-2</v>
      </c>
      <c r="S340">
        <v>9.7000000000000003E-2</v>
      </c>
      <c r="T340">
        <v>7.6999999999999999E-2</v>
      </c>
      <c r="U340">
        <v>8.5000000000000006E-2</v>
      </c>
      <c r="V340">
        <v>0.1</v>
      </c>
      <c r="W340">
        <v>9.1999999999999998E-2</v>
      </c>
      <c r="X340">
        <v>8.5000000000000006E-2</v>
      </c>
      <c r="Y340">
        <v>7.4999999999999997E-2</v>
      </c>
      <c r="Z340">
        <v>8.8999999999999996E-2</v>
      </c>
      <c r="BZ340">
        <v>1.3593584444444445E-3</v>
      </c>
      <c r="CA340">
        <v>4.2034462462490723</v>
      </c>
      <c r="CB340">
        <v>1.22825E-3</v>
      </c>
      <c r="CC340">
        <v>1.825346E-3</v>
      </c>
      <c r="CD340">
        <v>9.1306600000000003E-4</v>
      </c>
      <c r="CE340">
        <v>1.22825E-3</v>
      </c>
      <c r="CF340">
        <v>2E-3</v>
      </c>
      <c r="CG340">
        <v>1.5573760000000001E-3</v>
      </c>
      <c r="CH340">
        <v>1.22825E-3</v>
      </c>
      <c r="CI340">
        <v>8.4374999999999999E-4</v>
      </c>
      <c r="CJ340">
        <v>1.4099379999999999E-3</v>
      </c>
    </row>
    <row r="341" spans="1:99" x14ac:dyDescent="0.25">
      <c r="A341" t="s">
        <v>141</v>
      </c>
      <c r="B341" t="s">
        <v>203</v>
      </c>
      <c r="C341" t="s">
        <v>192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984</v>
      </c>
      <c r="N341">
        <v>343.58088907701</v>
      </c>
      <c r="O341">
        <v>1</v>
      </c>
      <c r="P341">
        <v>0</v>
      </c>
      <c r="Q341">
        <v>1</v>
      </c>
      <c r="R341">
        <v>9.9000000000000005E-2</v>
      </c>
      <c r="BZ341">
        <v>1.940598E-3</v>
      </c>
      <c r="CA341">
        <v>0.66675238618106747</v>
      </c>
      <c r="CB341">
        <v>1.940598E-3</v>
      </c>
    </row>
    <row r="342" spans="1:99" x14ac:dyDescent="0.25">
      <c r="A342" t="s">
        <v>141</v>
      </c>
      <c r="B342" t="s">
        <v>204</v>
      </c>
      <c r="C342" t="s">
        <v>192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38376</v>
      </c>
      <c r="N342">
        <v>13399.654674003399</v>
      </c>
      <c r="O342">
        <v>20</v>
      </c>
      <c r="P342">
        <v>19</v>
      </c>
      <c r="Q342">
        <v>39</v>
      </c>
      <c r="R342">
        <v>0.10299999999999999</v>
      </c>
      <c r="S342">
        <v>0.115</v>
      </c>
      <c r="T342">
        <v>0.122</v>
      </c>
      <c r="U342">
        <v>0.126</v>
      </c>
      <c r="V342">
        <v>0.11899999999999999</v>
      </c>
      <c r="W342">
        <v>0.111</v>
      </c>
      <c r="X342">
        <v>0.11700000000000001</v>
      </c>
      <c r="Y342">
        <v>0.115</v>
      </c>
      <c r="Z342">
        <v>0.124</v>
      </c>
      <c r="AA342">
        <v>0.13100000000000001</v>
      </c>
      <c r="AB342">
        <v>0.122</v>
      </c>
      <c r="AC342">
        <v>0.13</v>
      </c>
      <c r="AD342">
        <v>0.11600000000000001</v>
      </c>
      <c r="AE342">
        <v>0.14000000000000001</v>
      </c>
      <c r="AF342">
        <v>0.113</v>
      </c>
      <c r="AG342">
        <v>0.11799999999999999</v>
      </c>
      <c r="AH342">
        <v>0.113</v>
      </c>
      <c r="AI342">
        <v>0.125</v>
      </c>
      <c r="AJ342">
        <v>0.12</v>
      </c>
      <c r="AK342">
        <v>0.128</v>
      </c>
      <c r="BZ342">
        <v>3.5384665999999994E-3</v>
      </c>
      <c r="CA342">
        <v>47.414230515494907</v>
      </c>
      <c r="CB342">
        <v>2.1854539999999999E-3</v>
      </c>
      <c r="CC342">
        <v>3.0417500000000002E-3</v>
      </c>
      <c r="CD342">
        <v>3.6316959999999998E-3</v>
      </c>
      <c r="CE342">
        <v>4.0007519999999998E-3</v>
      </c>
      <c r="CF342">
        <v>3.3703180000000002E-3</v>
      </c>
      <c r="CG342">
        <v>2.735262E-3</v>
      </c>
      <c r="CH342">
        <v>3.203226E-3</v>
      </c>
      <c r="CI342">
        <v>3.0417500000000002E-3</v>
      </c>
      <c r="CJ342">
        <v>3.813248E-3</v>
      </c>
      <c r="CK342">
        <v>4.4961819999999996E-3</v>
      </c>
      <c r="CL342">
        <v>3.6316959999999998E-3</v>
      </c>
      <c r="CM342">
        <v>4.3940000000000003E-3</v>
      </c>
      <c r="CN342">
        <v>3.121792E-3</v>
      </c>
      <c r="CO342">
        <v>5.4879999999999998E-3</v>
      </c>
      <c r="CP342">
        <v>2.8857940000000001E-3</v>
      </c>
      <c r="CQ342">
        <v>3.286064E-3</v>
      </c>
      <c r="CR342">
        <v>2.8857940000000001E-3</v>
      </c>
      <c r="CS342">
        <v>3.90625E-3</v>
      </c>
      <c r="CT342">
        <v>3.4559999999999999E-3</v>
      </c>
      <c r="CU342">
        <v>4.1943040000000003E-3</v>
      </c>
    </row>
    <row r="343" spans="1:99" x14ac:dyDescent="0.25">
      <c r="A343" t="s">
        <v>141</v>
      </c>
      <c r="B343" t="s">
        <v>205</v>
      </c>
      <c r="C343" t="s">
        <v>192</v>
      </c>
      <c r="D343">
        <v>-1</v>
      </c>
      <c r="E343">
        <v>-1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1968</v>
      </c>
      <c r="N343">
        <v>687.16177815402</v>
      </c>
      <c r="O343">
        <v>0</v>
      </c>
      <c r="P343">
        <v>2</v>
      </c>
      <c r="Q343">
        <v>2</v>
      </c>
      <c r="R343">
        <v>0.108</v>
      </c>
      <c r="S343">
        <v>9.5000000000000001E-2</v>
      </c>
      <c r="BZ343">
        <v>2.1170870000000001E-3</v>
      </c>
      <c r="CA343">
        <v>1.4547812674267597</v>
      </c>
      <c r="CB343">
        <v>2.5194240000000001E-3</v>
      </c>
      <c r="CC343">
        <v>1.7147499999999999E-3</v>
      </c>
    </row>
    <row r="344" spans="1:99" x14ac:dyDescent="0.25">
      <c r="A344" t="s">
        <v>141</v>
      </c>
      <c r="B344" t="s">
        <v>161</v>
      </c>
      <c r="C344" t="s">
        <v>154</v>
      </c>
      <c r="D344">
        <v>-1</v>
      </c>
      <c r="E344">
        <v>0</v>
      </c>
      <c r="F344">
        <v>0</v>
      </c>
      <c r="G344">
        <v>-1</v>
      </c>
      <c r="H344">
        <v>-1</v>
      </c>
      <c r="I344">
        <v>0</v>
      </c>
      <c r="J344">
        <v>2</v>
      </c>
      <c r="K344">
        <v>-1</v>
      </c>
      <c r="L344">
        <v>-1</v>
      </c>
      <c r="M344">
        <v>170.666666666667</v>
      </c>
      <c r="N344">
        <v>59.591265314169803</v>
      </c>
      <c r="O344">
        <v>-1</v>
      </c>
      <c r="P344">
        <v>-1</v>
      </c>
      <c r="Q344">
        <v>-1</v>
      </c>
      <c r="R344">
        <v>0.92300000000000004</v>
      </c>
      <c r="S344">
        <v>0.99099999999999999</v>
      </c>
      <c r="AL344" t="s">
        <v>156</v>
      </c>
      <c r="AM344" t="s">
        <v>156</v>
      </c>
      <c r="BZ344">
        <v>4.3875024244472751</v>
      </c>
      <c r="CA344">
        <v>261.45682104180082</v>
      </c>
      <c r="CB344">
        <v>3.9847458948394499</v>
      </c>
      <c r="CC344">
        <v>4.7902589540551004</v>
      </c>
    </row>
    <row r="345" spans="1:99" x14ac:dyDescent="0.25">
      <c r="A345" t="s">
        <v>141</v>
      </c>
      <c r="B345" t="s">
        <v>165</v>
      </c>
      <c r="C345" t="s">
        <v>158</v>
      </c>
      <c r="D345">
        <v>-1</v>
      </c>
      <c r="E345">
        <v>1</v>
      </c>
      <c r="F345">
        <v>-1</v>
      </c>
      <c r="G345">
        <v>-1</v>
      </c>
      <c r="H345">
        <v>-1</v>
      </c>
      <c r="I345">
        <v>1</v>
      </c>
      <c r="J345">
        <v>-1</v>
      </c>
      <c r="K345">
        <v>2</v>
      </c>
      <c r="L345">
        <v>-1</v>
      </c>
      <c r="M345">
        <v>146.28571428571399</v>
      </c>
      <c r="N345">
        <v>51.078227412145502</v>
      </c>
      <c r="O345">
        <v>-1</v>
      </c>
      <c r="P345">
        <v>-1</v>
      </c>
      <c r="Q345">
        <v>-1</v>
      </c>
      <c r="R345">
        <v>1.76</v>
      </c>
      <c r="S345">
        <v>1.583</v>
      </c>
      <c r="T345">
        <v>2.266</v>
      </c>
      <c r="U345">
        <v>2.0449999999999999</v>
      </c>
      <c r="AL345" t="s">
        <v>159</v>
      </c>
      <c r="AM345" t="s">
        <v>159</v>
      </c>
      <c r="AN345" t="s">
        <v>159</v>
      </c>
      <c r="AO345" t="s">
        <v>159</v>
      </c>
      <c r="BZ345">
        <v>2.5899904687504947</v>
      </c>
      <c r="CA345">
        <v>132.29212215812709</v>
      </c>
      <c r="CB345">
        <v>1.9885144852771399</v>
      </c>
      <c r="CC345">
        <v>1.4983869382827499</v>
      </c>
      <c r="CD345">
        <v>3.9043962199134401</v>
      </c>
      <c r="CE345">
        <v>2.96866423152865</v>
      </c>
    </row>
    <row r="346" spans="1:99" x14ac:dyDescent="0.25">
      <c r="A346" t="s">
        <v>141</v>
      </c>
      <c r="B346" t="s">
        <v>212</v>
      </c>
      <c r="C346" t="s">
        <v>192</v>
      </c>
      <c r="D346">
        <v>-1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4920</v>
      </c>
      <c r="N346">
        <v>1717.9044453850499</v>
      </c>
      <c r="O346">
        <v>3</v>
      </c>
      <c r="P346">
        <v>2</v>
      </c>
      <c r="Q346">
        <v>5</v>
      </c>
      <c r="R346">
        <v>0.26200000000000001</v>
      </c>
      <c r="S346">
        <v>0.32400000000000001</v>
      </c>
      <c r="T346">
        <v>0.29799999999999999</v>
      </c>
      <c r="U346">
        <v>0.35499999999999998</v>
      </c>
      <c r="V346">
        <v>0.36699999999999999</v>
      </c>
      <c r="BZ346">
        <v>0.34526056399999999</v>
      </c>
      <c r="CA346">
        <v>593.12465771174948</v>
      </c>
      <c r="CB346">
        <v>0.17984728</v>
      </c>
      <c r="CC346">
        <v>0.34012224000000002</v>
      </c>
      <c r="CD346">
        <v>0.26463592000000002</v>
      </c>
      <c r="CE346">
        <v>0.44738875</v>
      </c>
      <c r="CF346">
        <v>0.49430863000000003</v>
      </c>
    </row>
    <row r="347" spans="1:99" x14ac:dyDescent="0.25">
      <c r="A347" t="s">
        <v>141</v>
      </c>
      <c r="B347" t="s">
        <v>206</v>
      </c>
      <c r="C347" t="s">
        <v>192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984</v>
      </c>
      <c r="N347">
        <v>343.58088907701</v>
      </c>
      <c r="O347">
        <v>1</v>
      </c>
      <c r="P347">
        <v>0</v>
      </c>
      <c r="Q347">
        <v>1</v>
      </c>
      <c r="R347">
        <v>0.17599999999999999</v>
      </c>
      <c r="BZ347">
        <v>5.4517759999999998E-2</v>
      </c>
      <c r="CA347">
        <v>18.731260451287053</v>
      </c>
      <c r="CB347">
        <v>5.4517759999999998E-2</v>
      </c>
    </row>
    <row r="348" spans="1:99" x14ac:dyDescent="0.25">
      <c r="A348" t="s">
        <v>141</v>
      </c>
      <c r="B348" t="s">
        <v>207</v>
      </c>
      <c r="C348" t="s">
        <v>192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1968</v>
      </c>
      <c r="N348">
        <v>687.16177815402</v>
      </c>
      <c r="O348">
        <v>1</v>
      </c>
      <c r="P348">
        <v>1</v>
      </c>
      <c r="Q348">
        <v>2</v>
      </c>
      <c r="R348">
        <v>0.13900000000000001</v>
      </c>
      <c r="S348">
        <v>0.10299999999999999</v>
      </c>
      <c r="BZ348">
        <v>1.8891729999999999E-2</v>
      </c>
      <c r="CA348">
        <v>12.981674779205644</v>
      </c>
      <c r="CB348">
        <v>2.6856189999999999E-2</v>
      </c>
      <c r="CC348">
        <v>1.0927269999999999E-2</v>
      </c>
    </row>
    <row r="349" spans="1:99" x14ac:dyDescent="0.25">
      <c r="A349" t="s">
        <v>141</v>
      </c>
      <c r="B349" t="s">
        <v>153</v>
      </c>
      <c r="C349" t="s">
        <v>154</v>
      </c>
      <c r="D349">
        <v>-1</v>
      </c>
      <c r="E349">
        <v>0</v>
      </c>
      <c r="F349">
        <v>1</v>
      </c>
      <c r="G349">
        <v>-1</v>
      </c>
      <c r="H349">
        <v>-1</v>
      </c>
      <c r="I349">
        <v>0</v>
      </c>
      <c r="J349">
        <v>0</v>
      </c>
      <c r="K349">
        <v>-1</v>
      </c>
      <c r="L349">
        <v>-1</v>
      </c>
      <c r="M349">
        <v>85.3333333333333</v>
      </c>
      <c r="N349">
        <v>29.795632657084901</v>
      </c>
      <c r="O349">
        <v>-1</v>
      </c>
      <c r="P349">
        <v>-1</v>
      </c>
      <c r="Q349">
        <v>-1</v>
      </c>
      <c r="R349">
        <v>0.98399999999999999</v>
      </c>
      <c r="AL349" t="s">
        <v>156</v>
      </c>
      <c r="BZ349">
        <v>4.70311427412366</v>
      </c>
      <c r="CA349">
        <v>140.13226525608107</v>
      </c>
      <c r="CB349">
        <v>4.70311427412366</v>
      </c>
    </row>
    <row r="350" spans="1:99" x14ac:dyDescent="0.25">
      <c r="A350" t="s">
        <v>141</v>
      </c>
      <c r="B350" t="s">
        <v>210</v>
      </c>
      <c r="C350" t="s">
        <v>192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10824</v>
      </c>
      <c r="N350">
        <v>3779.3897798471098</v>
      </c>
      <c r="O350">
        <v>7</v>
      </c>
      <c r="P350">
        <v>4</v>
      </c>
      <c r="Q350">
        <v>11</v>
      </c>
      <c r="R350">
        <v>0.14499999999999999</v>
      </c>
      <c r="S350">
        <v>0.13700000000000001</v>
      </c>
      <c r="T350">
        <v>0.155</v>
      </c>
      <c r="U350">
        <v>0.14299999999999999</v>
      </c>
      <c r="V350">
        <v>0.20599999999999999</v>
      </c>
      <c r="W350">
        <v>0.14000000000000001</v>
      </c>
      <c r="X350">
        <v>0.121</v>
      </c>
      <c r="Y350">
        <v>7.5999999999999998E-2</v>
      </c>
      <c r="Z350">
        <v>0.121</v>
      </c>
      <c r="AA350">
        <v>0.16600000000000001</v>
      </c>
      <c r="AB350">
        <v>0.185</v>
      </c>
      <c r="BZ350">
        <v>3.512899545454546E-2</v>
      </c>
      <c r="CA350">
        <v>132.7661663972047</v>
      </c>
      <c r="CB350">
        <v>3.0486249999999999E-2</v>
      </c>
      <c r="CC350">
        <v>2.5713529999999998E-2</v>
      </c>
      <c r="CD350">
        <v>3.7238750000000001E-2</v>
      </c>
      <c r="CE350">
        <v>2.9242069999999998E-2</v>
      </c>
      <c r="CF350">
        <v>8.7418159999999995E-2</v>
      </c>
      <c r="CG350">
        <v>2.7439999999999999E-2</v>
      </c>
      <c r="CH350">
        <v>1.771561E-2</v>
      </c>
      <c r="CI350">
        <v>4.3897600000000004E-3</v>
      </c>
      <c r="CJ350">
        <v>1.771561E-2</v>
      </c>
      <c r="CK350">
        <v>4.5742959999999999E-2</v>
      </c>
      <c r="CL350">
        <v>6.3316250000000004E-2</v>
      </c>
    </row>
    <row r="351" spans="1:99" x14ac:dyDescent="0.25">
      <c r="A351" t="s">
        <v>141</v>
      </c>
      <c r="B351" t="s">
        <v>211</v>
      </c>
      <c r="C351" t="s">
        <v>192</v>
      </c>
      <c r="D351">
        <v>-1</v>
      </c>
      <c r="E351">
        <v>-1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36408</v>
      </c>
      <c r="N351">
        <v>12712.4928958494</v>
      </c>
      <c r="O351">
        <v>23</v>
      </c>
      <c r="P351">
        <v>14</v>
      </c>
      <c r="Q351">
        <v>37</v>
      </c>
      <c r="R351">
        <v>0.371</v>
      </c>
      <c r="S351">
        <v>0.317</v>
      </c>
      <c r="T351">
        <v>0.35699999999999998</v>
      </c>
      <c r="U351">
        <v>0.248</v>
      </c>
      <c r="V351">
        <v>0.32600000000000001</v>
      </c>
      <c r="W351">
        <v>0.33200000000000002</v>
      </c>
      <c r="X351">
        <v>0.36799999999999999</v>
      </c>
      <c r="Y351">
        <v>0.26900000000000002</v>
      </c>
      <c r="Z351">
        <v>0.29299999999999998</v>
      </c>
      <c r="AA351">
        <v>0.245</v>
      </c>
      <c r="AB351">
        <v>0.35</v>
      </c>
      <c r="AC351">
        <v>0.33600000000000002</v>
      </c>
      <c r="AD351">
        <v>0.29199999999999998</v>
      </c>
      <c r="AE351">
        <v>0.34300000000000003</v>
      </c>
      <c r="AF351">
        <v>0.307</v>
      </c>
      <c r="AG351">
        <v>0.24199999999999999</v>
      </c>
      <c r="AH351">
        <v>0.26200000000000001</v>
      </c>
      <c r="AI351">
        <v>0.191</v>
      </c>
      <c r="AJ351">
        <v>0.189</v>
      </c>
      <c r="AK351">
        <v>0.36899999999999999</v>
      </c>
      <c r="BF351">
        <v>7.6999999999999999E-2</v>
      </c>
      <c r="BG351">
        <v>8.7999999999999995E-2</v>
      </c>
      <c r="BH351">
        <v>8.8999999999999996E-2</v>
      </c>
      <c r="BI351">
        <v>8.2000000000000003E-2</v>
      </c>
      <c r="BJ351">
        <v>8.1000000000000003E-2</v>
      </c>
      <c r="BK351">
        <v>8.2000000000000003E-2</v>
      </c>
      <c r="BL351">
        <v>8.3000000000000004E-2</v>
      </c>
      <c r="BM351">
        <v>7.9000000000000001E-2</v>
      </c>
      <c r="BN351">
        <v>7.5999999999999998E-2</v>
      </c>
      <c r="BO351">
        <v>0.104</v>
      </c>
      <c r="BP351">
        <v>8.5000000000000006E-2</v>
      </c>
      <c r="BQ351">
        <v>9.0999999999999998E-2</v>
      </c>
      <c r="BR351">
        <v>7.4999999999999997E-2</v>
      </c>
      <c r="BS351">
        <v>7.5999999999999998E-2</v>
      </c>
      <c r="BT351">
        <v>7.8E-2</v>
      </c>
      <c r="BU351">
        <v>7.6999999999999999E-2</v>
      </c>
      <c r="BV351">
        <v>6.7000000000000004E-2</v>
      </c>
      <c r="BW351">
        <v>7.8E-2</v>
      </c>
      <c r="BX351">
        <v>7.3999999999999996E-2</v>
      </c>
      <c r="BY351">
        <v>9.2999999999999999E-2</v>
      </c>
      <c r="BZ351">
        <v>0.1069242266456</v>
      </c>
      <c r="CA351">
        <v>1359.2734716263813</v>
      </c>
      <c r="CB351">
        <v>0.115068561608</v>
      </c>
      <c r="CC351">
        <v>0.128418008576</v>
      </c>
      <c r="CD351">
        <v>0.14792771666400001</v>
      </c>
      <c r="CE351">
        <v>8.7232980224000001E-2</v>
      </c>
      <c r="CF351">
        <v>0.111889404432</v>
      </c>
      <c r="CG351">
        <v>0.116779634816</v>
      </c>
      <c r="CH351">
        <v>0.132618871424</v>
      </c>
      <c r="CI351">
        <v>8.7822902647999995E-2</v>
      </c>
      <c r="CJ351">
        <v>8.8531154816000004E-2</v>
      </c>
      <c r="CK351">
        <v>0.13862261504000001</v>
      </c>
      <c r="CL351">
        <v>0.13228397</v>
      </c>
      <c r="CM351">
        <v>0.14555374579200001</v>
      </c>
      <c r="CN351">
        <v>8.5922460000000006E-2</v>
      </c>
      <c r="CO351">
        <v>0.103638860416</v>
      </c>
      <c r="CP351">
        <v>9.7707725856000002E-2</v>
      </c>
      <c r="CQ351">
        <v>7.5058199216000002E-2</v>
      </c>
      <c r="CR351">
        <v>6.1525084815999997E-2</v>
      </c>
      <c r="CS351">
        <v>6.0788845728000002E-2</v>
      </c>
      <c r="CT351">
        <v>5.4141036768E-2</v>
      </c>
      <c r="CU351">
        <v>0.166952754072</v>
      </c>
    </row>
    <row r="352" spans="1:99" x14ac:dyDescent="0.25">
      <c r="A352" t="s">
        <v>143</v>
      </c>
      <c r="B352" t="s">
        <v>217</v>
      </c>
      <c r="C352" t="s">
        <v>192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2368</v>
      </c>
      <c r="N352">
        <v>818.80134209591097</v>
      </c>
      <c r="O352">
        <v>0</v>
      </c>
      <c r="P352">
        <v>1</v>
      </c>
      <c r="Q352">
        <v>1</v>
      </c>
      <c r="R352">
        <v>7.5999999999999998E-2</v>
      </c>
      <c r="BZ352">
        <v>5.2677119999999999E-3</v>
      </c>
      <c r="CA352">
        <v>4.3132096553747354</v>
      </c>
      <c r="CB352">
        <v>5.2677119999999999E-3</v>
      </c>
    </row>
    <row r="353" spans="1:99" x14ac:dyDescent="0.25">
      <c r="A353" t="s">
        <v>143</v>
      </c>
      <c r="B353" t="s">
        <v>191</v>
      </c>
      <c r="C353" t="s">
        <v>192</v>
      </c>
      <c r="D353">
        <v>-1</v>
      </c>
      <c r="E353">
        <v>-1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16576</v>
      </c>
      <c r="N353">
        <v>5731.60939467137</v>
      </c>
      <c r="O353">
        <v>5</v>
      </c>
      <c r="P353">
        <v>2</v>
      </c>
      <c r="Q353">
        <v>7</v>
      </c>
      <c r="R353">
        <v>0.13</v>
      </c>
      <c r="S353">
        <v>0.11700000000000001</v>
      </c>
      <c r="T353">
        <v>9.8000000000000004E-2</v>
      </c>
      <c r="U353">
        <v>0.106</v>
      </c>
      <c r="V353">
        <v>0.09</v>
      </c>
      <c r="W353">
        <v>0.112</v>
      </c>
      <c r="X353">
        <v>0.10100000000000001</v>
      </c>
      <c r="BZ353">
        <v>1.5591514285714285E-2</v>
      </c>
      <c r="CA353">
        <v>89.364469757152861</v>
      </c>
      <c r="CB353">
        <v>2.6363999999999999E-2</v>
      </c>
      <c r="CC353">
        <v>1.9219356E-2</v>
      </c>
      <c r="CD353">
        <v>1.1294304E-2</v>
      </c>
      <c r="CE353">
        <v>1.4292192E-2</v>
      </c>
      <c r="CF353">
        <v>8.7480000000000006E-3</v>
      </c>
      <c r="CG353">
        <v>1.6859136E-2</v>
      </c>
      <c r="CH353">
        <v>1.2363612E-2</v>
      </c>
    </row>
    <row r="354" spans="1:99" x14ac:dyDescent="0.25">
      <c r="A354" t="s">
        <v>143</v>
      </c>
      <c r="B354" t="s">
        <v>193</v>
      </c>
      <c r="C354" t="s">
        <v>192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2368</v>
      </c>
      <c r="N354">
        <v>818.80134209591097</v>
      </c>
      <c r="O354">
        <v>0</v>
      </c>
      <c r="P354">
        <v>1</v>
      </c>
      <c r="Q354">
        <v>1</v>
      </c>
      <c r="R354">
        <v>0.64400000000000002</v>
      </c>
      <c r="BZ354">
        <v>2.39579715648</v>
      </c>
      <c r="CA354">
        <v>1961.6819271153913</v>
      </c>
      <c r="CB354">
        <v>2.39579715648</v>
      </c>
    </row>
    <row r="355" spans="1:99" x14ac:dyDescent="0.25">
      <c r="A355" t="s">
        <v>143</v>
      </c>
      <c r="B355" t="s">
        <v>172</v>
      </c>
      <c r="C355" t="s">
        <v>158</v>
      </c>
      <c r="D355">
        <v>-1</v>
      </c>
      <c r="E355">
        <v>7</v>
      </c>
      <c r="F355">
        <v>-1</v>
      </c>
      <c r="G355">
        <v>-1</v>
      </c>
      <c r="H355">
        <v>-1</v>
      </c>
      <c r="I355">
        <v>6</v>
      </c>
      <c r="J355">
        <v>-1</v>
      </c>
      <c r="K355">
        <v>-1</v>
      </c>
      <c r="L355">
        <v>-1</v>
      </c>
      <c r="M355">
        <v>277.33333333333297</v>
      </c>
      <c r="N355">
        <v>95.895652677899406</v>
      </c>
      <c r="O355">
        <v>-1</v>
      </c>
      <c r="P355">
        <v>-1</v>
      </c>
      <c r="Q355">
        <v>-1</v>
      </c>
      <c r="R355">
        <v>0.26</v>
      </c>
      <c r="S355">
        <v>0.437</v>
      </c>
      <c r="T355">
        <v>0.61399999999999999</v>
      </c>
      <c r="U355">
        <v>0.34899999999999998</v>
      </c>
      <c r="V355">
        <v>0.22500000000000001</v>
      </c>
      <c r="W355">
        <v>0.35199999999999998</v>
      </c>
      <c r="X355">
        <v>0.314</v>
      </c>
      <c r="Y355">
        <v>0.29399999999999998</v>
      </c>
      <c r="Z355">
        <v>0.22700000000000001</v>
      </c>
      <c r="AA355">
        <v>0.33800000000000002</v>
      </c>
      <c r="AB355">
        <v>0.32900000000000001</v>
      </c>
      <c r="AC355">
        <v>0.246</v>
      </c>
      <c r="AD355">
        <v>0.36399999999999999</v>
      </c>
      <c r="AL355" t="s">
        <v>159</v>
      </c>
      <c r="AM355" t="s">
        <v>159</v>
      </c>
      <c r="AN355" t="s">
        <v>159</v>
      </c>
      <c r="AO355" t="s">
        <v>159</v>
      </c>
      <c r="AP355" t="s">
        <v>159</v>
      </c>
      <c r="AQ355" t="s">
        <v>159</v>
      </c>
      <c r="AR355" t="s">
        <v>159</v>
      </c>
      <c r="AS355" t="s">
        <v>159</v>
      </c>
      <c r="AT355" t="s">
        <v>159</v>
      </c>
      <c r="AU355" t="s">
        <v>159</v>
      </c>
      <c r="AV355" t="s">
        <v>159</v>
      </c>
      <c r="AW355" t="s">
        <v>159</v>
      </c>
      <c r="AX355" t="s">
        <v>159</v>
      </c>
      <c r="BZ355">
        <v>1.11669076441879</v>
      </c>
      <c r="CA355">
        <v>107.08578969332227</v>
      </c>
      <c r="CB355">
        <v>0.49852759783592898</v>
      </c>
      <c r="CC355">
        <v>1.8544907457334101</v>
      </c>
      <c r="CD355">
        <v>4.3840208799095501</v>
      </c>
      <c r="CE355">
        <v>1.04991699361795</v>
      </c>
      <c r="CF355">
        <v>0.34580272058712702</v>
      </c>
      <c r="CG355">
        <v>1.0729008108743201</v>
      </c>
      <c r="CH355">
        <v>0.80359762501548704</v>
      </c>
      <c r="CI355">
        <v>0.68033902120397705</v>
      </c>
      <c r="CJ355">
        <v>0.35363240419414799</v>
      </c>
      <c r="CK355">
        <v>0.96820180203853501</v>
      </c>
      <c r="CL355">
        <v>0.90429942924878204</v>
      </c>
      <c r="CM355">
        <v>0.43338358310331399</v>
      </c>
      <c r="CN355">
        <v>1.16786632408174</v>
      </c>
    </row>
    <row r="356" spans="1:99" x14ac:dyDescent="0.25">
      <c r="A356" t="s">
        <v>143</v>
      </c>
      <c r="B356" t="s">
        <v>157</v>
      </c>
      <c r="C356" t="s">
        <v>158</v>
      </c>
      <c r="D356">
        <v>79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79</v>
      </c>
      <c r="N356">
        <v>27.316429909449699</v>
      </c>
      <c r="O356">
        <v>-1</v>
      </c>
      <c r="P356">
        <v>-1</v>
      </c>
      <c r="Q356">
        <v>-1</v>
      </c>
      <c r="R356">
        <v>2.4319999999999999</v>
      </c>
      <c r="S356">
        <v>2.6040000000000001</v>
      </c>
      <c r="T356">
        <v>1.984</v>
      </c>
      <c r="U356">
        <v>2.3650000000000002</v>
      </c>
      <c r="V356">
        <v>2.8</v>
      </c>
      <c r="W356">
        <v>1.6819999999999999</v>
      </c>
      <c r="X356">
        <v>2.855</v>
      </c>
      <c r="Y356">
        <v>2.4820000000000002</v>
      </c>
      <c r="Z356">
        <v>2.6139999999999999</v>
      </c>
      <c r="AA356">
        <v>2.7090000000000001</v>
      </c>
      <c r="AB356">
        <v>2.8580000000000001</v>
      </c>
      <c r="AC356">
        <v>2.8130000000000002</v>
      </c>
      <c r="AD356">
        <v>2.9780000000000002</v>
      </c>
      <c r="AE356">
        <v>2.1480000000000001</v>
      </c>
      <c r="AF356">
        <v>2.0510000000000002</v>
      </c>
      <c r="AG356">
        <v>2.9590000000000001</v>
      </c>
      <c r="AH356">
        <v>3.5880000000000001</v>
      </c>
      <c r="AI356">
        <v>2.629</v>
      </c>
      <c r="AJ356">
        <v>3.1819999999999999</v>
      </c>
      <c r="AK356">
        <v>2.3730000000000002</v>
      </c>
      <c r="AL356" t="s">
        <v>159</v>
      </c>
      <c r="AM356" t="s">
        <v>159</v>
      </c>
      <c r="AN356" t="s">
        <v>159</v>
      </c>
      <c r="AO356" t="s">
        <v>159</v>
      </c>
      <c r="AP356" t="s">
        <v>159</v>
      </c>
      <c r="AQ356" t="s">
        <v>159</v>
      </c>
      <c r="AR356" t="s">
        <v>159</v>
      </c>
      <c r="AS356" t="s">
        <v>159</v>
      </c>
      <c r="AT356" t="s">
        <v>159</v>
      </c>
      <c r="AU356" t="s">
        <v>159</v>
      </c>
      <c r="AV356" t="s">
        <v>159</v>
      </c>
      <c r="AW356" t="s">
        <v>159</v>
      </c>
      <c r="AX356" t="s">
        <v>159</v>
      </c>
      <c r="AY356" t="s">
        <v>159</v>
      </c>
      <c r="AZ356" t="s">
        <v>159</v>
      </c>
      <c r="BA356" t="s">
        <v>159</v>
      </c>
      <c r="BB356" t="s">
        <v>159</v>
      </c>
      <c r="BC356" t="s">
        <v>159</v>
      </c>
      <c r="BD356" t="s">
        <v>159</v>
      </c>
      <c r="BE356" t="s">
        <v>159</v>
      </c>
      <c r="BZ356">
        <v>129.25253023323532</v>
      </c>
      <c r="CA356">
        <v>3530.7176827352009</v>
      </c>
      <c r="CB356">
        <v>108.571852082486</v>
      </c>
      <c r="CC356">
        <v>125.239992163184</v>
      </c>
      <c r="CD356">
        <v>70.943967017369005</v>
      </c>
      <c r="CE356">
        <v>102.414270767867</v>
      </c>
      <c r="CF356">
        <v>145.75171354589401</v>
      </c>
      <c r="CG356">
        <v>50.237695116085099</v>
      </c>
      <c r="CH356">
        <v>151.79943638800799</v>
      </c>
      <c r="CI356">
        <v>113.28935339802</v>
      </c>
      <c r="CJ356">
        <v>126.24728661577601</v>
      </c>
      <c r="CK356">
        <v>136.02671317944501</v>
      </c>
      <c r="CL356">
        <v>152.133001203997</v>
      </c>
      <c r="CM356">
        <v>147.16960492194599</v>
      </c>
      <c r="CN356">
        <v>165.78910728224599</v>
      </c>
      <c r="CO356">
        <v>83.753896851380603</v>
      </c>
      <c r="CP356">
        <v>76.043415312800605</v>
      </c>
      <c r="CQ356">
        <v>163.58608580234599</v>
      </c>
      <c r="CR356">
        <v>244.73437369111099</v>
      </c>
      <c r="CS356">
        <v>127.766120707372</v>
      </c>
      <c r="CT356">
        <v>190.41306782249401</v>
      </c>
      <c r="CU356">
        <v>103.139650794879</v>
      </c>
    </row>
    <row r="357" spans="1:99" x14ac:dyDescent="0.25">
      <c r="A357" t="s">
        <v>143</v>
      </c>
      <c r="B357" t="s">
        <v>171</v>
      </c>
      <c r="C357" t="s">
        <v>158</v>
      </c>
      <c r="D357">
        <v>3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3</v>
      </c>
      <c r="N357">
        <v>1.0373327813715101</v>
      </c>
      <c r="O357">
        <v>-1</v>
      </c>
      <c r="P357">
        <v>-1</v>
      </c>
      <c r="Q357">
        <v>-1</v>
      </c>
      <c r="R357">
        <v>1.353</v>
      </c>
      <c r="S357">
        <v>2.2109999999999999</v>
      </c>
      <c r="T357">
        <v>1.53</v>
      </c>
      <c r="AL357" t="s">
        <v>159</v>
      </c>
      <c r="AM357" t="s">
        <v>159</v>
      </c>
      <c r="AN357" t="s">
        <v>159</v>
      </c>
      <c r="BZ357">
        <v>9.0420586860628358</v>
      </c>
      <c r="CA357">
        <v>9.379623886137983</v>
      </c>
      <c r="CB357">
        <v>4.0105426669632598</v>
      </c>
      <c r="CC357">
        <v>17.3304627840885</v>
      </c>
      <c r="CD357">
        <v>5.7851706071367497</v>
      </c>
    </row>
    <row r="358" spans="1:99" x14ac:dyDescent="0.25">
      <c r="A358" t="s">
        <v>143</v>
      </c>
      <c r="B358" t="s">
        <v>183</v>
      </c>
      <c r="C358" t="s">
        <v>158</v>
      </c>
      <c r="D358">
        <v>-1</v>
      </c>
      <c r="E358">
        <v>2</v>
      </c>
      <c r="F358">
        <v>-1</v>
      </c>
      <c r="G358">
        <v>-1</v>
      </c>
      <c r="H358">
        <v>-1</v>
      </c>
      <c r="I358">
        <v>2</v>
      </c>
      <c r="J358">
        <v>-1</v>
      </c>
      <c r="K358">
        <v>-1</v>
      </c>
      <c r="L358">
        <v>-1</v>
      </c>
      <c r="M358">
        <v>85.3333333333333</v>
      </c>
      <c r="N358">
        <v>29.506354670122899</v>
      </c>
      <c r="O358">
        <v>-1</v>
      </c>
      <c r="P358">
        <v>-1</v>
      </c>
      <c r="Q358">
        <v>-1</v>
      </c>
      <c r="R358">
        <v>0.32500000000000001</v>
      </c>
      <c r="S358">
        <v>0.443</v>
      </c>
      <c r="T358">
        <v>0.55000000000000004</v>
      </c>
      <c r="U358">
        <v>0.499</v>
      </c>
      <c r="AL358" t="s">
        <v>159</v>
      </c>
      <c r="AM358" t="s">
        <v>159</v>
      </c>
      <c r="AN358" t="s">
        <v>159</v>
      </c>
      <c r="AO358" t="s">
        <v>159</v>
      </c>
      <c r="BZ358">
        <v>1.5674488373040163</v>
      </c>
      <c r="CA358">
        <v>46.249701320764068</v>
      </c>
      <c r="CB358">
        <v>0.49145750426016499</v>
      </c>
      <c r="CC358">
        <v>1.3038424645972</v>
      </c>
      <c r="CD358">
        <v>2.5774832739114002</v>
      </c>
      <c r="CE358">
        <v>1.8970121064473</v>
      </c>
    </row>
    <row r="359" spans="1:99" x14ac:dyDescent="0.25">
      <c r="A359" t="s">
        <v>143</v>
      </c>
      <c r="B359" t="s">
        <v>194</v>
      </c>
      <c r="C359" t="s">
        <v>192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11840</v>
      </c>
      <c r="N359">
        <v>4094.0067104795498</v>
      </c>
      <c r="O359">
        <v>3</v>
      </c>
      <c r="P359">
        <v>2</v>
      </c>
      <c r="Q359">
        <v>5</v>
      </c>
      <c r="BF359">
        <v>4.2000000000000003E-2</v>
      </c>
      <c r="BG359">
        <v>3.1E-2</v>
      </c>
      <c r="BH359">
        <v>0.03</v>
      </c>
      <c r="BI359">
        <v>3.5999999999999997E-2</v>
      </c>
      <c r="BJ359">
        <v>2.7E-2</v>
      </c>
      <c r="BZ359">
        <v>7.0998480000000006E-3</v>
      </c>
      <c r="CA359">
        <v>29.066825355384815</v>
      </c>
      <c r="CB359">
        <v>1.333584E-2</v>
      </c>
      <c r="CC359">
        <v>5.3623799999999999E-3</v>
      </c>
      <c r="CD359">
        <v>4.8599999999999997E-3</v>
      </c>
      <c r="CE359">
        <v>8.3980800000000005E-3</v>
      </c>
      <c r="CF359">
        <v>3.5429400000000001E-3</v>
      </c>
    </row>
    <row r="360" spans="1:99" x14ac:dyDescent="0.25">
      <c r="A360" t="s">
        <v>143</v>
      </c>
      <c r="B360" t="s">
        <v>195</v>
      </c>
      <c r="C360" t="s">
        <v>192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556480</v>
      </c>
      <c r="N360">
        <v>192418.31539253899</v>
      </c>
      <c r="O360">
        <v>117</v>
      </c>
      <c r="P360">
        <v>118</v>
      </c>
      <c r="Q360">
        <v>235</v>
      </c>
      <c r="R360">
        <v>0.19400000000000001</v>
      </c>
      <c r="S360">
        <v>7.2999999999999995E-2</v>
      </c>
      <c r="T360">
        <v>0.186</v>
      </c>
      <c r="U360">
        <v>0.151</v>
      </c>
      <c r="V360">
        <v>0.14799999999999999</v>
      </c>
      <c r="W360">
        <v>0.158</v>
      </c>
      <c r="X360">
        <v>0.126</v>
      </c>
      <c r="Y360">
        <v>0.129</v>
      </c>
      <c r="Z360">
        <v>0.17</v>
      </c>
      <c r="AA360">
        <v>0.13200000000000001</v>
      </c>
      <c r="AB360">
        <v>0.11700000000000001</v>
      </c>
      <c r="AC360">
        <v>0.106</v>
      </c>
      <c r="AD360">
        <v>0.15</v>
      </c>
      <c r="AE360">
        <v>0.157</v>
      </c>
      <c r="AF360">
        <v>7.1999999999999995E-2</v>
      </c>
      <c r="AG360">
        <v>0.17499999999999999</v>
      </c>
      <c r="AH360">
        <v>0.13200000000000001</v>
      </c>
      <c r="AI360">
        <v>0.152</v>
      </c>
      <c r="AJ360">
        <v>0.122</v>
      </c>
      <c r="AK360">
        <v>0.182</v>
      </c>
      <c r="BF360">
        <v>5.3999999999999999E-2</v>
      </c>
      <c r="BG360">
        <v>5.5E-2</v>
      </c>
      <c r="BH360">
        <v>4.8000000000000001E-2</v>
      </c>
      <c r="BI360">
        <v>7.4999999999999997E-2</v>
      </c>
      <c r="BJ360">
        <v>5.8000000000000003E-2</v>
      </c>
      <c r="BK360">
        <v>0.08</v>
      </c>
      <c r="BL360">
        <v>6.2E-2</v>
      </c>
      <c r="BM360">
        <v>6.7000000000000004E-2</v>
      </c>
      <c r="BN360">
        <v>7.3999999999999996E-2</v>
      </c>
      <c r="BO360">
        <v>6.2E-2</v>
      </c>
      <c r="BP360">
        <v>5.2999999999999999E-2</v>
      </c>
      <c r="BQ360">
        <v>3.5000000000000003E-2</v>
      </c>
      <c r="BR360">
        <v>5.2999999999999999E-2</v>
      </c>
      <c r="BS360">
        <v>5.3999999999999999E-2</v>
      </c>
      <c r="BT360">
        <v>4.8000000000000001E-2</v>
      </c>
      <c r="BU360">
        <v>5.3999999999999999E-2</v>
      </c>
      <c r="BV360">
        <v>4.3999999999999997E-2</v>
      </c>
      <c r="BW360">
        <v>6.4000000000000001E-2</v>
      </c>
      <c r="BX360">
        <v>4.7E-2</v>
      </c>
      <c r="BY360">
        <v>4.9000000000000002E-2</v>
      </c>
      <c r="BZ360">
        <v>1.2575874999999997E-2</v>
      </c>
      <c r="CA360">
        <v>2419.8286820871458</v>
      </c>
      <c r="CB360">
        <v>1.4708304E-2</v>
      </c>
      <c r="CC360">
        <v>5.7414500000000004E-3</v>
      </c>
      <c r="CD360">
        <v>1.1142144E-2</v>
      </c>
      <c r="CE360">
        <v>2.2083749999999999E-2</v>
      </c>
      <c r="CF360">
        <v>1.2944672000000001E-2</v>
      </c>
      <c r="CG360">
        <v>2.6291200000000001E-2</v>
      </c>
      <c r="CH360">
        <v>1.2592944E-2</v>
      </c>
      <c r="CI360">
        <v>1.5056106E-2</v>
      </c>
      <c r="CJ360">
        <v>2.420392E-2</v>
      </c>
      <c r="CK360">
        <v>1.3192608E-2</v>
      </c>
      <c r="CL360">
        <v>8.5449779999999999E-3</v>
      </c>
      <c r="CM360">
        <v>3.3760999999999999E-3</v>
      </c>
      <c r="CN360">
        <v>1.0955100000000001E-2</v>
      </c>
      <c r="CO360">
        <v>1.1903112E-2</v>
      </c>
      <c r="CP360">
        <v>4.3130879999999996E-3</v>
      </c>
      <c r="CQ360">
        <v>1.32678E-2</v>
      </c>
      <c r="CR360">
        <v>6.6443520000000001E-3</v>
      </c>
      <c r="CS360">
        <v>1.6187391999999998E-2</v>
      </c>
      <c r="CT360">
        <v>7.0069479999999998E-3</v>
      </c>
      <c r="CU360">
        <v>1.1361532000000001E-2</v>
      </c>
    </row>
    <row r="361" spans="1:99" x14ac:dyDescent="0.25">
      <c r="A361" t="s">
        <v>143</v>
      </c>
      <c r="B361" t="s">
        <v>196</v>
      </c>
      <c r="C361" t="s">
        <v>197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71040</v>
      </c>
      <c r="N361">
        <v>24564.040262877301</v>
      </c>
      <c r="O361">
        <v>11</v>
      </c>
      <c r="P361">
        <v>19</v>
      </c>
      <c r="Q361">
        <v>30</v>
      </c>
      <c r="R361">
        <v>0.17100000000000001</v>
      </c>
      <c r="S361">
        <v>0.14699999999999999</v>
      </c>
      <c r="T361">
        <v>0.13</v>
      </c>
      <c r="U361">
        <v>0.23300000000000001</v>
      </c>
      <c r="V361">
        <v>0.11899999999999999</v>
      </c>
      <c r="W361">
        <v>0.10100000000000001</v>
      </c>
      <c r="X361">
        <v>0.106</v>
      </c>
      <c r="Y361">
        <v>0.13800000000000001</v>
      </c>
      <c r="Z361">
        <v>0.122</v>
      </c>
      <c r="AA361">
        <v>0.248</v>
      </c>
      <c r="AB361">
        <v>0.189</v>
      </c>
      <c r="AC361">
        <v>0.161</v>
      </c>
      <c r="AD361">
        <v>0.29499999999999998</v>
      </c>
      <c r="AE361">
        <v>0.27300000000000002</v>
      </c>
      <c r="AF361">
        <v>0.216</v>
      </c>
      <c r="AG361">
        <v>9.7000000000000003E-2</v>
      </c>
      <c r="AH361">
        <v>0.192</v>
      </c>
      <c r="AI361">
        <v>0.26800000000000002</v>
      </c>
      <c r="AJ361">
        <v>0.32200000000000001</v>
      </c>
      <c r="AK361">
        <v>0.25</v>
      </c>
      <c r="BZ361">
        <v>0.15791870603595948</v>
      </c>
      <c r="CA361">
        <v>3879.1214533287935</v>
      </c>
      <c r="CB361">
        <v>0.10171096812044977</v>
      </c>
      <c r="CC361">
        <v>7.0752000921116026E-2</v>
      </c>
      <c r="CD361">
        <v>5.2679442313682365E-2</v>
      </c>
      <c r="CE361">
        <v>0.21371319331727137</v>
      </c>
      <c r="CF361">
        <v>4.2607870634685928E-2</v>
      </c>
      <c r="CG361">
        <v>2.8744080484255873E-2</v>
      </c>
      <c r="CH361">
        <v>3.2278340588934862E-2</v>
      </c>
      <c r="CI361">
        <v>6.0797669266349663E-2</v>
      </c>
      <c r="CJ361">
        <v>4.5231471504872452E-2</v>
      </c>
      <c r="CK361">
        <v>0.24823393807328409</v>
      </c>
      <c r="CL361">
        <v>0.12932588325119743</v>
      </c>
      <c r="CM361">
        <v>8.8015513207260532E-2</v>
      </c>
      <c r="CN361">
        <v>0.37648697987647245</v>
      </c>
      <c r="CO361">
        <v>0.31258452664593761</v>
      </c>
      <c r="CP361">
        <v>0.1781829422348174</v>
      </c>
      <c r="CQ361">
        <v>2.6087309181848019E-2</v>
      </c>
      <c r="CR361">
        <v>0.13430744025989136</v>
      </c>
      <c r="CS361">
        <v>0.29902026967587847</v>
      </c>
      <c r="CT361">
        <v>0.46454866379086579</v>
      </c>
      <c r="CU361">
        <v>0.25306561737011801</v>
      </c>
    </row>
    <row r="362" spans="1:99" x14ac:dyDescent="0.25">
      <c r="A362" t="s">
        <v>143</v>
      </c>
      <c r="B362" t="s">
        <v>173</v>
      </c>
      <c r="C362" t="s">
        <v>168</v>
      </c>
      <c r="D362">
        <v>-1</v>
      </c>
      <c r="E362">
        <v>2</v>
      </c>
      <c r="F362">
        <v>-1</v>
      </c>
      <c r="G362">
        <v>-1</v>
      </c>
      <c r="H362">
        <v>-1</v>
      </c>
      <c r="I362">
        <v>3</v>
      </c>
      <c r="J362">
        <v>-1</v>
      </c>
      <c r="K362">
        <v>-1</v>
      </c>
      <c r="L362">
        <v>-1</v>
      </c>
      <c r="M362">
        <v>106.666666666667</v>
      </c>
      <c r="N362">
        <v>36.8829433376536</v>
      </c>
      <c r="O362">
        <v>-1</v>
      </c>
      <c r="P362">
        <v>-1</v>
      </c>
      <c r="Q362">
        <v>-1</v>
      </c>
      <c r="R362">
        <v>0.81</v>
      </c>
      <c r="S362">
        <v>0.51100000000000001</v>
      </c>
      <c r="T362">
        <v>0.42099999999999999</v>
      </c>
      <c r="U362">
        <v>0.58299999999999996</v>
      </c>
      <c r="V362">
        <v>0.80500000000000005</v>
      </c>
      <c r="AL362" t="s">
        <v>169</v>
      </c>
      <c r="AM362" t="s">
        <v>169</v>
      </c>
      <c r="AN362" t="s">
        <v>169</v>
      </c>
      <c r="AO362" t="s">
        <v>169</v>
      </c>
      <c r="AP362" t="s">
        <v>169</v>
      </c>
      <c r="BZ362">
        <v>1.1308534783927719</v>
      </c>
      <c r="CA362">
        <v>41.709204766749089</v>
      </c>
      <c r="CB362">
        <v>2.27831812361593</v>
      </c>
      <c r="CC362">
        <v>0.36589781284170098</v>
      </c>
      <c r="CD362">
        <v>0.16956208978183299</v>
      </c>
      <c r="CE362">
        <v>0.61749437011290598</v>
      </c>
      <c r="CF362">
        <v>2.2229949956114901</v>
      </c>
    </row>
    <row r="363" spans="1:99" x14ac:dyDescent="0.25">
      <c r="A363" t="s">
        <v>143</v>
      </c>
      <c r="B363" t="s">
        <v>170</v>
      </c>
      <c r="C363" t="s">
        <v>158</v>
      </c>
      <c r="D363">
        <v>-1</v>
      </c>
      <c r="E363">
        <v>5</v>
      </c>
      <c r="F363">
        <v>-1</v>
      </c>
      <c r="G363">
        <v>-1</v>
      </c>
      <c r="H363">
        <v>-1</v>
      </c>
      <c r="I363">
        <v>6</v>
      </c>
      <c r="J363">
        <v>-1</v>
      </c>
      <c r="K363">
        <v>-1</v>
      </c>
      <c r="L363">
        <v>-1</v>
      </c>
      <c r="M363">
        <v>234.666666666667</v>
      </c>
      <c r="N363">
        <v>81.142475342837997</v>
      </c>
      <c r="O363">
        <v>-1</v>
      </c>
      <c r="P363">
        <v>-1</v>
      </c>
      <c r="Q363">
        <v>-1</v>
      </c>
      <c r="R363">
        <v>0.503</v>
      </c>
      <c r="S363">
        <v>0.83299999999999996</v>
      </c>
      <c r="T363">
        <v>0.69399999999999995</v>
      </c>
      <c r="U363">
        <v>1.123</v>
      </c>
      <c r="V363">
        <v>0.67600000000000005</v>
      </c>
      <c r="W363">
        <v>0.89600000000000002</v>
      </c>
      <c r="X363">
        <v>0.751</v>
      </c>
      <c r="Y363">
        <v>0.59499999999999997</v>
      </c>
      <c r="Z363">
        <v>0.504</v>
      </c>
      <c r="AA363">
        <v>0.70899999999999996</v>
      </c>
      <c r="AB363">
        <v>0.54200000000000004</v>
      </c>
      <c r="AL363" t="s">
        <v>159</v>
      </c>
      <c r="AM363" t="s">
        <v>159</v>
      </c>
      <c r="AN363" t="s">
        <v>159</v>
      </c>
      <c r="AO363" t="s">
        <v>159</v>
      </c>
      <c r="AP363" t="s">
        <v>159</v>
      </c>
      <c r="AQ363" t="s">
        <v>159</v>
      </c>
      <c r="AR363" t="s">
        <v>159</v>
      </c>
      <c r="AS363" t="s">
        <v>159</v>
      </c>
      <c r="AT363" t="s">
        <v>159</v>
      </c>
      <c r="AU363" t="s">
        <v>159</v>
      </c>
      <c r="AV363" t="s">
        <v>159</v>
      </c>
      <c r="BZ363">
        <v>2.2175390865519415</v>
      </c>
      <c r="CA363">
        <v>179.93661065232041</v>
      </c>
      <c r="CB363">
        <v>0.70571139838156305</v>
      </c>
      <c r="CC363">
        <v>2.9566904495715902</v>
      </c>
      <c r="CD363">
        <v>1.7604956267774601</v>
      </c>
      <c r="CE363">
        <v>6.9064132686487403</v>
      </c>
      <c r="CF363">
        <v>1.6338894590884501</v>
      </c>
      <c r="CG363">
        <v>3.63687857908949</v>
      </c>
      <c r="CH363">
        <v>2.2028832240052298</v>
      </c>
      <c r="CI363">
        <v>1.1371093672316099</v>
      </c>
      <c r="CJ363">
        <v>0.70970322379446105</v>
      </c>
      <c r="CK363">
        <v>1.8707224684938999</v>
      </c>
      <c r="CL363">
        <v>0.87243288698886901</v>
      </c>
    </row>
    <row r="364" spans="1:99" x14ac:dyDescent="0.25">
      <c r="A364" t="s">
        <v>143</v>
      </c>
      <c r="B364" t="s">
        <v>167</v>
      </c>
      <c r="C364" t="s">
        <v>168</v>
      </c>
      <c r="D364">
        <v>-1</v>
      </c>
      <c r="E364">
        <v>55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3520</v>
      </c>
      <c r="N364">
        <v>1217.13713014257</v>
      </c>
      <c r="O364">
        <v>-1</v>
      </c>
      <c r="P364">
        <v>-1</v>
      </c>
      <c r="Q364">
        <v>-1</v>
      </c>
      <c r="R364">
        <v>0.39800000000000002</v>
      </c>
      <c r="S364">
        <v>0.63700000000000001</v>
      </c>
      <c r="T364">
        <v>0.48899999999999999</v>
      </c>
      <c r="U364">
        <v>0.91600000000000004</v>
      </c>
      <c r="V364">
        <v>0.45400000000000001</v>
      </c>
      <c r="W364">
        <v>0.54900000000000004</v>
      </c>
      <c r="X364">
        <v>0.54700000000000004</v>
      </c>
      <c r="Y364">
        <v>1.087</v>
      </c>
      <c r="Z364">
        <v>0.64100000000000001</v>
      </c>
      <c r="AA364">
        <v>0.54800000000000004</v>
      </c>
      <c r="AB364">
        <v>0.50700000000000001</v>
      </c>
      <c r="AC364">
        <v>0.86399999999999999</v>
      </c>
      <c r="AD364">
        <v>0.78200000000000003</v>
      </c>
      <c r="AE364">
        <v>0.55100000000000005</v>
      </c>
      <c r="AF364">
        <v>0.79600000000000004</v>
      </c>
      <c r="AG364">
        <v>0.53800000000000003</v>
      </c>
      <c r="AH364">
        <v>0.64400000000000002</v>
      </c>
      <c r="AI364">
        <v>0.50600000000000001</v>
      </c>
      <c r="AJ364">
        <v>0.86</v>
      </c>
      <c r="AK364">
        <v>0.498</v>
      </c>
      <c r="AL364" t="s">
        <v>169</v>
      </c>
      <c r="AM364" t="s">
        <v>169</v>
      </c>
      <c r="AN364" t="s">
        <v>169</v>
      </c>
      <c r="AO364" t="s">
        <v>169</v>
      </c>
      <c r="AP364" t="s">
        <v>169</v>
      </c>
      <c r="AQ364" t="s">
        <v>169</v>
      </c>
      <c r="AR364" t="s">
        <v>169</v>
      </c>
      <c r="AS364" t="s">
        <v>169</v>
      </c>
      <c r="AT364" t="s">
        <v>169</v>
      </c>
      <c r="AU364" t="s">
        <v>169</v>
      </c>
      <c r="AV364" t="s">
        <v>169</v>
      </c>
      <c r="AW364" t="s">
        <v>169</v>
      </c>
      <c r="AX364" t="s">
        <v>169</v>
      </c>
      <c r="AY364" t="s">
        <v>169</v>
      </c>
      <c r="AZ364" t="s">
        <v>169</v>
      </c>
      <c r="BA364" t="s">
        <v>169</v>
      </c>
      <c r="BB364" t="s">
        <v>169</v>
      </c>
      <c r="BC364" t="s">
        <v>169</v>
      </c>
      <c r="BD364" t="s">
        <v>169</v>
      </c>
      <c r="BE364" t="s">
        <v>169</v>
      </c>
      <c r="BZ364">
        <v>1.804859606855193</v>
      </c>
      <c r="CA364">
        <v>2196.7616421979765</v>
      </c>
      <c r="CB364">
        <v>0.45105072258378298</v>
      </c>
      <c r="CC364">
        <v>1.5249280602927899</v>
      </c>
      <c r="CD364">
        <v>0.76884389704409295</v>
      </c>
      <c r="CE364">
        <v>3.9069468490230101</v>
      </c>
      <c r="CF364">
        <v>0.63431193808593</v>
      </c>
      <c r="CG364">
        <v>1.0375776263954899</v>
      </c>
      <c r="CH364">
        <v>1.02781606477645</v>
      </c>
      <c r="CI364">
        <v>6.08643159550539</v>
      </c>
      <c r="CJ364">
        <v>1.54985305135717</v>
      </c>
      <c r="CK364">
        <v>1.0326897648953499</v>
      </c>
      <c r="CL364">
        <v>0.84430398851986499</v>
      </c>
      <c r="CM364">
        <v>3.35814016578956</v>
      </c>
      <c r="CN364">
        <v>2.5937834607625501</v>
      </c>
      <c r="CO364">
        <v>1.0473958944923401</v>
      </c>
      <c r="CP364">
        <v>2.7157705323466002</v>
      </c>
      <c r="CQ364">
        <v>0.984587505419938</v>
      </c>
      <c r="CR364">
        <v>1.56870984702197</v>
      </c>
      <c r="CS364">
        <v>0.83999763795320703</v>
      </c>
      <c r="CT364">
        <v>3.31802164610263</v>
      </c>
      <c r="CU364">
        <v>0.80603188873574305</v>
      </c>
    </row>
    <row r="365" spans="1:99" x14ac:dyDescent="0.25">
      <c r="A365" t="s">
        <v>143</v>
      </c>
      <c r="B365" t="s">
        <v>174</v>
      </c>
      <c r="C365" t="s">
        <v>158</v>
      </c>
      <c r="D365">
        <v>-1</v>
      </c>
      <c r="E365">
        <v>0</v>
      </c>
      <c r="F365">
        <v>-1</v>
      </c>
      <c r="G365">
        <v>-1</v>
      </c>
      <c r="H365">
        <v>-1</v>
      </c>
      <c r="I365">
        <v>1</v>
      </c>
      <c r="J365">
        <v>-1</v>
      </c>
      <c r="K365">
        <v>-1</v>
      </c>
      <c r="L365">
        <v>-1</v>
      </c>
      <c r="M365">
        <v>21.3333333333333</v>
      </c>
      <c r="N365">
        <v>7.3765886675307302</v>
      </c>
      <c r="O365">
        <v>-1</v>
      </c>
      <c r="P365">
        <v>-1</v>
      </c>
      <c r="Q365">
        <v>-1</v>
      </c>
      <c r="R365">
        <v>0.52800000000000002</v>
      </c>
      <c r="AL365" t="s">
        <v>159</v>
      </c>
      <c r="BZ365">
        <v>0.52073013543403401</v>
      </c>
      <c r="CA365">
        <v>3.8412120158844378</v>
      </c>
      <c r="CB365">
        <v>0.52073013543403401</v>
      </c>
    </row>
    <row r="366" spans="1:99" x14ac:dyDescent="0.25">
      <c r="A366" t="s">
        <v>143</v>
      </c>
      <c r="B366" t="s">
        <v>166</v>
      </c>
      <c r="C366" t="s">
        <v>154</v>
      </c>
      <c r="D366">
        <v>-1</v>
      </c>
      <c r="E366">
        <v>0</v>
      </c>
      <c r="F366">
        <v>0</v>
      </c>
      <c r="G366">
        <v>-1</v>
      </c>
      <c r="H366">
        <v>-1</v>
      </c>
      <c r="I366">
        <v>2</v>
      </c>
      <c r="J366">
        <v>0</v>
      </c>
      <c r="K366">
        <v>-1</v>
      </c>
      <c r="L366">
        <v>-1</v>
      </c>
      <c r="M366">
        <v>42.6666666666667</v>
      </c>
      <c r="N366">
        <v>14.753177335061499</v>
      </c>
      <c r="O366">
        <v>-1</v>
      </c>
      <c r="P366">
        <v>-1</v>
      </c>
      <c r="Q366">
        <v>-1</v>
      </c>
      <c r="R366">
        <v>0.98499999999999999</v>
      </c>
      <c r="S366">
        <v>0.94799999999999995</v>
      </c>
      <c r="AL366" t="s">
        <v>155</v>
      </c>
      <c r="AM366" t="s">
        <v>155</v>
      </c>
      <c r="BZ366">
        <v>4.6038094819450706</v>
      </c>
      <c r="CA366">
        <v>67.920817703973242</v>
      </c>
      <c r="CB366">
        <v>4.9530267675108304</v>
      </c>
      <c r="CC366">
        <v>4.2545921963793099</v>
      </c>
    </row>
    <row r="367" spans="1:99" x14ac:dyDescent="0.25">
      <c r="A367" t="s">
        <v>143</v>
      </c>
      <c r="B367" t="s">
        <v>198</v>
      </c>
      <c r="C367" t="s">
        <v>199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23680</v>
      </c>
      <c r="N367">
        <v>8188.0134209591097</v>
      </c>
      <c r="O367">
        <v>6</v>
      </c>
      <c r="P367">
        <v>4</v>
      </c>
      <c r="Q367">
        <v>10</v>
      </c>
      <c r="R367">
        <v>0.16900000000000001</v>
      </c>
      <c r="S367">
        <v>6.6000000000000003E-2</v>
      </c>
      <c r="T367">
        <v>7.0000000000000007E-2</v>
      </c>
      <c r="U367">
        <v>8.6999999999999994E-2</v>
      </c>
      <c r="V367">
        <v>0.08</v>
      </c>
      <c r="W367">
        <v>0.12</v>
      </c>
      <c r="X367">
        <v>5.3999999999999999E-2</v>
      </c>
      <c r="Y367">
        <v>8.8999999999999996E-2</v>
      </c>
      <c r="Z367">
        <v>7.0999999999999994E-2</v>
      </c>
      <c r="AA367">
        <v>0.08</v>
      </c>
      <c r="BZ367">
        <v>0.1436805805566036</v>
      </c>
      <c r="CA367">
        <v>1176.4585219286669</v>
      </c>
      <c r="CB367">
        <v>0.48124467705129997</v>
      </c>
      <c r="CC367">
        <v>7.9350585438190013E-2</v>
      </c>
      <c r="CD367">
        <v>8.5104152069770483E-2</v>
      </c>
      <c r="CE367">
        <v>0.11459175145620078</v>
      </c>
      <c r="CF367">
        <v>0.1013799991711169</v>
      </c>
      <c r="CG367">
        <v>0.20415424781419131</v>
      </c>
      <c r="CH367">
        <v>6.4320334464708154E-2</v>
      </c>
      <c r="CI367">
        <v>0.11867347627390945</v>
      </c>
      <c r="CJ367">
        <v>8.6606582655532005E-2</v>
      </c>
      <c r="CK367">
        <v>0.1013799991711169</v>
      </c>
      <c r="CL367" t="s">
        <v>239</v>
      </c>
      <c r="CM367" t="s">
        <v>239</v>
      </c>
      <c r="CN367" t="s">
        <v>239</v>
      </c>
      <c r="CO367" t="s">
        <v>239</v>
      </c>
      <c r="CP367" t="s">
        <v>239</v>
      </c>
      <c r="CQ367" t="s">
        <v>239</v>
      </c>
      <c r="CR367" t="s">
        <v>239</v>
      </c>
      <c r="CS367" t="s">
        <v>239</v>
      </c>
      <c r="CT367" t="s">
        <v>239</v>
      </c>
      <c r="CU367" t="s">
        <v>239</v>
      </c>
    </row>
    <row r="368" spans="1:99" x14ac:dyDescent="0.25">
      <c r="A368" t="s">
        <v>143</v>
      </c>
      <c r="B368" t="s">
        <v>175</v>
      </c>
      <c r="C368" t="s">
        <v>168</v>
      </c>
      <c r="D368">
        <v>-1</v>
      </c>
      <c r="E368">
        <v>9</v>
      </c>
      <c r="F368">
        <v>-1</v>
      </c>
      <c r="G368">
        <v>-1</v>
      </c>
      <c r="H368">
        <v>-1</v>
      </c>
      <c r="I368">
        <v>14</v>
      </c>
      <c r="J368">
        <v>-1</v>
      </c>
      <c r="K368">
        <v>-1</v>
      </c>
      <c r="L368">
        <v>-1</v>
      </c>
      <c r="M368">
        <v>490.66666666666703</v>
      </c>
      <c r="N368">
        <v>169.66153935320699</v>
      </c>
      <c r="O368">
        <v>-1</v>
      </c>
      <c r="P368">
        <v>-1</v>
      </c>
      <c r="Q368">
        <v>-1</v>
      </c>
      <c r="R368">
        <v>0.52300000000000002</v>
      </c>
      <c r="S368">
        <v>0.61499999999999999</v>
      </c>
      <c r="T368">
        <v>0.88200000000000001</v>
      </c>
      <c r="U368">
        <v>0.36</v>
      </c>
      <c r="V368">
        <v>0.60099999999999998</v>
      </c>
      <c r="W368">
        <v>0.82199999999999995</v>
      </c>
      <c r="X368">
        <v>0.442</v>
      </c>
      <c r="Y368">
        <v>0.69899999999999995</v>
      </c>
      <c r="Z368">
        <v>0.59899999999999998</v>
      </c>
      <c r="AA368">
        <v>0.55300000000000005</v>
      </c>
      <c r="AB368">
        <v>0.42499999999999999</v>
      </c>
      <c r="AC368">
        <v>0.55000000000000004</v>
      </c>
      <c r="AD368">
        <v>0.55200000000000005</v>
      </c>
      <c r="AE368">
        <v>0.60699999999999998</v>
      </c>
      <c r="AF368">
        <v>0.54200000000000004</v>
      </c>
      <c r="AG368">
        <v>0.55400000000000005</v>
      </c>
      <c r="AH368">
        <v>0.50600000000000001</v>
      </c>
      <c r="AI368">
        <v>0.46600000000000003</v>
      </c>
      <c r="AJ368">
        <v>0.57399999999999995</v>
      </c>
      <c r="AK368">
        <v>0.57199999999999995</v>
      </c>
      <c r="AL368" t="s">
        <v>169</v>
      </c>
      <c r="AM368" t="s">
        <v>169</v>
      </c>
      <c r="AN368" t="s">
        <v>169</v>
      </c>
      <c r="AO368" t="s">
        <v>169</v>
      </c>
      <c r="AP368" t="s">
        <v>169</v>
      </c>
      <c r="AQ368" t="s">
        <v>169</v>
      </c>
      <c r="AR368" t="s">
        <v>169</v>
      </c>
      <c r="AS368" t="s">
        <v>169</v>
      </c>
      <c r="AT368" t="s">
        <v>169</v>
      </c>
      <c r="AU368" t="s">
        <v>169</v>
      </c>
      <c r="AV368" t="s">
        <v>169</v>
      </c>
      <c r="AW368" t="s">
        <v>169</v>
      </c>
      <c r="AX368" t="s">
        <v>169</v>
      </c>
      <c r="AY368" t="s">
        <v>169</v>
      </c>
      <c r="AZ368" t="s">
        <v>169</v>
      </c>
      <c r="BA368" t="s">
        <v>169</v>
      </c>
      <c r="BB368" t="s">
        <v>169</v>
      </c>
      <c r="BC368" t="s">
        <v>169</v>
      </c>
      <c r="BD368" t="s">
        <v>169</v>
      </c>
      <c r="BE368" t="s">
        <v>169</v>
      </c>
      <c r="BZ368">
        <v>1.2613934763730348</v>
      </c>
      <c r="CA368">
        <v>214.0099589315422</v>
      </c>
      <c r="CB368">
        <v>0.91505584696423203</v>
      </c>
      <c r="CC368">
        <v>1.39224214434552</v>
      </c>
      <c r="CD368">
        <v>3.5423532015269599</v>
      </c>
      <c r="CE368">
        <v>0.34781771945420698</v>
      </c>
      <c r="CF368">
        <v>1.3116353374643199</v>
      </c>
      <c r="CG368">
        <v>2.9515234200481499</v>
      </c>
      <c r="CH368">
        <v>0.59179583435430505</v>
      </c>
      <c r="CI368">
        <v>1.93965330787029</v>
      </c>
      <c r="CJ368">
        <v>1.3003602826293501</v>
      </c>
      <c r="CK368">
        <v>1.0572709908590201</v>
      </c>
      <c r="CL368">
        <v>0.53463274537461503</v>
      </c>
      <c r="CM368">
        <v>1.0424796645179299</v>
      </c>
      <c r="CN368">
        <v>1.0523263315370399</v>
      </c>
      <c r="CO368">
        <v>1.3458198702219399</v>
      </c>
      <c r="CP368">
        <v>1.00365945066396</v>
      </c>
      <c r="CQ368">
        <v>1.0622298876540099</v>
      </c>
      <c r="CR368">
        <v>0.83999763795320703</v>
      </c>
      <c r="CS368">
        <v>0.67865296439029199</v>
      </c>
      <c r="CT368">
        <v>1.1644209955027001</v>
      </c>
      <c r="CU368">
        <v>1.1539418941286499</v>
      </c>
    </row>
    <row r="369" spans="1:99" x14ac:dyDescent="0.25">
      <c r="A369" t="s">
        <v>143</v>
      </c>
      <c r="B369" t="s">
        <v>160</v>
      </c>
      <c r="C369" t="s">
        <v>154</v>
      </c>
      <c r="D369">
        <v>-1</v>
      </c>
      <c r="E369">
        <v>1</v>
      </c>
      <c r="F369">
        <v>0</v>
      </c>
      <c r="G369">
        <v>-1</v>
      </c>
      <c r="H369">
        <v>-1</v>
      </c>
      <c r="I369">
        <v>0</v>
      </c>
      <c r="J369">
        <v>2</v>
      </c>
      <c r="K369">
        <v>1</v>
      </c>
      <c r="L369">
        <v>2</v>
      </c>
      <c r="M369">
        <v>54.857142857142897</v>
      </c>
      <c r="N369">
        <v>18.9683708593647</v>
      </c>
      <c r="O369">
        <v>-1</v>
      </c>
      <c r="P369">
        <v>-1</v>
      </c>
      <c r="Q369">
        <v>-1</v>
      </c>
      <c r="R369">
        <v>2.04</v>
      </c>
      <c r="S369">
        <v>1.782</v>
      </c>
      <c r="T369">
        <v>1.59</v>
      </c>
      <c r="U369">
        <v>1.752</v>
      </c>
      <c r="V369">
        <v>1.3660000000000001</v>
      </c>
      <c r="W369">
        <v>1.544</v>
      </c>
      <c r="AL369" t="s">
        <v>155</v>
      </c>
      <c r="AM369" t="s">
        <v>156</v>
      </c>
      <c r="AN369" t="s">
        <v>156</v>
      </c>
      <c r="AO369" t="s">
        <v>155</v>
      </c>
      <c r="AP369" t="s">
        <v>156</v>
      </c>
      <c r="AQ369" t="s">
        <v>156</v>
      </c>
      <c r="BZ369">
        <v>19.388846757203932</v>
      </c>
      <c r="CA369">
        <v>367.77483582603486</v>
      </c>
      <c r="CB369">
        <v>31.079237829778702</v>
      </c>
      <c r="CC369">
        <v>21.896725218423899</v>
      </c>
      <c r="CD369">
        <v>16.298467777945</v>
      </c>
      <c r="CE369">
        <v>20.954704939641399</v>
      </c>
      <c r="CF369">
        <v>10.9988058891599</v>
      </c>
      <c r="CG369">
        <v>15.1051388882747</v>
      </c>
    </row>
    <row r="370" spans="1:99" x14ac:dyDescent="0.25">
      <c r="A370" t="s">
        <v>143</v>
      </c>
      <c r="B370" t="s">
        <v>164</v>
      </c>
      <c r="C370" t="s">
        <v>158</v>
      </c>
      <c r="D370">
        <v>-1</v>
      </c>
      <c r="E370">
        <v>1</v>
      </c>
      <c r="F370">
        <v>-1</v>
      </c>
      <c r="G370">
        <v>-1</v>
      </c>
      <c r="H370">
        <v>-1</v>
      </c>
      <c r="I370">
        <v>0</v>
      </c>
      <c r="J370">
        <v>-1</v>
      </c>
      <c r="K370">
        <v>-1</v>
      </c>
      <c r="L370">
        <v>-1</v>
      </c>
      <c r="M370">
        <v>21.3333333333333</v>
      </c>
      <c r="N370">
        <v>7.3765886675307302</v>
      </c>
      <c r="O370">
        <v>-1</v>
      </c>
      <c r="P370">
        <v>-1</v>
      </c>
      <c r="Q370">
        <v>-1</v>
      </c>
      <c r="R370">
        <v>0.438</v>
      </c>
      <c r="AL370" t="s">
        <v>159</v>
      </c>
      <c r="BZ370">
        <v>1.8652460737612799</v>
      </c>
      <c r="CA370">
        <v>13.759153049863645</v>
      </c>
      <c r="CB370">
        <v>1.8652460737612799</v>
      </c>
    </row>
    <row r="371" spans="1:99" x14ac:dyDescent="0.25">
      <c r="A371" t="s">
        <v>143</v>
      </c>
      <c r="B371" t="s">
        <v>200</v>
      </c>
      <c r="C371" t="s">
        <v>192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14208</v>
      </c>
      <c r="N371">
        <v>4912.8080525754604</v>
      </c>
      <c r="O371">
        <v>2</v>
      </c>
      <c r="P371">
        <v>4</v>
      </c>
      <c r="Q371">
        <v>6</v>
      </c>
      <c r="R371">
        <v>0.14799999999999999</v>
      </c>
      <c r="S371">
        <v>9.7000000000000003E-2</v>
      </c>
      <c r="T371">
        <v>0.10100000000000001</v>
      </c>
      <c r="U371">
        <v>0.115</v>
      </c>
      <c r="V371">
        <v>0.1</v>
      </c>
      <c r="W371">
        <v>0.122</v>
      </c>
      <c r="BZ371">
        <v>3.1738296666666672E-2</v>
      </c>
      <c r="CA371">
        <v>155.92415943902893</v>
      </c>
      <c r="CB371">
        <v>6.4835840000000006E-2</v>
      </c>
      <c r="CC371">
        <v>1.8253459999999999E-2</v>
      </c>
      <c r="CD371">
        <v>2.0606019999999999E-2</v>
      </c>
      <c r="CE371">
        <v>3.04175E-2</v>
      </c>
      <c r="CF371">
        <v>0.02</v>
      </c>
      <c r="CG371">
        <v>3.6316960000000002E-2</v>
      </c>
    </row>
    <row r="372" spans="1:99" x14ac:dyDescent="0.25">
      <c r="A372" t="s">
        <v>143</v>
      </c>
      <c r="B372" t="s">
        <v>177</v>
      </c>
      <c r="C372" t="s">
        <v>168</v>
      </c>
      <c r="D372">
        <v>-1</v>
      </c>
      <c r="E372">
        <v>1</v>
      </c>
      <c r="F372">
        <v>-1</v>
      </c>
      <c r="G372">
        <v>-1</v>
      </c>
      <c r="H372">
        <v>-1</v>
      </c>
      <c r="I372">
        <v>0</v>
      </c>
      <c r="J372">
        <v>-1</v>
      </c>
      <c r="K372">
        <v>-1</v>
      </c>
      <c r="L372">
        <v>-1</v>
      </c>
      <c r="M372">
        <v>21.3333333333333</v>
      </c>
      <c r="N372">
        <v>7.3765886675307302</v>
      </c>
      <c r="O372">
        <v>-1</v>
      </c>
      <c r="P372">
        <v>-1</v>
      </c>
      <c r="Q372">
        <v>-1</v>
      </c>
      <c r="R372">
        <v>0.45200000000000001</v>
      </c>
      <c r="AL372" t="s">
        <v>169</v>
      </c>
      <c r="BZ372">
        <v>0.62709995900955096</v>
      </c>
      <c r="CA372">
        <v>4.6258584510388392</v>
      </c>
      <c r="CB372">
        <v>0.62709995900955096</v>
      </c>
    </row>
    <row r="373" spans="1:99" x14ac:dyDescent="0.25">
      <c r="A373" t="s">
        <v>143</v>
      </c>
      <c r="B373" t="s">
        <v>201</v>
      </c>
      <c r="C373" t="s">
        <v>192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9472</v>
      </c>
      <c r="N373">
        <v>3275.2053683836398</v>
      </c>
      <c r="O373">
        <v>1</v>
      </c>
      <c r="P373">
        <v>3</v>
      </c>
      <c r="Q373">
        <v>4</v>
      </c>
      <c r="R373">
        <v>0.151</v>
      </c>
      <c r="S373">
        <v>0.14799999999999999</v>
      </c>
      <c r="T373">
        <v>0.157</v>
      </c>
      <c r="U373">
        <v>0.113</v>
      </c>
      <c r="BZ373">
        <v>9.1331219962500002E-3</v>
      </c>
      <c r="CA373">
        <v>29.912850192220706</v>
      </c>
      <c r="CB373">
        <v>1.0483785795000001E-2</v>
      </c>
      <c r="CC373">
        <v>9.8712566399999993E-3</v>
      </c>
      <c r="CD373">
        <v>1.1783824185E-2</v>
      </c>
      <c r="CE373">
        <v>4.3936213650000002E-3</v>
      </c>
    </row>
    <row r="374" spans="1:99" x14ac:dyDescent="0.25">
      <c r="A374" t="s">
        <v>143</v>
      </c>
      <c r="B374" t="s">
        <v>202</v>
      </c>
      <c r="C374" t="s">
        <v>192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44992</v>
      </c>
      <c r="N374">
        <v>15557.2254998223</v>
      </c>
      <c r="O374">
        <v>10</v>
      </c>
      <c r="P374">
        <v>9</v>
      </c>
      <c r="Q374">
        <v>19</v>
      </c>
      <c r="R374">
        <v>8.1000000000000003E-2</v>
      </c>
      <c r="S374">
        <v>9.0999999999999998E-2</v>
      </c>
      <c r="T374">
        <v>8.3000000000000004E-2</v>
      </c>
      <c r="U374">
        <v>0.10100000000000001</v>
      </c>
      <c r="V374">
        <v>7.8E-2</v>
      </c>
      <c r="W374">
        <v>7.5999999999999998E-2</v>
      </c>
      <c r="X374">
        <v>0.09</v>
      </c>
      <c r="Y374">
        <v>7.8E-2</v>
      </c>
      <c r="Z374">
        <v>9.5000000000000001E-2</v>
      </c>
      <c r="AA374">
        <v>0.10299999999999999</v>
      </c>
      <c r="AB374">
        <v>9.0999999999999998E-2</v>
      </c>
      <c r="AC374">
        <v>0.13100000000000001</v>
      </c>
      <c r="AD374">
        <v>0.11700000000000001</v>
      </c>
      <c r="AE374">
        <v>9.9000000000000005E-2</v>
      </c>
      <c r="AF374">
        <v>7.6999999999999999E-2</v>
      </c>
      <c r="AG374">
        <v>9.2999999999999999E-2</v>
      </c>
      <c r="AH374">
        <v>0.104</v>
      </c>
      <c r="AI374">
        <v>9.2999999999999999E-2</v>
      </c>
      <c r="AJ374">
        <v>8.1000000000000003E-2</v>
      </c>
      <c r="BZ374">
        <v>1.7104640000000001E-3</v>
      </c>
      <c r="CA374">
        <v>26.61007415732805</v>
      </c>
      <c r="CB374">
        <v>1.062882E-3</v>
      </c>
      <c r="CC374">
        <v>1.5071419999999999E-3</v>
      </c>
      <c r="CD374">
        <v>1.1435740000000001E-3</v>
      </c>
      <c r="CE374">
        <v>2.0606019999999999E-3</v>
      </c>
      <c r="CF374">
        <v>9.4910399999999998E-4</v>
      </c>
      <c r="CG374">
        <v>8.7795199999999999E-4</v>
      </c>
      <c r="CH374">
        <v>1.4580000000000001E-3</v>
      </c>
      <c r="CI374">
        <v>9.4910399999999998E-4</v>
      </c>
      <c r="CJ374">
        <v>1.7147499999999999E-3</v>
      </c>
      <c r="CK374">
        <v>2.1854539999999999E-3</v>
      </c>
      <c r="CL374">
        <v>1.5071419999999999E-3</v>
      </c>
      <c r="CM374">
        <v>4.4961819999999996E-3</v>
      </c>
      <c r="CN374">
        <v>3.203226E-3</v>
      </c>
      <c r="CO374">
        <v>1.940598E-3</v>
      </c>
      <c r="CP374">
        <v>9.1306600000000003E-4</v>
      </c>
      <c r="CQ374">
        <v>1.608714E-3</v>
      </c>
      <c r="CR374">
        <v>2.2497279999999999E-3</v>
      </c>
      <c r="CS374">
        <v>1.608714E-3</v>
      </c>
      <c r="CT374">
        <v>1.062882E-3</v>
      </c>
    </row>
    <row r="375" spans="1:99" x14ac:dyDescent="0.25">
      <c r="A375" t="s">
        <v>143</v>
      </c>
      <c r="B375" t="s">
        <v>203</v>
      </c>
      <c r="C375" t="s">
        <v>192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2368</v>
      </c>
      <c r="N375">
        <v>818.80134209591097</v>
      </c>
      <c r="O375">
        <v>0</v>
      </c>
      <c r="P375">
        <v>1</v>
      </c>
      <c r="Q375">
        <v>1</v>
      </c>
      <c r="R375">
        <v>0.10299999999999999</v>
      </c>
      <c r="BZ375">
        <v>2.1854539999999999E-3</v>
      </c>
      <c r="CA375">
        <v>1.7894526682888769</v>
      </c>
      <c r="CB375">
        <v>2.1854539999999999E-3</v>
      </c>
    </row>
    <row r="376" spans="1:99" x14ac:dyDescent="0.25">
      <c r="A376" t="s">
        <v>143</v>
      </c>
      <c r="B376" t="s">
        <v>204</v>
      </c>
      <c r="C376" t="s">
        <v>192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85248</v>
      </c>
      <c r="N376">
        <v>29476.8483154528</v>
      </c>
      <c r="O376">
        <v>21</v>
      </c>
      <c r="P376">
        <v>15</v>
      </c>
      <c r="Q376">
        <v>36</v>
      </c>
      <c r="R376">
        <v>0.114</v>
      </c>
      <c r="S376">
        <v>0.14699999999999999</v>
      </c>
      <c r="T376">
        <v>0.112</v>
      </c>
      <c r="U376">
        <v>0.104</v>
      </c>
      <c r="V376">
        <v>0.125</v>
      </c>
      <c r="W376">
        <v>0.14099999999999999</v>
      </c>
      <c r="X376">
        <v>0.106</v>
      </c>
      <c r="Y376">
        <v>0.11</v>
      </c>
      <c r="Z376">
        <v>0.125</v>
      </c>
      <c r="AA376">
        <v>0.121</v>
      </c>
      <c r="AB376">
        <v>0.123</v>
      </c>
      <c r="AC376">
        <v>0.122</v>
      </c>
      <c r="AD376">
        <v>0.13500000000000001</v>
      </c>
      <c r="AE376">
        <v>0.115</v>
      </c>
      <c r="AF376">
        <v>0.14299999999999999</v>
      </c>
      <c r="AG376">
        <v>0.125</v>
      </c>
      <c r="AH376">
        <v>0.125</v>
      </c>
      <c r="AI376">
        <v>0.14000000000000001</v>
      </c>
      <c r="AJ376">
        <v>0.112</v>
      </c>
      <c r="AK376">
        <v>0.13900000000000001</v>
      </c>
      <c r="BZ376">
        <v>3.9513876E-3</v>
      </c>
      <c r="CA376">
        <v>116.47445292076108</v>
      </c>
      <c r="CB376">
        <v>2.963088E-3</v>
      </c>
      <c r="CC376">
        <v>6.3530460000000002E-3</v>
      </c>
      <c r="CD376">
        <v>2.8098559999999999E-3</v>
      </c>
      <c r="CE376">
        <v>2.2497279999999999E-3</v>
      </c>
      <c r="CF376">
        <v>3.90625E-3</v>
      </c>
      <c r="CG376">
        <v>5.6064419999999997E-3</v>
      </c>
      <c r="CH376">
        <v>2.3820320000000001E-3</v>
      </c>
      <c r="CI376">
        <v>2.6619999999999999E-3</v>
      </c>
      <c r="CJ376">
        <v>3.90625E-3</v>
      </c>
      <c r="CK376">
        <v>3.5431220000000001E-3</v>
      </c>
      <c r="CL376">
        <v>3.721734E-3</v>
      </c>
      <c r="CM376">
        <v>3.6316959999999998E-3</v>
      </c>
      <c r="CN376">
        <v>4.9207499999999998E-3</v>
      </c>
      <c r="CO376">
        <v>3.0417500000000002E-3</v>
      </c>
      <c r="CP376">
        <v>5.8484139999999997E-3</v>
      </c>
      <c r="CQ376">
        <v>3.90625E-3</v>
      </c>
      <c r="CR376">
        <v>3.90625E-3</v>
      </c>
      <c r="CS376">
        <v>5.4879999999999998E-3</v>
      </c>
      <c r="CT376">
        <v>2.8098559999999999E-3</v>
      </c>
      <c r="CU376">
        <v>5.3712380000000004E-3</v>
      </c>
    </row>
    <row r="377" spans="1:99" x14ac:dyDescent="0.25">
      <c r="A377" t="s">
        <v>143</v>
      </c>
      <c r="B377" t="s">
        <v>161</v>
      </c>
      <c r="C377" t="s">
        <v>154</v>
      </c>
      <c r="D377">
        <v>-1</v>
      </c>
      <c r="E377">
        <v>21</v>
      </c>
      <c r="F377">
        <v>35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3584</v>
      </c>
      <c r="N377">
        <v>1239.26689614516</v>
      </c>
      <c r="O377">
        <v>-1</v>
      </c>
      <c r="P377">
        <v>-1</v>
      </c>
      <c r="Q377">
        <v>-1</v>
      </c>
      <c r="R377">
        <v>0.95</v>
      </c>
      <c r="S377">
        <v>0.94699999999999995</v>
      </c>
      <c r="T377">
        <v>0.90200000000000002</v>
      </c>
      <c r="U377">
        <v>0.75800000000000001</v>
      </c>
      <c r="V377">
        <v>0.85199999999999998</v>
      </c>
      <c r="W377">
        <v>0.873</v>
      </c>
      <c r="X377">
        <v>1.0529999999999999</v>
      </c>
      <c r="Y377">
        <v>0.93400000000000005</v>
      </c>
      <c r="Z377">
        <v>0.97699999999999998</v>
      </c>
      <c r="AA377">
        <v>0.81499999999999995</v>
      </c>
      <c r="AB377">
        <v>0.94499999999999995</v>
      </c>
      <c r="AC377">
        <v>0.84399999999999997</v>
      </c>
      <c r="AD377">
        <v>0.96399999999999997</v>
      </c>
      <c r="AE377">
        <v>0.94499999999999995</v>
      </c>
      <c r="AF377">
        <v>0.96299999999999997</v>
      </c>
      <c r="AG377">
        <v>0.91700000000000004</v>
      </c>
      <c r="AH377">
        <v>0.81200000000000006</v>
      </c>
      <c r="AI377">
        <v>0.92400000000000004</v>
      </c>
      <c r="AJ377">
        <v>0.91100000000000003</v>
      </c>
      <c r="AK377">
        <v>0.95399999999999996</v>
      </c>
      <c r="AL377" t="s">
        <v>156</v>
      </c>
      <c r="AM377" t="s">
        <v>156</v>
      </c>
      <c r="AN377" t="s">
        <v>156</v>
      </c>
      <c r="AO377" t="s">
        <v>156</v>
      </c>
      <c r="AP377" t="s">
        <v>156</v>
      </c>
      <c r="AQ377" t="s">
        <v>156</v>
      </c>
      <c r="AR377" t="s">
        <v>155</v>
      </c>
      <c r="AS377" t="s">
        <v>155</v>
      </c>
      <c r="AT377" t="s">
        <v>155</v>
      </c>
      <c r="AU377" t="s">
        <v>156</v>
      </c>
      <c r="AV377" t="s">
        <v>155</v>
      </c>
      <c r="AW377" t="s">
        <v>156</v>
      </c>
      <c r="AX377" t="s">
        <v>155</v>
      </c>
      <c r="AY377" t="s">
        <v>155</v>
      </c>
      <c r="AZ377" t="s">
        <v>156</v>
      </c>
      <c r="BA377" t="s">
        <v>156</v>
      </c>
      <c r="BB377" t="s">
        <v>156</v>
      </c>
      <c r="BC377" t="s">
        <v>156</v>
      </c>
      <c r="BD377" t="s">
        <v>156</v>
      </c>
      <c r="BE377" t="s">
        <v>155</v>
      </c>
      <c r="BZ377">
        <v>3.9054992471935464</v>
      </c>
      <c r="CA377">
        <v>4839.9559299668053</v>
      </c>
      <c r="CB377">
        <v>4.2937065927586904</v>
      </c>
      <c r="CC377">
        <v>4.2586767024121999</v>
      </c>
      <c r="CD377">
        <v>3.7541632884141598</v>
      </c>
      <c r="CE377">
        <v>2.3926075498500601</v>
      </c>
      <c r="CF377">
        <v>3.2386705836821301</v>
      </c>
      <c r="CG377">
        <v>3.4494918041937002</v>
      </c>
      <c r="CH377">
        <v>5.6055432480105196</v>
      </c>
      <c r="CI377">
        <v>4.1089100654427</v>
      </c>
      <c r="CJ377">
        <v>4.6169497336197898</v>
      </c>
      <c r="CK377">
        <v>2.8868647184920002</v>
      </c>
      <c r="CL377">
        <v>4.2354212405745804</v>
      </c>
      <c r="CM377">
        <v>3.1604954030863599</v>
      </c>
      <c r="CN377">
        <v>4.4595161806715797</v>
      </c>
      <c r="CO377">
        <v>4.2354212405745804</v>
      </c>
      <c r="CP377">
        <v>4.4475445794530604</v>
      </c>
      <c r="CQ377">
        <v>3.9180033736273199</v>
      </c>
      <c r="CR377">
        <v>2.85942257745999</v>
      </c>
      <c r="CS377">
        <v>3.9959369923756198</v>
      </c>
      <c r="CT377">
        <v>3.85195160918293</v>
      </c>
      <c r="CU377">
        <v>4.3406874599889598</v>
      </c>
    </row>
    <row r="378" spans="1:99" x14ac:dyDescent="0.25">
      <c r="A378" t="s">
        <v>143</v>
      </c>
      <c r="B378" t="s">
        <v>181</v>
      </c>
      <c r="C378" t="s">
        <v>154</v>
      </c>
      <c r="D378">
        <v>-1</v>
      </c>
      <c r="E378">
        <v>0</v>
      </c>
      <c r="F378">
        <v>4</v>
      </c>
      <c r="G378">
        <v>-1</v>
      </c>
      <c r="H378">
        <v>-1</v>
      </c>
      <c r="I378">
        <v>0</v>
      </c>
      <c r="J378">
        <v>2</v>
      </c>
      <c r="K378">
        <v>-1</v>
      </c>
      <c r="L378">
        <v>-1</v>
      </c>
      <c r="M378">
        <v>128</v>
      </c>
      <c r="N378">
        <v>44.259532005184397</v>
      </c>
      <c r="O378">
        <v>-1</v>
      </c>
      <c r="P378">
        <v>-1</v>
      </c>
      <c r="Q378">
        <v>-1</v>
      </c>
      <c r="R378">
        <v>1.145</v>
      </c>
      <c r="S378">
        <v>1.1080000000000001</v>
      </c>
      <c r="T378">
        <v>1.139</v>
      </c>
      <c r="U378">
        <v>1.149</v>
      </c>
      <c r="V378">
        <v>1.115</v>
      </c>
      <c r="W378">
        <v>1.1240000000000001</v>
      </c>
      <c r="AL378" t="s">
        <v>156</v>
      </c>
      <c r="AM378" t="s">
        <v>156</v>
      </c>
      <c r="AN378" t="s">
        <v>156</v>
      </c>
      <c r="AO378" t="s">
        <v>156</v>
      </c>
      <c r="AP378" t="s">
        <v>156</v>
      </c>
      <c r="AQ378" t="s">
        <v>156</v>
      </c>
      <c r="BZ378">
        <v>6.7323409793079181</v>
      </c>
      <c r="CA378">
        <v>297.97026104349328</v>
      </c>
      <c r="CB378">
        <v>6.9636099429390699</v>
      </c>
      <c r="CC378">
        <v>6.3956723335760799</v>
      </c>
      <c r="CD378">
        <v>6.86949278278757</v>
      </c>
      <c r="CE378">
        <v>7.0267920379897904</v>
      </c>
      <c r="CF378">
        <v>6.5008498123821097</v>
      </c>
      <c r="CG378">
        <v>6.6376289661728904</v>
      </c>
    </row>
    <row r="379" spans="1:99" x14ac:dyDescent="0.25">
      <c r="A379" t="s">
        <v>143</v>
      </c>
      <c r="B379" t="s">
        <v>165</v>
      </c>
      <c r="C379" t="s">
        <v>158</v>
      </c>
      <c r="D379">
        <v>-1</v>
      </c>
      <c r="E379">
        <v>128</v>
      </c>
      <c r="F379">
        <v>-1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8192</v>
      </c>
      <c r="N379">
        <v>2832.6100483318</v>
      </c>
      <c r="O379">
        <v>-1</v>
      </c>
      <c r="P379">
        <v>-1</v>
      </c>
      <c r="Q379">
        <v>-1</v>
      </c>
      <c r="R379">
        <v>1.248</v>
      </c>
      <c r="S379">
        <v>1.175</v>
      </c>
      <c r="T379">
        <v>1.716</v>
      </c>
      <c r="U379">
        <v>2.3260000000000001</v>
      </c>
      <c r="V379">
        <v>1.9379999999999999</v>
      </c>
      <c r="W379">
        <v>1.764</v>
      </c>
      <c r="X379">
        <v>1.819</v>
      </c>
      <c r="Y379">
        <v>1.827</v>
      </c>
      <c r="Z379">
        <v>1.8520000000000001</v>
      </c>
      <c r="AA379">
        <v>2.1440000000000001</v>
      </c>
      <c r="AB379">
        <v>1.7889999999999999</v>
      </c>
      <c r="AC379">
        <v>2.0939999999999999</v>
      </c>
      <c r="AD379">
        <v>1.5669999999999999</v>
      </c>
      <c r="AE379">
        <v>1.4770000000000001</v>
      </c>
      <c r="AF379">
        <v>1.782</v>
      </c>
      <c r="AG379">
        <v>1.3460000000000001</v>
      </c>
      <c r="AH379">
        <v>1.8140000000000001</v>
      </c>
      <c r="AI379">
        <v>1.8620000000000001</v>
      </c>
      <c r="AJ379">
        <v>1.621</v>
      </c>
      <c r="AK379">
        <v>1.524</v>
      </c>
      <c r="AL379" t="s">
        <v>159</v>
      </c>
      <c r="AM379" t="s">
        <v>159</v>
      </c>
      <c r="AN379" t="s">
        <v>159</v>
      </c>
      <c r="AO379" t="s">
        <v>159</v>
      </c>
      <c r="AP379" t="s">
        <v>159</v>
      </c>
      <c r="AQ379" t="s">
        <v>159</v>
      </c>
      <c r="AR379" t="s">
        <v>159</v>
      </c>
      <c r="AS379" t="s">
        <v>159</v>
      </c>
      <c r="AT379" t="s">
        <v>159</v>
      </c>
      <c r="AU379" t="s">
        <v>159</v>
      </c>
      <c r="AV379" t="s">
        <v>159</v>
      </c>
      <c r="AW379" t="s">
        <v>159</v>
      </c>
      <c r="AX379" t="s">
        <v>159</v>
      </c>
      <c r="AY379" t="s">
        <v>159</v>
      </c>
      <c r="AZ379" t="s">
        <v>159</v>
      </c>
      <c r="BA379" t="s">
        <v>159</v>
      </c>
      <c r="BB379" t="s">
        <v>159</v>
      </c>
      <c r="BC379" t="s">
        <v>159</v>
      </c>
      <c r="BD379" t="s">
        <v>159</v>
      </c>
      <c r="BE379" t="s">
        <v>159</v>
      </c>
      <c r="BZ379">
        <v>2.0245216095664746</v>
      </c>
      <c r="CA379">
        <v>5734.680254322865</v>
      </c>
      <c r="CB379">
        <v>0.79415061900847395</v>
      </c>
      <c r="CC379">
        <v>0.67610016156571096</v>
      </c>
      <c r="CD379">
        <v>1.8585364494275001</v>
      </c>
      <c r="CE379">
        <v>4.1865652336102404</v>
      </c>
      <c r="CF379">
        <v>2.57184333032632</v>
      </c>
      <c r="CG379">
        <v>2.0006040635867102</v>
      </c>
      <c r="CH379">
        <v>2.1715170436673401</v>
      </c>
      <c r="CI379">
        <v>2.19711028611417</v>
      </c>
      <c r="CJ379">
        <v>2.2783023532462998</v>
      </c>
      <c r="CK379">
        <v>3.3680621839134699</v>
      </c>
      <c r="CL379">
        <v>2.0772058890738001</v>
      </c>
      <c r="CM379">
        <v>3.16240628444372</v>
      </c>
      <c r="CN379">
        <v>1.4582908688406799</v>
      </c>
      <c r="CO379">
        <v>1.2452480157022101</v>
      </c>
      <c r="CP379">
        <v>2.0555757901570799</v>
      </c>
      <c r="CQ379">
        <v>0.971762746153224</v>
      </c>
      <c r="CR379">
        <v>2.15561640836669</v>
      </c>
      <c r="CS379">
        <v>2.3112965578805702</v>
      </c>
      <c r="CT379">
        <v>1.59635907514954</v>
      </c>
      <c r="CU379">
        <v>1.3538788310957399</v>
      </c>
    </row>
    <row r="380" spans="1:99" x14ac:dyDescent="0.25">
      <c r="A380" t="s">
        <v>143</v>
      </c>
      <c r="B380" t="s">
        <v>212</v>
      </c>
      <c r="C380" t="s">
        <v>192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2368</v>
      </c>
      <c r="N380">
        <v>818.80134209591097</v>
      </c>
      <c r="O380">
        <v>1</v>
      </c>
      <c r="P380">
        <v>0</v>
      </c>
      <c r="Q380">
        <v>1</v>
      </c>
      <c r="R380">
        <v>0.27</v>
      </c>
      <c r="BZ380">
        <v>0.19683</v>
      </c>
      <c r="CA380">
        <v>161.16466816473817</v>
      </c>
      <c r="CB380">
        <v>0.19683</v>
      </c>
    </row>
    <row r="381" spans="1:99" x14ac:dyDescent="0.25">
      <c r="A381" t="s">
        <v>143</v>
      </c>
      <c r="B381" t="s">
        <v>207</v>
      </c>
      <c r="C381" t="s">
        <v>192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7104</v>
      </c>
      <c r="N381">
        <v>2456.4040262877302</v>
      </c>
      <c r="O381">
        <v>1</v>
      </c>
      <c r="P381">
        <v>2</v>
      </c>
      <c r="Q381">
        <v>3</v>
      </c>
      <c r="R381">
        <v>0.1</v>
      </c>
      <c r="S381">
        <v>9.8000000000000004E-2</v>
      </c>
      <c r="T381">
        <v>0.108</v>
      </c>
      <c r="BZ381">
        <v>1.0669680000000001E-2</v>
      </c>
      <c r="CA381">
        <v>26.209044911201669</v>
      </c>
      <c r="CB381">
        <v>0.01</v>
      </c>
      <c r="CC381">
        <v>9.4119200000000007E-3</v>
      </c>
      <c r="CD381">
        <v>1.259712E-2</v>
      </c>
    </row>
    <row r="382" spans="1:99" x14ac:dyDescent="0.25">
      <c r="A382" t="s">
        <v>143</v>
      </c>
      <c r="B382" t="s">
        <v>208</v>
      </c>
      <c r="C382" t="s">
        <v>192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11840</v>
      </c>
      <c r="N382">
        <v>4094.0067104795498</v>
      </c>
      <c r="O382">
        <v>1</v>
      </c>
      <c r="P382">
        <v>4</v>
      </c>
      <c r="Q382">
        <v>5</v>
      </c>
      <c r="R382">
        <v>8.2000000000000003E-2</v>
      </c>
      <c r="S382">
        <v>7.2999999999999995E-2</v>
      </c>
      <c r="T382">
        <v>0.105</v>
      </c>
      <c r="U382">
        <v>9.8000000000000004E-2</v>
      </c>
      <c r="V382">
        <v>0.10299999999999999</v>
      </c>
      <c r="BZ382">
        <v>2.5452682639999995E-2</v>
      </c>
      <c r="CA382">
        <v>104.20345352786632</v>
      </c>
      <c r="CB382">
        <v>1.6982134400000001E-2</v>
      </c>
      <c r="CC382">
        <v>1.1981723600000001E-2</v>
      </c>
      <c r="CD382">
        <v>3.5654850000000002E-2</v>
      </c>
      <c r="CE382">
        <v>2.89887136E-2</v>
      </c>
      <c r="CF382">
        <v>3.3655991599999997E-2</v>
      </c>
    </row>
    <row r="383" spans="1:99" x14ac:dyDescent="0.25">
      <c r="A383" t="s">
        <v>143</v>
      </c>
      <c r="B383" t="s">
        <v>209</v>
      </c>
      <c r="C383" t="s">
        <v>192</v>
      </c>
      <c r="D383">
        <v>-1</v>
      </c>
      <c r="E383">
        <v>-1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33152</v>
      </c>
      <c r="N383">
        <v>11463.2187893427</v>
      </c>
      <c r="O383">
        <v>8</v>
      </c>
      <c r="P383">
        <v>6</v>
      </c>
      <c r="Q383">
        <v>14</v>
      </c>
      <c r="R383">
        <v>0.107</v>
      </c>
      <c r="S383">
        <v>8.2000000000000003E-2</v>
      </c>
      <c r="T383">
        <v>0.10299999999999999</v>
      </c>
      <c r="U383">
        <v>0.104</v>
      </c>
      <c r="V383">
        <v>0.13</v>
      </c>
      <c r="W383">
        <v>0.1</v>
      </c>
      <c r="X383">
        <v>0.13400000000000001</v>
      </c>
      <c r="Y383">
        <v>0.10299999999999999</v>
      </c>
      <c r="Z383">
        <v>0.10100000000000001</v>
      </c>
      <c r="AA383">
        <v>0.10100000000000001</v>
      </c>
      <c r="AB383">
        <v>9.2999999999999999E-2</v>
      </c>
      <c r="AC383">
        <v>0.107</v>
      </c>
      <c r="AD383">
        <v>8.8999999999999996E-2</v>
      </c>
      <c r="AE383">
        <v>0.11</v>
      </c>
      <c r="BZ383">
        <v>3.6994768800000001E-2</v>
      </c>
      <c r="CA383">
        <v>424.0791288155491</v>
      </c>
      <c r="CB383">
        <v>3.7731324400000002E-2</v>
      </c>
      <c r="CC383">
        <v>1.6982134400000001E-2</v>
      </c>
      <c r="CD383">
        <v>3.3655991599999997E-2</v>
      </c>
      <c r="CE383">
        <v>3.4645811200000001E-2</v>
      </c>
      <c r="CF383">
        <v>6.7667599999999994E-2</v>
      </c>
      <c r="CG383">
        <v>3.0800000000000001E-2</v>
      </c>
      <c r="CH383">
        <v>7.4108003199999994E-2</v>
      </c>
      <c r="CI383">
        <v>3.3655991599999997E-2</v>
      </c>
      <c r="CJ383">
        <v>3.1733270799999998E-2</v>
      </c>
      <c r="CK383">
        <v>3.1733270799999998E-2</v>
      </c>
      <c r="CL383">
        <v>2.47741956E-2</v>
      </c>
      <c r="CM383">
        <v>3.7731324400000002E-2</v>
      </c>
      <c r="CN383">
        <v>2.1713045199999999E-2</v>
      </c>
      <c r="CO383">
        <v>4.0994799999999998E-2</v>
      </c>
    </row>
    <row r="384" spans="1:99" x14ac:dyDescent="0.25">
      <c r="A384" t="s">
        <v>143</v>
      </c>
      <c r="B384" t="s">
        <v>153</v>
      </c>
      <c r="C384" t="s">
        <v>154</v>
      </c>
      <c r="D384">
        <v>-1</v>
      </c>
      <c r="E384">
        <v>3</v>
      </c>
      <c r="F384">
        <v>5</v>
      </c>
      <c r="G384">
        <v>-1</v>
      </c>
      <c r="H384">
        <v>-1</v>
      </c>
      <c r="I384">
        <v>14</v>
      </c>
      <c r="J384">
        <v>15</v>
      </c>
      <c r="K384">
        <v>-1</v>
      </c>
      <c r="L384">
        <v>-1</v>
      </c>
      <c r="M384">
        <v>789.33333333333303</v>
      </c>
      <c r="N384">
        <v>272.93378069863701</v>
      </c>
      <c r="O384">
        <v>-1</v>
      </c>
      <c r="P384">
        <v>-1</v>
      </c>
      <c r="Q384">
        <v>-1</v>
      </c>
      <c r="R384">
        <v>1.1180000000000001</v>
      </c>
      <c r="S384">
        <v>1.1040000000000001</v>
      </c>
      <c r="T384">
        <v>1.1839999999999999</v>
      </c>
      <c r="U384">
        <v>1.377</v>
      </c>
      <c r="V384">
        <v>1.1759999999999999</v>
      </c>
      <c r="W384">
        <v>1.3859999999999999</v>
      </c>
      <c r="X384">
        <v>0.98799999999999999</v>
      </c>
      <c r="Y384">
        <v>1.1419999999999999</v>
      </c>
      <c r="Z384">
        <v>1.161</v>
      </c>
      <c r="AA384">
        <v>1.18</v>
      </c>
      <c r="AB384">
        <v>1.2030000000000001</v>
      </c>
      <c r="AC384">
        <v>1.1240000000000001</v>
      </c>
      <c r="AD384">
        <v>1.1459999999999999</v>
      </c>
      <c r="AE384">
        <v>1.0960000000000001</v>
      </c>
      <c r="AF384">
        <v>1.0309999999999999</v>
      </c>
      <c r="AG384">
        <v>1.2889999999999999</v>
      </c>
      <c r="AH384">
        <v>1.2849999999999999</v>
      </c>
      <c r="AI384">
        <v>1.1379999999999999</v>
      </c>
      <c r="AJ384">
        <v>1.3839999999999999</v>
      </c>
      <c r="AK384">
        <v>1.1419999999999999</v>
      </c>
      <c r="AL384" t="s">
        <v>156</v>
      </c>
      <c r="AM384" t="s">
        <v>156</v>
      </c>
      <c r="AN384" t="s">
        <v>156</v>
      </c>
      <c r="AO384" t="s">
        <v>155</v>
      </c>
      <c r="AP384" t="s">
        <v>156</v>
      </c>
      <c r="AQ384" t="s">
        <v>155</v>
      </c>
      <c r="AR384" t="s">
        <v>156</v>
      </c>
      <c r="AS384" t="s">
        <v>155</v>
      </c>
      <c r="AT384" t="s">
        <v>156</v>
      </c>
      <c r="AU384" t="s">
        <v>155</v>
      </c>
      <c r="AV384" t="s">
        <v>156</v>
      </c>
      <c r="AW384" t="s">
        <v>156</v>
      </c>
      <c r="AX384" t="s">
        <v>156</v>
      </c>
      <c r="AY384" t="s">
        <v>155</v>
      </c>
      <c r="AZ384" t="s">
        <v>155</v>
      </c>
      <c r="BA384" t="s">
        <v>155</v>
      </c>
      <c r="BB384" t="s">
        <v>155</v>
      </c>
      <c r="BC384" t="s">
        <v>156</v>
      </c>
      <c r="BD384" t="s">
        <v>155</v>
      </c>
      <c r="BE384" t="s">
        <v>156</v>
      </c>
      <c r="BZ384">
        <v>7.7031668280688992</v>
      </c>
      <c r="CA384">
        <v>2102.4544457371721</v>
      </c>
      <c r="CB384">
        <v>6.5462486511235296</v>
      </c>
      <c r="CC384">
        <v>6.3360431510445698</v>
      </c>
      <c r="CD384">
        <v>7.5946739793821401</v>
      </c>
      <c r="CE384">
        <v>11.229673553059699</v>
      </c>
      <c r="CF384">
        <v>7.4624801604122801</v>
      </c>
      <c r="CG384">
        <v>11.4207596695109</v>
      </c>
      <c r="CH384">
        <v>4.7527909532622097</v>
      </c>
      <c r="CI384">
        <v>6.9164530838994196</v>
      </c>
      <c r="CJ384">
        <v>7.2184453918647797</v>
      </c>
      <c r="CK384">
        <v>7.5283989446888597</v>
      </c>
      <c r="CL384">
        <v>7.9143672881413698</v>
      </c>
      <c r="CM384">
        <v>6.6376289661728904</v>
      </c>
      <c r="CN384">
        <v>6.9793726281280604</v>
      </c>
      <c r="CO384">
        <v>6.2178116387736697</v>
      </c>
      <c r="CP384">
        <v>5.3072331798134504</v>
      </c>
      <c r="CQ384">
        <v>9.4641863325932807</v>
      </c>
      <c r="CR384">
        <v>9.3883079552064803</v>
      </c>
      <c r="CS384">
        <v>6.85388297594905</v>
      </c>
      <c r="CT384">
        <v>11.3781249744519</v>
      </c>
      <c r="CU384">
        <v>6.9164530838994196</v>
      </c>
    </row>
    <row r="385" spans="1:99" x14ac:dyDescent="0.25">
      <c r="A385" t="s">
        <v>143</v>
      </c>
      <c r="B385" t="s">
        <v>210</v>
      </c>
      <c r="C385" t="s">
        <v>192</v>
      </c>
      <c r="D385">
        <v>-1</v>
      </c>
      <c r="E385">
        <v>-1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4736</v>
      </c>
      <c r="N385">
        <v>1637.6026841918199</v>
      </c>
      <c r="O385">
        <v>1</v>
      </c>
      <c r="P385">
        <v>1</v>
      </c>
      <c r="Q385">
        <v>2</v>
      </c>
      <c r="R385">
        <v>0.113</v>
      </c>
      <c r="S385">
        <v>0.17499999999999999</v>
      </c>
      <c r="BZ385">
        <v>3.4011360000000004E-2</v>
      </c>
      <c r="CA385">
        <v>55.6970944290143</v>
      </c>
      <c r="CB385">
        <v>1.4428969999999999E-2</v>
      </c>
      <c r="CC385">
        <v>5.3593750000000002E-2</v>
      </c>
    </row>
    <row r="386" spans="1:99" x14ac:dyDescent="0.25">
      <c r="A386" t="s">
        <v>143</v>
      </c>
      <c r="B386" t="s">
        <v>211</v>
      </c>
      <c r="C386" t="s">
        <v>192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9472</v>
      </c>
      <c r="N386">
        <v>3275.2053683836398</v>
      </c>
      <c r="O386">
        <v>2</v>
      </c>
      <c r="P386">
        <v>2</v>
      </c>
      <c r="Q386">
        <v>4</v>
      </c>
      <c r="R386">
        <v>0.17</v>
      </c>
      <c r="S386">
        <v>0.19700000000000001</v>
      </c>
      <c r="T386">
        <v>0.30299999999999999</v>
      </c>
      <c r="U386">
        <v>0.34899999999999998</v>
      </c>
      <c r="BF386">
        <v>5.8620689655172399E-2</v>
      </c>
      <c r="BG386">
        <v>8.6999999999999994E-2</v>
      </c>
      <c r="BH386">
        <v>0.10448275862068999</v>
      </c>
      <c r="BI386">
        <v>0.120344827586207</v>
      </c>
      <c r="BZ386">
        <v>0.13650223633818531</v>
      </c>
      <c r="CA386">
        <v>447.07285725119687</v>
      </c>
      <c r="CB386">
        <v>3.05599115338882E-2</v>
      </c>
      <c r="CC386">
        <v>7.8002057016000007E-2</v>
      </c>
      <c r="CD386">
        <v>0.17303470387919101</v>
      </c>
      <c r="CE386">
        <v>0.26441227292366198</v>
      </c>
    </row>
    <row r="387" spans="1:99" x14ac:dyDescent="0.25">
      <c r="A387" t="s">
        <v>143</v>
      </c>
      <c r="B387" t="s">
        <v>214</v>
      </c>
      <c r="C387" t="s">
        <v>192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2368</v>
      </c>
      <c r="N387">
        <v>818.80134209591097</v>
      </c>
      <c r="O387">
        <v>0</v>
      </c>
      <c r="P387">
        <v>1</v>
      </c>
      <c r="Q387">
        <v>1</v>
      </c>
      <c r="R387">
        <v>0.13</v>
      </c>
      <c r="BF387">
        <v>3.8235294117647103E-2</v>
      </c>
      <c r="BZ387">
        <v>9.9419951557093503E-3</v>
      </c>
      <c r="CA387">
        <v>8.1405189766058612</v>
      </c>
      <c r="CB387">
        <v>9.9419951557093503E-3</v>
      </c>
    </row>
    <row r="388" spans="1:99" x14ac:dyDescent="0.25">
      <c r="A388" t="s">
        <v>143</v>
      </c>
      <c r="B388" t="s">
        <v>182</v>
      </c>
      <c r="C388" t="s">
        <v>154</v>
      </c>
      <c r="D388">
        <v>-1</v>
      </c>
      <c r="E388">
        <v>1</v>
      </c>
      <c r="F388">
        <v>1</v>
      </c>
      <c r="G388">
        <v>-1</v>
      </c>
      <c r="H388">
        <v>-1</v>
      </c>
      <c r="I388">
        <v>1</v>
      </c>
      <c r="J388">
        <v>0</v>
      </c>
      <c r="K388">
        <v>-1</v>
      </c>
      <c r="L388">
        <v>-1</v>
      </c>
      <c r="M388">
        <v>64</v>
      </c>
      <c r="N388">
        <v>22.129766002592199</v>
      </c>
      <c r="O388">
        <v>-1</v>
      </c>
      <c r="P388">
        <v>-1</v>
      </c>
      <c r="Q388">
        <v>-1</v>
      </c>
      <c r="R388">
        <v>0.56799999999999995</v>
      </c>
      <c r="S388">
        <v>0.48199999999999998</v>
      </c>
      <c r="T388">
        <v>0.46300000000000002</v>
      </c>
      <c r="AL388" t="s">
        <v>155</v>
      </c>
      <c r="AM388" t="s">
        <v>156</v>
      </c>
      <c r="AN388" t="s">
        <v>155</v>
      </c>
      <c r="BZ388">
        <v>0.36475909525052569</v>
      </c>
      <c r="CA388">
        <v>8.072033425211373</v>
      </c>
      <c r="CB388">
        <v>0.55679039234622396</v>
      </c>
      <c r="CC388">
        <v>0.29015200888001202</v>
      </c>
      <c r="CD388">
        <v>0.247334884525341</v>
      </c>
    </row>
    <row r="389" spans="1:99" x14ac:dyDescent="0.25">
      <c r="A389" t="s">
        <v>144</v>
      </c>
      <c r="B389" t="s">
        <v>191</v>
      </c>
      <c r="C389" t="s">
        <v>192</v>
      </c>
      <c r="D389">
        <v>-1</v>
      </c>
      <c r="E389">
        <v>-1</v>
      </c>
      <c r="F389">
        <v>-1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3584</v>
      </c>
      <c r="N389">
        <v>1501.6998859170801</v>
      </c>
      <c r="O389">
        <v>1</v>
      </c>
      <c r="P389">
        <v>3</v>
      </c>
      <c r="Q389">
        <v>4</v>
      </c>
      <c r="R389">
        <v>8.5000000000000006E-2</v>
      </c>
      <c r="S389">
        <v>0.104</v>
      </c>
      <c r="T389">
        <v>0.107</v>
      </c>
      <c r="U389">
        <v>9.2999999999999999E-2</v>
      </c>
      <c r="BZ389">
        <v>1.1305167000000001E-2</v>
      </c>
      <c r="CA389">
        <v>16.976967994173542</v>
      </c>
      <c r="CB389">
        <v>7.3695000000000002E-3</v>
      </c>
      <c r="CC389">
        <v>1.3498368E-2</v>
      </c>
      <c r="CD389">
        <v>1.4700516E-2</v>
      </c>
      <c r="CE389">
        <v>9.6522840000000006E-3</v>
      </c>
    </row>
    <row r="390" spans="1:99" x14ac:dyDescent="0.25">
      <c r="A390" t="s">
        <v>144</v>
      </c>
      <c r="B390" t="s">
        <v>193</v>
      </c>
      <c r="C390" t="s">
        <v>192</v>
      </c>
      <c r="D390">
        <v>-1</v>
      </c>
      <c r="E390">
        <v>-1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7168</v>
      </c>
      <c r="N390">
        <v>3003.3997718341602</v>
      </c>
      <c r="O390">
        <v>5</v>
      </c>
      <c r="P390">
        <v>3</v>
      </c>
      <c r="Q390">
        <v>8</v>
      </c>
      <c r="R390">
        <v>0.442</v>
      </c>
      <c r="S390">
        <v>0.68899999999999995</v>
      </c>
      <c r="T390">
        <v>0.73399999999999999</v>
      </c>
      <c r="U390">
        <v>0.66400000000000003</v>
      </c>
      <c r="V390">
        <v>0.71099999999999997</v>
      </c>
      <c r="W390">
        <v>0.68200000000000005</v>
      </c>
      <c r="X390">
        <v>0.80400000000000005</v>
      </c>
      <c r="Y390">
        <v>0.748</v>
      </c>
      <c r="BZ390">
        <v>3.0458789439</v>
      </c>
      <c r="CA390">
        <v>9147.9921251437336</v>
      </c>
      <c r="CB390">
        <v>0.77456746535999998</v>
      </c>
      <c r="CC390">
        <v>2.9339324379299998</v>
      </c>
      <c r="CD390">
        <v>3.5471587288799999</v>
      </c>
      <c r="CE390">
        <v>2.6260118476800001</v>
      </c>
      <c r="CF390">
        <v>3.2240461160699998</v>
      </c>
      <c r="CG390">
        <v>2.8454146749599998</v>
      </c>
      <c r="CH390">
        <v>4.66187462208</v>
      </c>
      <c r="CI390">
        <v>3.7540256582399998</v>
      </c>
    </row>
    <row r="391" spans="1:99" x14ac:dyDescent="0.25">
      <c r="A391" t="s">
        <v>144</v>
      </c>
      <c r="B391" t="s">
        <v>172</v>
      </c>
      <c r="C391" t="s">
        <v>158</v>
      </c>
      <c r="D391">
        <v>-1</v>
      </c>
      <c r="E391">
        <v>53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13568</v>
      </c>
      <c r="N391">
        <v>5685.0067109718002</v>
      </c>
      <c r="O391">
        <v>-1</v>
      </c>
      <c r="P391">
        <v>-1</v>
      </c>
      <c r="Q391">
        <v>-1</v>
      </c>
      <c r="R391">
        <v>0.23499999999999999</v>
      </c>
      <c r="S391">
        <v>0.28899999999999998</v>
      </c>
      <c r="T391">
        <v>0.21299999999999999</v>
      </c>
      <c r="U391">
        <v>0.27900000000000003</v>
      </c>
      <c r="V391">
        <v>0.314</v>
      </c>
      <c r="W391">
        <v>0.26100000000000001</v>
      </c>
      <c r="X391">
        <v>0.29899999999999999</v>
      </c>
      <c r="Y391">
        <v>0.26300000000000001</v>
      </c>
      <c r="Z391">
        <v>0.30499999999999999</v>
      </c>
      <c r="AA391">
        <v>0.223</v>
      </c>
      <c r="AB391">
        <v>0.33400000000000002</v>
      </c>
      <c r="AC391">
        <v>0.27700000000000002</v>
      </c>
      <c r="AD391">
        <v>0.33</v>
      </c>
      <c r="AE391">
        <v>0.24099999999999999</v>
      </c>
      <c r="AF391">
        <v>0.30599999999999999</v>
      </c>
      <c r="AG391">
        <v>0.20499999999999999</v>
      </c>
      <c r="AH391">
        <v>0.34499999999999997</v>
      </c>
      <c r="AI391">
        <v>0.27300000000000002</v>
      </c>
      <c r="AJ391">
        <v>0.28499999999999998</v>
      </c>
      <c r="AK391">
        <v>0.309</v>
      </c>
      <c r="AL391" t="s">
        <v>159</v>
      </c>
      <c r="AM391" t="s">
        <v>159</v>
      </c>
      <c r="AN391" t="s">
        <v>159</v>
      </c>
      <c r="AO391" t="s">
        <v>159</v>
      </c>
      <c r="AP391" t="s">
        <v>159</v>
      </c>
      <c r="AQ391" t="s">
        <v>159</v>
      </c>
      <c r="AR391" t="s">
        <v>159</v>
      </c>
      <c r="AS391" t="s">
        <v>159</v>
      </c>
      <c r="AT391" t="s">
        <v>159</v>
      </c>
      <c r="AU391" t="s">
        <v>159</v>
      </c>
      <c r="AV391" t="s">
        <v>159</v>
      </c>
      <c r="AW391" t="s">
        <v>159</v>
      </c>
      <c r="AX391" t="s">
        <v>159</v>
      </c>
      <c r="AY391" t="s">
        <v>159</v>
      </c>
      <c r="AZ391" t="s">
        <v>159</v>
      </c>
      <c r="BA391" t="s">
        <v>159</v>
      </c>
      <c r="BB391" t="s">
        <v>159</v>
      </c>
      <c r="BC391" t="s">
        <v>159</v>
      </c>
      <c r="BD391" t="s">
        <v>159</v>
      </c>
      <c r="BE391" t="s">
        <v>159</v>
      </c>
      <c r="BZ391">
        <v>0.62034654646282528</v>
      </c>
      <c r="CA391">
        <v>3526.6742797693414</v>
      </c>
      <c r="CB391">
        <v>0.386018684580413</v>
      </c>
      <c r="CC391">
        <v>0.65144563297581304</v>
      </c>
      <c r="CD391">
        <v>0.30102809594482799</v>
      </c>
      <c r="CE391">
        <v>0.595916306080575</v>
      </c>
      <c r="CF391">
        <v>0.80359762501548704</v>
      </c>
      <c r="CG391">
        <v>0.50339293784214301</v>
      </c>
      <c r="CH391">
        <v>0.70999410262278095</v>
      </c>
      <c r="CI391">
        <v>0.51320949009263905</v>
      </c>
      <c r="CJ391">
        <v>0.74659526022016598</v>
      </c>
      <c r="CK391">
        <v>0.33807880018450098</v>
      </c>
      <c r="CL391">
        <v>0.93947493121896597</v>
      </c>
      <c r="CM391">
        <v>0.58516784102181196</v>
      </c>
      <c r="CN391">
        <v>0.91126964277005995</v>
      </c>
      <c r="CO391">
        <v>0.41144307076181802</v>
      </c>
      <c r="CP391">
        <v>0.75280387152912998</v>
      </c>
      <c r="CQ391">
        <v>0.27323976515410697</v>
      </c>
      <c r="CR391">
        <v>1.0197388032564401</v>
      </c>
      <c r="CS391">
        <v>0.56402471134249299</v>
      </c>
      <c r="CT391">
        <v>0.628874710985174</v>
      </c>
      <c r="CU391">
        <v>0.77161664565715904</v>
      </c>
    </row>
    <row r="392" spans="1:99" x14ac:dyDescent="0.25">
      <c r="A392" t="s">
        <v>144</v>
      </c>
      <c r="B392" t="s">
        <v>157</v>
      </c>
      <c r="C392" t="s">
        <v>158</v>
      </c>
      <c r="D392">
        <v>42</v>
      </c>
      <c r="E392">
        <v>-1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42</v>
      </c>
      <c r="N392">
        <v>17.598045538090801</v>
      </c>
      <c r="O392">
        <v>-1</v>
      </c>
      <c r="P392">
        <v>-1</v>
      </c>
      <c r="Q392">
        <v>-1</v>
      </c>
      <c r="R392">
        <v>1.879</v>
      </c>
      <c r="S392">
        <v>2.585</v>
      </c>
      <c r="T392">
        <v>1.83</v>
      </c>
      <c r="U392">
        <v>2.4809999999999999</v>
      </c>
      <c r="V392">
        <v>2.532</v>
      </c>
      <c r="W392">
        <v>2.5649999999999999</v>
      </c>
      <c r="X392">
        <v>2.76</v>
      </c>
      <c r="Y392">
        <v>3.0539999999999998</v>
      </c>
      <c r="Z392">
        <v>1.89</v>
      </c>
      <c r="AA392">
        <v>3.3929999999999998</v>
      </c>
      <c r="AB392">
        <v>2.1800000000000002</v>
      </c>
      <c r="AC392">
        <v>3.1640000000000001</v>
      </c>
      <c r="AD392">
        <v>2.9649999999999999</v>
      </c>
      <c r="AE392">
        <v>2.1070000000000002</v>
      </c>
      <c r="AF392">
        <v>1.887</v>
      </c>
      <c r="AG392">
        <v>2.23</v>
      </c>
      <c r="AH392">
        <v>2.8929999999999998</v>
      </c>
      <c r="AI392">
        <v>1.7170000000000001</v>
      </c>
      <c r="AJ392">
        <v>1.7529999999999999</v>
      </c>
      <c r="AK392">
        <v>2.3479999999999999</v>
      </c>
      <c r="AL392" t="s">
        <v>159</v>
      </c>
      <c r="AM392" t="s">
        <v>159</v>
      </c>
      <c r="AN392" t="s">
        <v>159</v>
      </c>
      <c r="AO392" t="s">
        <v>159</v>
      </c>
      <c r="AP392" t="s">
        <v>159</v>
      </c>
      <c r="AQ392" t="s">
        <v>159</v>
      </c>
      <c r="AR392" t="s">
        <v>159</v>
      </c>
      <c r="AS392" t="s">
        <v>159</v>
      </c>
      <c r="AT392" t="s">
        <v>159</v>
      </c>
      <c r="AU392" t="s">
        <v>159</v>
      </c>
      <c r="AV392" t="s">
        <v>159</v>
      </c>
      <c r="AW392" t="s">
        <v>159</v>
      </c>
      <c r="AX392" t="s">
        <v>159</v>
      </c>
      <c r="AY392" t="s">
        <v>159</v>
      </c>
      <c r="AZ392" t="s">
        <v>159</v>
      </c>
      <c r="BA392" t="s">
        <v>159</v>
      </c>
      <c r="BB392" t="s">
        <v>159</v>
      </c>
      <c r="BC392" t="s">
        <v>159</v>
      </c>
      <c r="BD392" t="s">
        <v>159</v>
      </c>
      <c r="BE392" t="s">
        <v>159</v>
      </c>
      <c r="BZ392">
        <v>111.75905783141759</v>
      </c>
      <c r="CA392">
        <v>1966.7409890114102</v>
      </c>
      <c r="CB392">
        <v>63.322835576695297</v>
      </c>
      <c r="CC392">
        <v>123.337723420402</v>
      </c>
      <c r="CD392">
        <v>59.920601091363501</v>
      </c>
      <c r="CE392">
        <v>113.19397758899601</v>
      </c>
      <c r="CF392">
        <v>118.11159099085801</v>
      </c>
      <c r="CG392">
        <v>121.351733879256</v>
      </c>
      <c r="CH392">
        <v>141.43385056921201</v>
      </c>
      <c r="CI392">
        <v>174.75502083021601</v>
      </c>
      <c r="CJ392">
        <v>64.100077486236799</v>
      </c>
      <c r="CK392">
        <v>217.75776501499001</v>
      </c>
      <c r="CL392">
        <v>86.382835468441399</v>
      </c>
      <c r="CM392">
        <v>188.168800372231</v>
      </c>
      <c r="CN392">
        <v>164.28011643045099</v>
      </c>
      <c r="CO392">
        <v>80.447446423956194</v>
      </c>
      <c r="CP392">
        <v>63.8876119727298</v>
      </c>
      <c r="CQ392">
        <v>90.575459837344795</v>
      </c>
      <c r="CR392">
        <v>156.052816042953</v>
      </c>
      <c r="CS392">
        <v>52.447319944845603</v>
      </c>
      <c r="CT392">
        <v>54.771872487795399</v>
      </c>
      <c r="CU392">
        <v>100.881701199378</v>
      </c>
    </row>
    <row r="393" spans="1:99" x14ac:dyDescent="0.25">
      <c r="A393" t="s">
        <v>144</v>
      </c>
      <c r="B393" t="s">
        <v>194</v>
      </c>
      <c r="C393" t="s">
        <v>192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6272</v>
      </c>
      <c r="N393">
        <v>2627.9748003548898</v>
      </c>
      <c r="O393">
        <v>2</v>
      </c>
      <c r="P393">
        <v>5</v>
      </c>
      <c r="Q393">
        <v>7</v>
      </c>
      <c r="BF393">
        <v>3.2000000000000001E-2</v>
      </c>
      <c r="BG393">
        <v>3.1E-2</v>
      </c>
      <c r="BH393">
        <v>3.3000000000000002E-2</v>
      </c>
      <c r="BI393">
        <v>2.5999999999999999E-2</v>
      </c>
      <c r="BJ393">
        <v>0.04</v>
      </c>
      <c r="BK393">
        <v>4.2999999999999997E-2</v>
      </c>
      <c r="BL393">
        <v>3.1E-2</v>
      </c>
      <c r="BZ393">
        <v>7.4409428571428566E-3</v>
      </c>
      <c r="CA393">
        <v>19.554610319452141</v>
      </c>
      <c r="CB393">
        <v>5.8982399999999999E-3</v>
      </c>
      <c r="CC393">
        <v>5.3623799999999999E-3</v>
      </c>
      <c r="CD393">
        <v>6.4686600000000002E-3</v>
      </c>
      <c r="CE393">
        <v>3.1636799999999999E-3</v>
      </c>
      <c r="CF393">
        <v>1.1520000000000001E-2</v>
      </c>
      <c r="CG393">
        <v>1.4311259999999999E-2</v>
      </c>
      <c r="CH393">
        <v>5.3623799999999999E-3</v>
      </c>
    </row>
    <row r="394" spans="1:99" x14ac:dyDescent="0.25">
      <c r="A394" t="s">
        <v>144</v>
      </c>
      <c r="B394" t="s">
        <v>195</v>
      </c>
      <c r="C394" t="s">
        <v>192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142464</v>
      </c>
      <c r="N394">
        <v>59692.570465203898</v>
      </c>
      <c r="O394">
        <v>82</v>
      </c>
      <c r="P394">
        <v>77</v>
      </c>
      <c r="Q394">
        <v>159</v>
      </c>
      <c r="R394">
        <v>0.14899999999999999</v>
      </c>
      <c r="S394">
        <v>0.13800000000000001</v>
      </c>
      <c r="T394">
        <v>0.16600000000000001</v>
      </c>
      <c r="U394">
        <v>0.17100000000000001</v>
      </c>
      <c r="V394">
        <v>0.113</v>
      </c>
      <c r="W394">
        <v>0.129</v>
      </c>
      <c r="X394">
        <v>0.129</v>
      </c>
      <c r="Y394">
        <v>0.14199999999999999</v>
      </c>
      <c r="Z394">
        <v>0.16600000000000001</v>
      </c>
      <c r="AA394">
        <v>9.2999999999999999E-2</v>
      </c>
      <c r="AB394">
        <v>0.13700000000000001</v>
      </c>
      <c r="AC394">
        <v>0.20899999999999999</v>
      </c>
      <c r="AD394">
        <v>0.1</v>
      </c>
      <c r="AE394">
        <v>0.14499999999999999</v>
      </c>
      <c r="AF394">
        <v>0.107</v>
      </c>
      <c r="AG394">
        <v>0.17199999999999999</v>
      </c>
      <c r="AH394">
        <v>0.11600000000000001</v>
      </c>
      <c r="AI394">
        <v>0.16600000000000001</v>
      </c>
      <c r="AJ394">
        <v>0.13800000000000001</v>
      </c>
      <c r="AK394">
        <v>0.14099999999999999</v>
      </c>
      <c r="BF394">
        <v>7.6999999999999999E-2</v>
      </c>
      <c r="BG394">
        <v>8.5000000000000006E-2</v>
      </c>
      <c r="BH394">
        <v>6.8000000000000005E-2</v>
      </c>
      <c r="BI394">
        <v>4.7E-2</v>
      </c>
      <c r="BJ394">
        <v>5.0999999999999997E-2</v>
      </c>
      <c r="BK394">
        <v>4.7E-2</v>
      </c>
      <c r="BL394">
        <v>4.3999999999999997E-2</v>
      </c>
      <c r="BM394">
        <v>4.5999999999999999E-2</v>
      </c>
      <c r="BN394">
        <v>7.0999999999999994E-2</v>
      </c>
      <c r="BO394">
        <v>5.5E-2</v>
      </c>
      <c r="BP394">
        <v>7.2999999999999995E-2</v>
      </c>
      <c r="BQ394">
        <v>6.2E-2</v>
      </c>
      <c r="BR394">
        <v>5.2999999999999999E-2</v>
      </c>
      <c r="BS394">
        <v>7.0999999999999994E-2</v>
      </c>
      <c r="BT394">
        <v>5.7000000000000002E-2</v>
      </c>
      <c r="BU394">
        <v>7.1999999999999995E-2</v>
      </c>
      <c r="BV394">
        <v>3.9E-2</v>
      </c>
      <c r="BW394">
        <v>6.3E-2</v>
      </c>
      <c r="BX394">
        <v>6.9000000000000006E-2</v>
      </c>
      <c r="BY394">
        <v>4.7E-2</v>
      </c>
      <c r="BZ394">
        <v>1.4119816099999998E-2</v>
      </c>
      <c r="CA394">
        <v>842.84811750497033</v>
      </c>
      <c r="CB394">
        <v>2.2968946000000001E-2</v>
      </c>
      <c r="CC394">
        <v>2.59233E-2</v>
      </c>
      <c r="CD394">
        <v>1.9957183999999999E-2</v>
      </c>
      <c r="CE394">
        <v>9.821214E-3</v>
      </c>
      <c r="CF394">
        <v>7.6417380000000003E-3</v>
      </c>
      <c r="CG394">
        <v>7.4089860000000002E-3</v>
      </c>
      <c r="CH394">
        <v>6.4933439999999999E-3</v>
      </c>
      <c r="CI394">
        <v>7.8122720000000003E-3</v>
      </c>
      <c r="CJ394">
        <v>2.1756956000000001E-2</v>
      </c>
      <c r="CK394">
        <v>7.3144500000000001E-3</v>
      </c>
      <c r="CL394">
        <v>1.8981898000000001E-2</v>
      </c>
      <c r="CM394">
        <v>2.0888296000000001E-2</v>
      </c>
      <c r="CN394">
        <v>7.3033999999999998E-3</v>
      </c>
      <c r="CO394">
        <v>1.9004569999999998E-2</v>
      </c>
      <c r="CP394">
        <v>9.0387179999999994E-3</v>
      </c>
      <c r="CQ394">
        <v>2.3182847999999999E-2</v>
      </c>
      <c r="CR394">
        <v>4.587336E-3</v>
      </c>
      <c r="CS394">
        <v>1.7130204E-2</v>
      </c>
      <c r="CT394">
        <v>1.7082468E-2</v>
      </c>
      <c r="CU394">
        <v>8.0981939999999995E-3</v>
      </c>
    </row>
    <row r="395" spans="1:99" x14ac:dyDescent="0.25">
      <c r="A395" t="s">
        <v>144</v>
      </c>
      <c r="B395" t="s">
        <v>196</v>
      </c>
      <c r="C395" t="s">
        <v>197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31360</v>
      </c>
      <c r="N395">
        <v>13139.8740017744</v>
      </c>
      <c r="O395">
        <v>16</v>
      </c>
      <c r="P395">
        <v>19</v>
      </c>
      <c r="Q395">
        <v>35</v>
      </c>
      <c r="R395">
        <v>0.16900000000000001</v>
      </c>
      <c r="S395">
        <v>0.157</v>
      </c>
      <c r="T395">
        <v>0.17699999999999999</v>
      </c>
      <c r="U395">
        <v>0.13100000000000001</v>
      </c>
      <c r="V395">
        <v>0.14399999999999999</v>
      </c>
      <c r="W395">
        <v>0.1</v>
      </c>
      <c r="X395">
        <v>0.126</v>
      </c>
      <c r="Y395">
        <v>0.16</v>
      </c>
      <c r="Z395">
        <v>0.13100000000000001</v>
      </c>
      <c r="AA395">
        <v>0.21</v>
      </c>
      <c r="AB395">
        <v>0.316</v>
      </c>
      <c r="AC395">
        <v>0.13200000000000001</v>
      </c>
      <c r="AD395">
        <v>0.13500000000000001</v>
      </c>
      <c r="AE395">
        <v>0.22800000000000001</v>
      </c>
      <c r="AF395">
        <v>0.219</v>
      </c>
      <c r="AG395">
        <v>0.13</v>
      </c>
      <c r="AH395">
        <v>0.115</v>
      </c>
      <c r="AI395">
        <v>0.114</v>
      </c>
      <c r="AJ395">
        <v>0.16</v>
      </c>
      <c r="AK395">
        <v>0.10199999999999999</v>
      </c>
      <c r="BZ395">
        <v>9.9349042665410114E-2</v>
      </c>
      <c r="CA395">
        <v>1305.4339028203981</v>
      </c>
      <c r="CB395">
        <v>9.8879261520543368E-2</v>
      </c>
      <c r="CC395">
        <v>8.2858351567382138E-2</v>
      </c>
      <c r="CD395">
        <v>0.11048745306659181</v>
      </c>
      <c r="CE395">
        <v>5.3657228001919549E-2</v>
      </c>
      <c r="CF395">
        <v>6.7335967442926234E-2</v>
      </c>
      <c r="CG395">
        <v>2.8065780425595335E-2</v>
      </c>
      <c r="CH395">
        <v>4.8872711129969722E-2</v>
      </c>
      <c r="CI395">
        <v>8.6709180472729408E-2</v>
      </c>
      <c r="CJ395">
        <v>5.3657228001919549E-2</v>
      </c>
      <c r="CK395">
        <v>0.16653419823704091</v>
      </c>
      <c r="CL395">
        <v>0.44404411785473946</v>
      </c>
      <c r="CM395">
        <v>5.4645519376070768E-2</v>
      </c>
      <c r="CN395">
        <v>5.7673746944497048E-2</v>
      </c>
      <c r="CO395">
        <v>0.2028713671663164</v>
      </c>
      <c r="CP395">
        <v>0.1841802248270773</v>
      </c>
      <c r="CQ395">
        <v>5.2679442313682365E-2</v>
      </c>
      <c r="CR395">
        <v>3.9251109741472279E-2</v>
      </c>
      <c r="CS395">
        <v>3.84369365105749E-2</v>
      </c>
      <c r="CT395">
        <v>8.6709180472729408E-2</v>
      </c>
      <c r="CU395">
        <v>2.9431848234424133E-2</v>
      </c>
    </row>
    <row r="396" spans="1:99" x14ac:dyDescent="0.25">
      <c r="A396" t="s">
        <v>144</v>
      </c>
      <c r="B396" t="s">
        <v>173</v>
      </c>
      <c r="C396" t="s">
        <v>168</v>
      </c>
      <c r="D396">
        <v>-1</v>
      </c>
      <c r="E396">
        <v>47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12032</v>
      </c>
      <c r="N396">
        <v>5041.4210455787597</v>
      </c>
      <c r="O396">
        <v>-1</v>
      </c>
      <c r="P396">
        <v>-1</v>
      </c>
      <c r="Q396">
        <v>-1</v>
      </c>
      <c r="R396">
        <v>0.40200000000000002</v>
      </c>
      <c r="S396">
        <v>0.501</v>
      </c>
      <c r="T396">
        <v>0.36699999999999999</v>
      </c>
      <c r="U396">
        <v>0.47199999999999998</v>
      </c>
      <c r="V396">
        <v>0.36899999999999999</v>
      </c>
      <c r="W396">
        <v>0.497</v>
      </c>
      <c r="X396">
        <v>0.38900000000000001</v>
      </c>
      <c r="Y396">
        <v>0.82499999999999996</v>
      </c>
      <c r="Z396">
        <v>0.82399999999999995</v>
      </c>
      <c r="AA396">
        <v>0.40600000000000003</v>
      </c>
      <c r="AB396">
        <v>0.48699999999999999</v>
      </c>
      <c r="AC396">
        <v>0.78400000000000003</v>
      </c>
      <c r="AD396">
        <v>0.46</v>
      </c>
      <c r="AE396">
        <v>0.61599999999999999</v>
      </c>
      <c r="AF396">
        <v>0.38900000000000001</v>
      </c>
      <c r="AG396">
        <v>0.67900000000000005</v>
      </c>
      <c r="AH396">
        <v>0.502</v>
      </c>
      <c r="AI396">
        <v>0.67300000000000004</v>
      </c>
      <c r="AJ396">
        <v>0.373</v>
      </c>
      <c r="AK396">
        <v>0.374</v>
      </c>
      <c r="AL396" t="s">
        <v>169</v>
      </c>
      <c r="AM396" t="s">
        <v>169</v>
      </c>
      <c r="AN396" t="s">
        <v>169</v>
      </c>
      <c r="AO396" t="s">
        <v>169</v>
      </c>
      <c r="AP396" t="s">
        <v>169</v>
      </c>
      <c r="AQ396" t="s">
        <v>169</v>
      </c>
      <c r="AR396" t="s">
        <v>169</v>
      </c>
      <c r="AS396" t="s">
        <v>169</v>
      </c>
      <c r="AT396" t="s">
        <v>169</v>
      </c>
      <c r="AU396" t="s">
        <v>169</v>
      </c>
      <c r="AV396" t="s">
        <v>169</v>
      </c>
      <c r="AW396" t="s">
        <v>169</v>
      </c>
      <c r="AX396" t="s">
        <v>169</v>
      </c>
      <c r="AY396" t="s">
        <v>169</v>
      </c>
      <c r="AZ396" t="s">
        <v>169</v>
      </c>
      <c r="BA396" t="s">
        <v>169</v>
      </c>
      <c r="BB396" t="s">
        <v>169</v>
      </c>
      <c r="BC396" t="s">
        <v>169</v>
      </c>
      <c r="BD396" t="s">
        <v>169</v>
      </c>
      <c r="BE396" t="s">
        <v>169</v>
      </c>
      <c r="BZ396">
        <v>0.63222521303169155</v>
      </c>
      <c r="CA396">
        <v>3187.3134945234847</v>
      </c>
      <c r="CB396">
        <v>0.14115825166425999</v>
      </c>
      <c r="CC396">
        <v>0.33828645708800298</v>
      </c>
      <c r="CD396">
        <v>9.8322545827008598E-2</v>
      </c>
      <c r="CE396">
        <v>0.26697990521414</v>
      </c>
      <c r="CF396">
        <v>0.100467018374927</v>
      </c>
      <c r="CG396">
        <v>0.32769038847774401</v>
      </c>
      <c r="CH396">
        <v>0.123887861734121</v>
      </c>
      <c r="CI396">
        <v>2.4504791728531501</v>
      </c>
      <c r="CJ396">
        <v>2.4387083787608899</v>
      </c>
      <c r="CK396">
        <v>0.14681728655058601</v>
      </c>
      <c r="CL396">
        <v>0.30228654440515801</v>
      </c>
      <c r="CM396">
        <v>2.0015369355845598</v>
      </c>
      <c r="CN396">
        <v>0.24103351366449599</v>
      </c>
      <c r="CO396">
        <v>0.76835914968136498</v>
      </c>
      <c r="CP396">
        <v>0.123887861734121</v>
      </c>
      <c r="CQ396">
        <v>1.13097197610681</v>
      </c>
      <c r="CR396">
        <v>0.34097504629973002</v>
      </c>
      <c r="CS396">
        <v>1.0918139650465</v>
      </c>
      <c r="CT396">
        <v>0.104860736147531</v>
      </c>
      <c r="CU396">
        <v>0.10598126541873</v>
      </c>
    </row>
    <row r="397" spans="1:99" x14ac:dyDescent="0.25">
      <c r="A397" t="s">
        <v>144</v>
      </c>
      <c r="B397" t="s">
        <v>170</v>
      </c>
      <c r="C397" t="s">
        <v>158</v>
      </c>
      <c r="D397">
        <v>-1</v>
      </c>
      <c r="E397">
        <v>6</v>
      </c>
      <c r="F397">
        <v>-1</v>
      </c>
      <c r="G397">
        <v>-1</v>
      </c>
      <c r="H397">
        <v>-1</v>
      </c>
      <c r="I397">
        <v>13</v>
      </c>
      <c r="J397">
        <v>-1</v>
      </c>
      <c r="K397">
        <v>-1</v>
      </c>
      <c r="L397">
        <v>-1</v>
      </c>
      <c r="M397">
        <v>1621.3333333333301</v>
      </c>
      <c r="N397">
        <v>679.34042458153601</v>
      </c>
      <c r="O397">
        <v>-1</v>
      </c>
      <c r="P397">
        <v>-1</v>
      </c>
      <c r="Q397">
        <v>-1</v>
      </c>
      <c r="R397">
        <v>0.51700000000000002</v>
      </c>
      <c r="S397">
        <v>1.1819999999999999</v>
      </c>
      <c r="T397">
        <v>0.84099999999999997</v>
      </c>
      <c r="U397">
        <v>0.76900000000000002</v>
      </c>
      <c r="V397">
        <v>0.60499999999999998</v>
      </c>
      <c r="W397">
        <v>0.80200000000000005</v>
      </c>
      <c r="X397">
        <v>0.84099999999999997</v>
      </c>
      <c r="Y397">
        <v>0.53100000000000003</v>
      </c>
      <c r="Z397">
        <v>0.58799999999999997</v>
      </c>
      <c r="AA397">
        <v>0.90600000000000003</v>
      </c>
      <c r="AB397">
        <v>0.77100000000000002</v>
      </c>
      <c r="AC397">
        <v>0.60799999999999998</v>
      </c>
      <c r="AD397">
        <v>1.105</v>
      </c>
      <c r="AE397">
        <v>1.0409999999999999</v>
      </c>
      <c r="AF397">
        <v>0.60099999999999998</v>
      </c>
      <c r="AG397">
        <v>0.81299999999999994</v>
      </c>
      <c r="AH397">
        <v>0.42199999999999999</v>
      </c>
      <c r="AI397">
        <v>0.69899999999999995</v>
      </c>
      <c r="AJ397">
        <v>0.74099999999999999</v>
      </c>
      <c r="AL397" t="s">
        <v>159</v>
      </c>
      <c r="AM397" t="s">
        <v>159</v>
      </c>
      <c r="AN397" t="s">
        <v>159</v>
      </c>
      <c r="AO397" t="s">
        <v>159</v>
      </c>
      <c r="AP397" t="s">
        <v>159</v>
      </c>
      <c r="AQ397" t="s">
        <v>159</v>
      </c>
      <c r="AR397" t="s">
        <v>159</v>
      </c>
      <c r="AS397" t="s">
        <v>159</v>
      </c>
      <c r="AT397" t="s">
        <v>159</v>
      </c>
      <c r="AU397" t="s">
        <v>159</v>
      </c>
      <c r="AV397" t="s">
        <v>159</v>
      </c>
      <c r="AW397" t="s">
        <v>159</v>
      </c>
      <c r="AX397" t="s">
        <v>159</v>
      </c>
      <c r="AY397" t="s">
        <v>159</v>
      </c>
      <c r="AZ397" t="s">
        <v>159</v>
      </c>
      <c r="BA397" t="s">
        <v>159</v>
      </c>
      <c r="BB397" t="s">
        <v>159</v>
      </c>
      <c r="BC397" t="s">
        <v>159</v>
      </c>
      <c r="BD397" t="s">
        <v>159</v>
      </c>
      <c r="BZ397">
        <v>2.6699382867596646</v>
      </c>
      <c r="CA397">
        <v>1813.7970093338095</v>
      </c>
      <c r="CB397">
        <v>0.76293439931141005</v>
      </c>
      <c r="CC397">
        <v>7.9874414535220604</v>
      </c>
      <c r="CD397">
        <v>3.0380483587837799</v>
      </c>
      <c r="CE397">
        <v>2.3561604379831902</v>
      </c>
      <c r="CF397">
        <v>1.1922280035506201</v>
      </c>
      <c r="CG397">
        <v>2.6547844209943698</v>
      </c>
      <c r="CH397">
        <v>3.0380483587837799</v>
      </c>
      <c r="CI397">
        <v>0.82308084423420103</v>
      </c>
      <c r="CJ397">
        <v>1.0995263978937</v>
      </c>
      <c r="CK397">
        <v>3.75334197655441</v>
      </c>
      <c r="CL397">
        <v>2.37360521864094</v>
      </c>
      <c r="CM397">
        <v>1.2090944276053599</v>
      </c>
      <c r="CN397">
        <v>6.5966421295374298</v>
      </c>
      <c r="CO397">
        <v>5.5684474598144797</v>
      </c>
      <c r="CP397">
        <v>1.1699776215784501</v>
      </c>
      <c r="CQ397">
        <v>2.7595051186263899</v>
      </c>
      <c r="CR397">
        <v>0.42860912734662698</v>
      </c>
      <c r="CS397">
        <v>1.7967565370705301</v>
      </c>
      <c r="CT397">
        <v>2.1205951566019001</v>
      </c>
    </row>
    <row r="398" spans="1:99" x14ac:dyDescent="0.25">
      <c r="A398" t="s">
        <v>144</v>
      </c>
      <c r="B398" t="s">
        <v>167</v>
      </c>
      <c r="C398" t="s">
        <v>168</v>
      </c>
      <c r="D398">
        <v>-1</v>
      </c>
      <c r="E398">
        <v>40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10240</v>
      </c>
      <c r="N398">
        <v>4290.5711026202298</v>
      </c>
      <c r="O398">
        <v>-1</v>
      </c>
      <c r="P398">
        <v>-1</v>
      </c>
      <c r="Q398">
        <v>-1</v>
      </c>
      <c r="R398">
        <v>0.42899999999999999</v>
      </c>
      <c r="S398">
        <v>0.58899999999999997</v>
      </c>
      <c r="T398">
        <v>0.40200000000000002</v>
      </c>
      <c r="U398">
        <v>0.42</v>
      </c>
      <c r="V398">
        <v>0.437</v>
      </c>
      <c r="W398">
        <v>0.47299999999999998</v>
      </c>
      <c r="X398">
        <v>0.76200000000000001</v>
      </c>
      <c r="Y398">
        <v>0.42099999999999999</v>
      </c>
      <c r="Z398">
        <v>0.42</v>
      </c>
      <c r="AA398">
        <v>0.80600000000000005</v>
      </c>
      <c r="AB398">
        <v>0.95599999999999996</v>
      </c>
      <c r="AC398">
        <v>0.38500000000000001</v>
      </c>
      <c r="AD398">
        <v>0.36799999999999999</v>
      </c>
      <c r="AE398">
        <v>0.38300000000000001</v>
      </c>
      <c r="AF398">
        <v>0.80900000000000005</v>
      </c>
      <c r="AG398">
        <v>0.42299999999999999</v>
      </c>
      <c r="AH398">
        <v>0.45500000000000002</v>
      </c>
      <c r="AI398">
        <v>0.439</v>
      </c>
      <c r="AJ398">
        <v>0.84899999999999998</v>
      </c>
      <c r="AK398">
        <v>0.441</v>
      </c>
      <c r="AL398" t="s">
        <v>169</v>
      </c>
      <c r="AM398" t="s">
        <v>169</v>
      </c>
      <c r="AN398" t="s">
        <v>169</v>
      </c>
      <c r="AO398" t="s">
        <v>169</v>
      </c>
      <c r="AP398" t="s">
        <v>169</v>
      </c>
      <c r="AQ398" t="s">
        <v>169</v>
      </c>
      <c r="AR398" t="s">
        <v>169</v>
      </c>
      <c r="AS398" t="s">
        <v>169</v>
      </c>
      <c r="AT398" t="s">
        <v>169</v>
      </c>
      <c r="AU398" t="s">
        <v>169</v>
      </c>
      <c r="AV398" t="s">
        <v>169</v>
      </c>
      <c r="AW398" t="s">
        <v>169</v>
      </c>
      <c r="AX398" t="s">
        <v>169</v>
      </c>
      <c r="AY398" t="s">
        <v>169</v>
      </c>
      <c r="AZ398" t="s">
        <v>169</v>
      </c>
      <c r="BA398" t="s">
        <v>169</v>
      </c>
      <c r="BB398" t="s">
        <v>169</v>
      </c>
      <c r="BC398" t="s">
        <v>169</v>
      </c>
      <c r="BD398" t="s">
        <v>169</v>
      </c>
      <c r="BE398" t="s">
        <v>169</v>
      </c>
      <c r="BZ398">
        <v>1.2128289802606687</v>
      </c>
      <c r="CA398">
        <v>5203.7289751267863</v>
      </c>
      <c r="CB398">
        <v>0.54776289855045701</v>
      </c>
      <c r="CC398">
        <v>1.2448781368701101</v>
      </c>
      <c r="CD398">
        <v>0.46288563546584799</v>
      </c>
      <c r="CE398">
        <v>0.51849418295900296</v>
      </c>
      <c r="CF398">
        <v>0.57461260408737302</v>
      </c>
      <c r="CG398">
        <v>0.70537259208184</v>
      </c>
      <c r="CH398">
        <v>2.4254459555178398</v>
      </c>
      <c r="CI398">
        <v>0.52169761877226095</v>
      </c>
      <c r="CJ398">
        <v>0.51849418295900296</v>
      </c>
      <c r="CK398">
        <v>2.8050201443306699</v>
      </c>
      <c r="CL398">
        <v>4.36429568964504</v>
      </c>
      <c r="CM398">
        <v>0.41387721272915101</v>
      </c>
      <c r="CN398">
        <v>0.36819176989299701</v>
      </c>
      <c r="CO398">
        <v>0.40833165675504501</v>
      </c>
      <c r="CP398">
        <v>2.8321411696171599</v>
      </c>
      <c r="CQ398">
        <v>0.52814087147043098</v>
      </c>
      <c r="CR398">
        <v>0.63793692926158996</v>
      </c>
      <c r="CS398">
        <v>0.58144860600090498</v>
      </c>
      <c r="CT398">
        <v>3.2092174423231201</v>
      </c>
      <c r="CU398">
        <v>0.58833430592352998</v>
      </c>
    </row>
    <row r="399" spans="1:99" x14ac:dyDescent="0.25">
      <c r="A399" t="s">
        <v>144</v>
      </c>
      <c r="B399" t="s">
        <v>166</v>
      </c>
      <c r="C399" t="s">
        <v>154</v>
      </c>
      <c r="D399">
        <v>-1</v>
      </c>
      <c r="E399">
        <v>6</v>
      </c>
      <c r="F399">
        <v>7</v>
      </c>
      <c r="G399">
        <v>-1</v>
      </c>
      <c r="H399">
        <v>-1</v>
      </c>
      <c r="I399">
        <v>10</v>
      </c>
      <c r="J399">
        <v>12</v>
      </c>
      <c r="K399">
        <v>-1</v>
      </c>
      <c r="L399">
        <v>-1</v>
      </c>
      <c r="M399">
        <v>2986.6666666666702</v>
      </c>
      <c r="N399">
        <v>1251.4165715975701</v>
      </c>
      <c r="O399">
        <v>-1</v>
      </c>
      <c r="P399">
        <v>-1</v>
      </c>
      <c r="Q399">
        <v>-1</v>
      </c>
      <c r="R399">
        <v>0.73199999999999998</v>
      </c>
      <c r="S399">
        <v>0.73499999999999999</v>
      </c>
      <c r="T399">
        <v>0.82099999999999995</v>
      </c>
      <c r="U399">
        <v>0.84899999999999998</v>
      </c>
      <c r="V399">
        <v>0.73299999999999998</v>
      </c>
      <c r="W399">
        <v>0.95699999999999996</v>
      </c>
      <c r="X399">
        <v>0.90600000000000003</v>
      </c>
      <c r="Y399">
        <v>0.66300000000000003</v>
      </c>
      <c r="Z399">
        <v>0.73899999999999999</v>
      </c>
      <c r="AA399">
        <v>0.96899999999999997</v>
      </c>
      <c r="AB399">
        <v>0.82099999999999995</v>
      </c>
      <c r="AC399">
        <v>0.76700000000000002</v>
      </c>
      <c r="AD399">
        <v>0.874</v>
      </c>
      <c r="AE399">
        <v>0.85899999999999999</v>
      </c>
      <c r="AF399">
        <v>0.88</v>
      </c>
      <c r="AG399">
        <v>0.86499999999999999</v>
      </c>
      <c r="AH399">
        <v>0.85599999999999998</v>
      </c>
      <c r="AI399">
        <v>0.74199999999999999</v>
      </c>
      <c r="AJ399">
        <v>0.77800000000000002</v>
      </c>
      <c r="AK399">
        <v>0.79500000000000004</v>
      </c>
      <c r="AL399" t="s">
        <v>156</v>
      </c>
      <c r="AM399" t="s">
        <v>156</v>
      </c>
      <c r="AN399" t="s">
        <v>156</v>
      </c>
      <c r="AO399" t="s">
        <v>155</v>
      </c>
      <c r="AP399" t="s">
        <v>156</v>
      </c>
      <c r="AQ399" t="s">
        <v>155</v>
      </c>
      <c r="AR399" t="s">
        <v>155</v>
      </c>
      <c r="AS399" t="s">
        <v>156</v>
      </c>
      <c r="AT399" t="s">
        <v>156</v>
      </c>
      <c r="AU399" t="s">
        <v>155</v>
      </c>
      <c r="AV399" t="s">
        <v>155</v>
      </c>
      <c r="AW399" t="s">
        <v>156</v>
      </c>
      <c r="AX399" t="s">
        <v>155</v>
      </c>
      <c r="AY399" t="s">
        <v>155</v>
      </c>
      <c r="AZ399" t="s">
        <v>155</v>
      </c>
      <c r="BA399" t="s">
        <v>155</v>
      </c>
      <c r="BB399" t="s">
        <v>155</v>
      </c>
      <c r="BC399" t="s">
        <v>156</v>
      </c>
      <c r="BD399" t="s">
        <v>156</v>
      </c>
      <c r="BE399" t="s">
        <v>156</v>
      </c>
      <c r="BZ399">
        <v>2.4900722776527884</v>
      </c>
      <c r="CA399">
        <v>3116.1177127304049</v>
      </c>
      <c r="CB399">
        <v>1.52418552110988</v>
      </c>
      <c r="CC399">
        <v>1.54913610558212</v>
      </c>
      <c r="CD399">
        <v>2.4036496913128098</v>
      </c>
      <c r="CE399">
        <v>2.7459483887317799</v>
      </c>
      <c r="CF399">
        <v>1.53246872215157</v>
      </c>
      <c r="CG399">
        <v>4.41722206537513</v>
      </c>
      <c r="CH399">
        <v>3.5540847912740001</v>
      </c>
      <c r="CI399">
        <v>1.0288156162506501</v>
      </c>
      <c r="CJ399">
        <v>1.5828773344521101</v>
      </c>
      <c r="CK399">
        <v>4.6412422265537403</v>
      </c>
      <c r="CL399">
        <v>2.4036496913128098</v>
      </c>
      <c r="CM399">
        <v>1.8347058040209601</v>
      </c>
      <c r="CN399">
        <v>3.0812662535889501</v>
      </c>
      <c r="CO399">
        <v>2.8766147326331</v>
      </c>
      <c r="CP399">
        <v>3.1661030665237901</v>
      </c>
      <c r="CQ399">
        <v>2.95721422493411</v>
      </c>
      <c r="CR399">
        <v>2.8369369622679099</v>
      </c>
      <c r="CS399">
        <v>1.6085417734779901</v>
      </c>
      <c r="CT399">
        <v>1.94141258251266</v>
      </c>
      <c r="CU399">
        <v>2.1153699989897001</v>
      </c>
    </row>
    <row r="400" spans="1:99" x14ac:dyDescent="0.25">
      <c r="A400" t="s">
        <v>144</v>
      </c>
      <c r="B400" t="s">
        <v>198</v>
      </c>
      <c r="C400" t="s">
        <v>199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118272</v>
      </c>
      <c r="N400">
        <v>49556.096235263598</v>
      </c>
      <c r="O400">
        <v>62</v>
      </c>
      <c r="P400">
        <v>70</v>
      </c>
      <c r="Q400">
        <v>132</v>
      </c>
      <c r="R400">
        <v>0.108</v>
      </c>
      <c r="S400">
        <v>9.1999999999999998E-2</v>
      </c>
      <c r="T400">
        <v>9.9000000000000005E-2</v>
      </c>
      <c r="U400">
        <v>9.9000000000000005E-2</v>
      </c>
      <c r="V400">
        <v>9.6000000000000002E-2</v>
      </c>
      <c r="W400">
        <v>0.11799999999999999</v>
      </c>
      <c r="X400">
        <v>0.1</v>
      </c>
      <c r="Y400">
        <v>0.10299999999999999</v>
      </c>
      <c r="Z400">
        <v>9.9000000000000005E-2</v>
      </c>
      <c r="AA400">
        <v>0.104</v>
      </c>
      <c r="AB400">
        <v>0.124</v>
      </c>
      <c r="AC400">
        <v>0.112</v>
      </c>
      <c r="AD400">
        <v>0.10100000000000001</v>
      </c>
      <c r="AE400">
        <v>0.106</v>
      </c>
      <c r="AF400">
        <v>0.106</v>
      </c>
      <c r="AG400">
        <v>9.9000000000000005E-2</v>
      </c>
      <c r="AH400">
        <v>0.111</v>
      </c>
      <c r="AI400">
        <v>0.1</v>
      </c>
      <c r="AJ400">
        <v>0.115</v>
      </c>
      <c r="AK400">
        <v>0.157</v>
      </c>
      <c r="BZ400">
        <v>0.16974615716480451</v>
      </c>
      <c r="CA400">
        <v>8411.9569000252322</v>
      </c>
      <c r="CB400">
        <v>0.16548421702607694</v>
      </c>
      <c r="CC400">
        <v>0.12507028069583967</v>
      </c>
      <c r="CD400">
        <v>0.1413693296235311</v>
      </c>
      <c r="CE400">
        <v>0.1413693296235311</v>
      </c>
      <c r="CF400">
        <v>0.13413889927804937</v>
      </c>
      <c r="CG400">
        <v>0.19713244744137251</v>
      </c>
      <c r="CH400">
        <v>0.14386506690014328</v>
      </c>
      <c r="CI400">
        <v>0.15161976259966117</v>
      </c>
      <c r="CJ400">
        <v>0.1413693296235311</v>
      </c>
      <c r="CK400">
        <v>0.15429646124708882</v>
      </c>
      <c r="CL400">
        <v>0.21895710101852087</v>
      </c>
      <c r="CM400">
        <v>0.17748317662891583</v>
      </c>
      <c r="CN400">
        <v>0.14640486397791924</v>
      </c>
      <c r="CO400">
        <v>0.15979245626552249</v>
      </c>
      <c r="CP400">
        <v>0.15979245626552249</v>
      </c>
      <c r="CQ400">
        <v>0.1413693296235311</v>
      </c>
      <c r="CR400">
        <v>0.17440424030734322</v>
      </c>
      <c r="CS400">
        <v>0.14386506690014328</v>
      </c>
      <c r="CT400">
        <v>0.18704997457505201</v>
      </c>
      <c r="CU400">
        <v>0.39008935367479419</v>
      </c>
    </row>
    <row r="401" spans="1:99" x14ac:dyDescent="0.25">
      <c r="A401" t="s">
        <v>144</v>
      </c>
      <c r="B401" t="s">
        <v>175</v>
      </c>
      <c r="C401" t="s">
        <v>168</v>
      </c>
      <c r="D401">
        <v>-1</v>
      </c>
      <c r="E401">
        <v>4</v>
      </c>
      <c r="F401">
        <v>-1</v>
      </c>
      <c r="G401">
        <v>-1</v>
      </c>
      <c r="H401">
        <v>-1</v>
      </c>
      <c r="I401">
        <v>3</v>
      </c>
      <c r="J401">
        <v>-1</v>
      </c>
      <c r="K401">
        <v>-1</v>
      </c>
      <c r="L401">
        <v>-1</v>
      </c>
      <c r="M401">
        <v>597.33333333333303</v>
      </c>
      <c r="N401">
        <v>250.28331431951301</v>
      </c>
      <c r="O401">
        <v>-1</v>
      </c>
      <c r="P401">
        <v>-1</v>
      </c>
      <c r="Q401">
        <v>-1</v>
      </c>
      <c r="R401">
        <v>0.84199999999999997</v>
      </c>
      <c r="S401">
        <v>0.52800000000000002</v>
      </c>
      <c r="T401">
        <v>1.226</v>
      </c>
      <c r="U401">
        <v>0.66700000000000004</v>
      </c>
      <c r="V401">
        <v>1.1379999999999999</v>
      </c>
      <c r="W401">
        <v>0.73699999999999999</v>
      </c>
      <c r="X401">
        <v>0.47199999999999998</v>
      </c>
      <c r="AL401" t="s">
        <v>169</v>
      </c>
      <c r="AM401" t="s">
        <v>169</v>
      </c>
      <c r="AN401" t="s">
        <v>169</v>
      </c>
      <c r="AO401" t="s">
        <v>169</v>
      </c>
      <c r="AP401" t="s">
        <v>169</v>
      </c>
      <c r="AQ401" t="s">
        <v>169</v>
      </c>
      <c r="AR401" t="s">
        <v>169</v>
      </c>
      <c r="BZ401">
        <v>3.4127601610130225</v>
      </c>
      <c r="CA401">
        <v>854.15692407593417</v>
      </c>
      <c r="CB401">
        <v>3.1411345751561801</v>
      </c>
      <c r="CC401">
        <v>0.93788607013383296</v>
      </c>
      <c r="CD401">
        <v>8.3122489927180805</v>
      </c>
      <c r="CE401">
        <v>1.7179643051337801</v>
      </c>
      <c r="CF401">
        <v>6.85388297594905</v>
      </c>
      <c r="CG401">
        <v>2.2246875264528501</v>
      </c>
      <c r="CH401">
        <v>0.701516681547385</v>
      </c>
    </row>
    <row r="402" spans="1:99" x14ac:dyDescent="0.25">
      <c r="A402" t="s">
        <v>144</v>
      </c>
      <c r="B402" t="s">
        <v>160</v>
      </c>
      <c r="C402" t="s">
        <v>154</v>
      </c>
      <c r="D402">
        <v>-1</v>
      </c>
      <c r="E402">
        <v>0</v>
      </c>
      <c r="F402">
        <v>0</v>
      </c>
      <c r="G402">
        <v>-1</v>
      </c>
      <c r="H402">
        <v>-1</v>
      </c>
      <c r="I402">
        <v>0</v>
      </c>
      <c r="J402">
        <v>3</v>
      </c>
      <c r="K402">
        <v>0</v>
      </c>
      <c r="L402">
        <v>1</v>
      </c>
      <c r="M402">
        <v>146.28571428571399</v>
      </c>
      <c r="N402">
        <v>61.293872894574598</v>
      </c>
      <c r="O402">
        <v>-1</v>
      </c>
      <c r="P402">
        <v>-1</v>
      </c>
      <c r="Q402">
        <v>-1</v>
      </c>
      <c r="R402">
        <v>1.383</v>
      </c>
      <c r="S402">
        <v>1.589</v>
      </c>
      <c r="T402">
        <v>1.369</v>
      </c>
      <c r="U402">
        <v>1.393</v>
      </c>
      <c r="AL402" t="s">
        <v>156</v>
      </c>
      <c r="AM402" t="s">
        <v>156</v>
      </c>
      <c r="AN402" t="s">
        <v>156</v>
      </c>
      <c r="AO402" t="s">
        <v>156</v>
      </c>
      <c r="BZ402">
        <v>12.565251771970674</v>
      </c>
      <c r="CA402">
        <v>770.17294499949878</v>
      </c>
      <c r="CB402">
        <v>11.356844325426501</v>
      </c>
      <c r="CC402">
        <v>16.271931974397798</v>
      </c>
      <c r="CD402">
        <v>11.061477923098099</v>
      </c>
      <c r="CE402">
        <v>11.5707528649603</v>
      </c>
    </row>
    <row r="403" spans="1:99" x14ac:dyDescent="0.25">
      <c r="A403" t="s">
        <v>144</v>
      </c>
      <c r="B403" t="s">
        <v>200</v>
      </c>
      <c r="C403" t="s">
        <v>192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2688</v>
      </c>
      <c r="N403">
        <v>1126.2749144378099</v>
      </c>
      <c r="O403">
        <v>2</v>
      </c>
      <c r="P403">
        <v>1</v>
      </c>
      <c r="Q403">
        <v>3</v>
      </c>
      <c r="R403">
        <v>0.08</v>
      </c>
      <c r="S403">
        <v>0.10100000000000001</v>
      </c>
      <c r="T403">
        <v>0.122</v>
      </c>
      <c r="BZ403">
        <v>2.2387660000000004E-2</v>
      </c>
      <c r="CA403">
        <v>25.214659850962782</v>
      </c>
      <c r="CB403">
        <v>1.0240000000000001E-2</v>
      </c>
      <c r="CC403">
        <v>2.0606019999999999E-2</v>
      </c>
      <c r="CD403">
        <v>3.6316960000000002E-2</v>
      </c>
    </row>
    <row r="404" spans="1:99" x14ac:dyDescent="0.25">
      <c r="A404" t="s">
        <v>144</v>
      </c>
      <c r="B404" t="s">
        <v>163</v>
      </c>
      <c r="C404" t="s">
        <v>158</v>
      </c>
      <c r="D404">
        <v>-1</v>
      </c>
      <c r="E404">
        <v>0</v>
      </c>
      <c r="F404">
        <v>-1</v>
      </c>
      <c r="G404">
        <v>-1</v>
      </c>
      <c r="H404">
        <v>-1</v>
      </c>
      <c r="I404">
        <v>1</v>
      </c>
      <c r="J404">
        <v>-1</v>
      </c>
      <c r="K404">
        <v>0</v>
      </c>
      <c r="L404">
        <v>-1</v>
      </c>
      <c r="M404">
        <v>36.571428571428598</v>
      </c>
      <c r="N404">
        <v>15.323468223643699</v>
      </c>
      <c r="O404">
        <v>-1</v>
      </c>
      <c r="P404">
        <v>-1</v>
      </c>
      <c r="Q404">
        <v>-1</v>
      </c>
      <c r="R404">
        <v>0.53</v>
      </c>
      <c r="AL404" t="s">
        <v>159</v>
      </c>
      <c r="BZ404">
        <v>1.0488961347517101</v>
      </c>
      <c r="CA404">
        <v>16.072726590770529</v>
      </c>
      <c r="CB404">
        <v>1.0488961347517101</v>
      </c>
    </row>
    <row r="405" spans="1:99" x14ac:dyDescent="0.25">
      <c r="A405" t="s">
        <v>144</v>
      </c>
      <c r="B405" t="s">
        <v>201</v>
      </c>
      <c r="C405" t="s">
        <v>192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10752</v>
      </c>
      <c r="N405">
        <v>4505.0996577512396</v>
      </c>
      <c r="O405">
        <v>5</v>
      </c>
      <c r="P405">
        <v>7</v>
      </c>
      <c r="Q405">
        <v>12</v>
      </c>
      <c r="R405">
        <v>0.123</v>
      </c>
      <c r="S405">
        <v>0.14499999999999999</v>
      </c>
      <c r="T405">
        <v>0.14299999999999999</v>
      </c>
      <c r="U405">
        <v>0.127</v>
      </c>
      <c r="V405">
        <v>0.14799999999999999</v>
      </c>
      <c r="W405">
        <v>0.14199999999999999</v>
      </c>
      <c r="X405">
        <v>0.14099999999999999</v>
      </c>
      <c r="Y405">
        <v>0.17</v>
      </c>
      <c r="Z405">
        <v>0.13600000000000001</v>
      </c>
      <c r="AA405">
        <v>0.13500000000000001</v>
      </c>
      <c r="AB405">
        <v>0.13500000000000001</v>
      </c>
      <c r="AC405">
        <v>0.14299999999999999</v>
      </c>
      <c r="BZ405">
        <v>8.6436882350000004E-3</v>
      </c>
      <c r="CA405">
        <v>38.940676909206921</v>
      </c>
      <c r="CB405">
        <v>5.6663400150000001E-3</v>
      </c>
      <c r="CC405">
        <v>9.2830631249999993E-3</v>
      </c>
      <c r="CD405">
        <v>8.9042103149999993E-3</v>
      </c>
      <c r="CE405">
        <v>6.237326235E-3</v>
      </c>
      <c r="CF405">
        <v>9.8712566399999993E-3</v>
      </c>
      <c r="CG405">
        <v>8.7187119600000001E-3</v>
      </c>
      <c r="CH405">
        <v>8.5358079449999995E-3</v>
      </c>
      <c r="CI405">
        <v>1.4960085E-2</v>
      </c>
      <c r="CJ405">
        <v>7.65956352E-3</v>
      </c>
      <c r="CK405">
        <v>7.4918418750000004E-3</v>
      </c>
      <c r="CL405">
        <v>7.4918418750000004E-3</v>
      </c>
      <c r="CM405">
        <v>8.9042103149999993E-3</v>
      </c>
    </row>
    <row r="406" spans="1:99" x14ac:dyDescent="0.25">
      <c r="A406" t="s">
        <v>144</v>
      </c>
      <c r="B406" t="s">
        <v>202</v>
      </c>
      <c r="C406" t="s">
        <v>192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50176</v>
      </c>
      <c r="N406">
        <v>21023.7984028391</v>
      </c>
      <c r="O406">
        <v>29</v>
      </c>
      <c r="P406">
        <v>27</v>
      </c>
      <c r="Q406">
        <v>56</v>
      </c>
      <c r="R406">
        <v>9.1999999999999998E-2</v>
      </c>
      <c r="S406">
        <v>8.7999999999999995E-2</v>
      </c>
      <c r="T406">
        <v>8.7999999999999995E-2</v>
      </c>
      <c r="U406">
        <v>9.1999999999999998E-2</v>
      </c>
      <c r="V406">
        <v>8.5000000000000006E-2</v>
      </c>
      <c r="W406">
        <v>8.5000000000000006E-2</v>
      </c>
      <c r="X406">
        <v>9.6000000000000002E-2</v>
      </c>
      <c r="Y406">
        <v>9.1999999999999998E-2</v>
      </c>
      <c r="Z406">
        <v>0.10199999999999999</v>
      </c>
      <c r="AA406">
        <v>8.1000000000000003E-2</v>
      </c>
      <c r="AB406">
        <v>0.1</v>
      </c>
      <c r="AC406">
        <v>9.9000000000000005E-2</v>
      </c>
      <c r="AD406">
        <v>0.10100000000000001</v>
      </c>
      <c r="AE406">
        <v>9.4E-2</v>
      </c>
      <c r="AF406">
        <v>0.106</v>
      </c>
      <c r="AG406">
        <v>7.4999999999999997E-2</v>
      </c>
      <c r="AH406">
        <v>0.10100000000000001</v>
      </c>
      <c r="AI406">
        <v>8.8999999999999996E-2</v>
      </c>
      <c r="AJ406">
        <v>0.1</v>
      </c>
      <c r="AK406">
        <v>9.8000000000000004E-2</v>
      </c>
      <c r="BZ406">
        <v>1.6525180000000004E-3</v>
      </c>
      <c r="CA406">
        <v>34.742205289062873</v>
      </c>
      <c r="CB406">
        <v>1.5573760000000001E-3</v>
      </c>
      <c r="CC406">
        <v>1.362944E-3</v>
      </c>
      <c r="CD406">
        <v>1.362944E-3</v>
      </c>
      <c r="CE406">
        <v>1.5573760000000001E-3</v>
      </c>
      <c r="CF406">
        <v>1.22825E-3</v>
      </c>
      <c r="CG406">
        <v>1.22825E-3</v>
      </c>
      <c r="CH406">
        <v>1.769472E-3</v>
      </c>
      <c r="CI406">
        <v>1.5573760000000001E-3</v>
      </c>
      <c r="CJ406">
        <v>2.1224159999999998E-3</v>
      </c>
      <c r="CK406">
        <v>1.062882E-3</v>
      </c>
      <c r="CL406">
        <v>2E-3</v>
      </c>
      <c r="CM406">
        <v>1.940598E-3</v>
      </c>
      <c r="CN406">
        <v>2.0606019999999999E-3</v>
      </c>
      <c r="CO406">
        <v>1.661168E-3</v>
      </c>
      <c r="CP406">
        <v>2.3820320000000001E-3</v>
      </c>
      <c r="CQ406">
        <v>8.4374999999999999E-4</v>
      </c>
      <c r="CR406">
        <v>2.0606019999999999E-3</v>
      </c>
      <c r="CS406">
        <v>1.4099379999999999E-3</v>
      </c>
      <c r="CT406">
        <v>2E-3</v>
      </c>
      <c r="CU406">
        <v>1.882384E-3</v>
      </c>
    </row>
    <row r="407" spans="1:99" x14ac:dyDescent="0.25">
      <c r="A407" t="s">
        <v>144</v>
      </c>
      <c r="B407" t="s">
        <v>203</v>
      </c>
      <c r="C407" t="s">
        <v>192</v>
      </c>
      <c r="D407">
        <v>-1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6272</v>
      </c>
      <c r="N407">
        <v>2627.9748003548898</v>
      </c>
      <c r="O407">
        <v>5</v>
      </c>
      <c r="P407">
        <v>2</v>
      </c>
      <c r="Q407">
        <v>7</v>
      </c>
      <c r="R407">
        <v>8.2000000000000003E-2</v>
      </c>
      <c r="S407">
        <v>0.106</v>
      </c>
      <c r="T407">
        <v>9.5000000000000001E-2</v>
      </c>
      <c r="U407">
        <v>0.09</v>
      </c>
      <c r="V407">
        <v>0.09</v>
      </c>
      <c r="W407">
        <v>0.108</v>
      </c>
      <c r="X407">
        <v>0.105</v>
      </c>
      <c r="BZ407">
        <v>1.8500274285714287E-3</v>
      </c>
      <c r="CA407">
        <v>4.8618254622510708</v>
      </c>
      <c r="CB407">
        <v>1.102736E-3</v>
      </c>
      <c r="CC407">
        <v>2.3820320000000001E-3</v>
      </c>
      <c r="CD407">
        <v>1.7147499999999999E-3</v>
      </c>
      <c r="CE407">
        <v>1.4580000000000001E-3</v>
      </c>
      <c r="CF407">
        <v>1.4580000000000001E-3</v>
      </c>
      <c r="CG407">
        <v>2.5194240000000001E-3</v>
      </c>
      <c r="CH407">
        <v>2.31525E-3</v>
      </c>
    </row>
    <row r="408" spans="1:99" x14ac:dyDescent="0.25">
      <c r="A408" t="s">
        <v>144</v>
      </c>
      <c r="B408" t="s">
        <v>204</v>
      </c>
      <c r="C408" t="s">
        <v>192</v>
      </c>
      <c r="D408">
        <v>-1</v>
      </c>
      <c r="E408">
        <v>-1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23296</v>
      </c>
      <c r="N408">
        <v>9761.0492584610092</v>
      </c>
      <c r="O408">
        <v>15</v>
      </c>
      <c r="P408">
        <v>11</v>
      </c>
      <c r="Q408">
        <v>26</v>
      </c>
      <c r="R408">
        <v>0.122</v>
      </c>
      <c r="S408">
        <v>0.11700000000000001</v>
      </c>
      <c r="T408">
        <v>0.11799999999999999</v>
      </c>
      <c r="U408">
        <v>0.126</v>
      </c>
      <c r="V408">
        <v>0.13500000000000001</v>
      </c>
      <c r="W408">
        <v>0.125</v>
      </c>
      <c r="X408">
        <v>0.155</v>
      </c>
      <c r="Y408">
        <v>0.126</v>
      </c>
      <c r="Z408">
        <v>0.122</v>
      </c>
      <c r="AA408">
        <v>0.123</v>
      </c>
      <c r="AB408">
        <v>0.114</v>
      </c>
      <c r="AC408">
        <v>0.11899999999999999</v>
      </c>
      <c r="AD408">
        <v>0.13100000000000001</v>
      </c>
      <c r="AE408">
        <v>0.11600000000000001</v>
      </c>
      <c r="AF408">
        <v>0.12</v>
      </c>
      <c r="AG408">
        <v>0.125</v>
      </c>
      <c r="AH408">
        <v>0.121</v>
      </c>
      <c r="AI408">
        <v>0.11700000000000001</v>
      </c>
      <c r="AJ408">
        <v>0.13200000000000001</v>
      </c>
      <c r="AK408">
        <v>0.11600000000000001</v>
      </c>
      <c r="BZ408">
        <v>3.8766187999999995E-3</v>
      </c>
      <c r="CA408">
        <v>37.839867063075999</v>
      </c>
      <c r="CB408">
        <v>3.6316959999999998E-3</v>
      </c>
      <c r="CC408">
        <v>3.203226E-3</v>
      </c>
      <c r="CD408">
        <v>3.286064E-3</v>
      </c>
      <c r="CE408">
        <v>4.0007519999999998E-3</v>
      </c>
      <c r="CF408">
        <v>4.9207499999999998E-3</v>
      </c>
      <c r="CG408">
        <v>3.90625E-3</v>
      </c>
      <c r="CH408">
        <v>7.4477500000000004E-3</v>
      </c>
      <c r="CI408">
        <v>4.0007519999999998E-3</v>
      </c>
      <c r="CJ408">
        <v>3.6316959999999998E-3</v>
      </c>
      <c r="CK408">
        <v>3.721734E-3</v>
      </c>
      <c r="CL408">
        <v>2.963088E-3</v>
      </c>
      <c r="CM408">
        <v>3.3703180000000002E-3</v>
      </c>
      <c r="CN408">
        <v>4.4961819999999996E-3</v>
      </c>
      <c r="CO408">
        <v>3.121792E-3</v>
      </c>
      <c r="CP408">
        <v>3.4559999999999999E-3</v>
      </c>
      <c r="CQ408">
        <v>3.90625E-3</v>
      </c>
      <c r="CR408">
        <v>3.5431220000000001E-3</v>
      </c>
      <c r="CS408">
        <v>3.203226E-3</v>
      </c>
      <c r="CT408">
        <v>4.5999359999999998E-3</v>
      </c>
      <c r="CU408">
        <v>3.121792E-3</v>
      </c>
    </row>
    <row r="409" spans="1:99" x14ac:dyDescent="0.25">
      <c r="A409" t="s">
        <v>144</v>
      </c>
      <c r="B409" t="s">
        <v>161</v>
      </c>
      <c r="C409" t="s">
        <v>154</v>
      </c>
      <c r="D409">
        <v>-1</v>
      </c>
      <c r="E409">
        <v>10</v>
      </c>
      <c r="F409">
        <v>7</v>
      </c>
      <c r="G409">
        <v>-1</v>
      </c>
      <c r="H409">
        <v>-1</v>
      </c>
      <c r="I409">
        <v>19</v>
      </c>
      <c r="J409">
        <v>13</v>
      </c>
      <c r="K409">
        <v>-1</v>
      </c>
      <c r="L409">
        <v>-1</v>
      </c>
      <c r="M409">
        <v>4181.3333333333303</v>
      </c>
      <c r="N409">
        <v>1751.9832002365899</v>
      </c>
      <c r="O409">
        <v>-1</v>
      </c>
      <c r="P409">
        <v>-1</v>
      </c>
      <c r="Q409">
        <v>-1</v>
      </c>
      <c r="R409">
        <v>0.83899999999999997</v>
      </c>
      <c r="S409">
        <v>0.872</v>
      </c>
      <c r="T409">
        <v>0.97099999999999997</v>
      </c>
      <c r="U409">
        <v>0.85</v>
      </c>
      <c r="V409">
        <v>0.89100000000000001</v>
      </c>
      <c r="W409">
        <v>0.77300000000000002</v>
      </c>
      <c r="X409">
        <v>0.879</v>
      </c>
      <c r="Y409">
        <v>0.85899999999999999</v>
      </c>
      <c r="Z409">
        <v>0.89900000000000002</v>
      </c>
      <c r="AA409">
        <v>0.88700000000000001</v>
      </c>
      <c r="AB409">
        <v>0.91800000000000004</v>
      </c>
      <c r="AC409">
        <v>0.82599999999999996</v>
      </c>
      <c r="AD409">
        <v>0.84699999999999998</v>
      </c>
      <c r="AE409">
        <v>0.86</v>
      </c>
      <c r="AF409">
        <v>0.71899999999999997</v>
      </c>
      <c r="AG409">
        <v>0.98299999999999998</v>
      </c>
      <c r="AH409">
        <v>0.80100000000000005</v>
      </c>
      <c r="AI409">
        <v>0.85699999999999998</v>
      </c>
      <c r="AJ409">
        <v>0.89500000000000002</v>
      </c>
      <c r="AK409">
        <v>0.875</v>
      </c>
      <c r="AL409" t="s">
        <v>156</v>
      </c>
      <c r="AM409" t="s">
        <v>155</v>
      </c>
      <c r="AN409" t="s">
        <v>155</v>
      </c>
      <c r="AO409" t="s">
        <v>156</v>
      </c>
      <c r="AP409" t="s">
        <v>156</v>
      </c>
      <c r="AQ409" t="s">
        <v>156</v>
      </c>
      <c r="AR409" t="s">
        <v>155</v>
      </c>
      <c r="AS409" t="s">
        <v>155</v>
      </c>
      <c r="AT409" t="s">
        <v>155</v>
      </c>
      <c r="AU409" t="s">
        <v>155</v>
      </c>
      <c r="AV409" t="s">
        <v>155</v>
      </c>
      <c r="AW409" t="s">
        <v>156</v>
      </c>
      <c r="AX409" t="s">
        <v>156</v>
      </c>
      <c r="AY409" t="s">
        <v>156</v>
      </c>
      <c r="AZ409" t="s">
        <v>155</v>
      </c>
      <c r="BA409" t="s">
        <v>155</v>
      </c>
      <c r="BB409" t="s">
        <v>155</v>
      </c>
      <c r="BC409" t="s">
        <v>155</v>
      </c>
      <c r="BD409" t="s">
        <v>155</v>
      </c>
      <c r="BE409" t="s">
        <v>155</v>
      </c>
      <c r="BZ409">
        <v>3.4002302532357236</v>
      </c>
      <c r="CA409">
        <v>5957.1462806051941</v>
      </c>
      <c r="CB409">
        <v>3.1122301436175701</v>
      </c>
      <c r="CC409">
        <v>3.4392672341302801</v>
      </c>
      <c r="CD409">
        <v>4.5438714015847497</v>
      </c>
      <c r="CE409">
        <v>3.21901680413835</v>
      </c>
      <c r="CF409">
        <v>3.6367335216111498</v>
      </c>
      <c r="CG409">
        <v>2.5171732941777201</v>
      </c>
      <c r="CH409">
        <v>3.5112310849632</v>
      </c>
      <c r="CI409">
        <v>3.3080382347930102</v>
      </c>
      <c r="CJ409">
        <v>3.7219096625647698</v>
      </c>
      <c r="CK409">
        <v>3.59459860631015</v>
      </c>
      <c r="CL409">
        <v>3.9290790859357299</v>
      </c>
      <c r="CM409">
        <v>2.9888667161500502</v>
      </c>
      <c r="CN409">
        <v>3.1896737109131599</v>
      </c>
      <c r="CO409">
        <v>3.31802164610263</v>
      </c>
      <c r="CP409">
        <v>2.0866809551444701</v>
      </c>
      <c r="CQ409">
        <v>4.6907451414741397</v>
      </c>
      <c r="CR409">
        <v>2.7601738871727899</v>
      </c>
      <c r="CS409">
        <v>3.2881267857863699</v>
      </c>
      <c r="CT409">
        <v>3.6791702741140599</v>
      </c>
      <c r="CU409">
        <v>3.4699968740301101</v>
      </c>
    </row>
    <row r="410" spans="1:99" x14ac:dyDescent="0.25">
      <c r="A410" t="s">
        <v>144</v>
      </c>
      <c r="B410" t="s">
        <v>165</v>
      </c>
      <c r="C410" t="s">
        <v>158</v>
      </c>
      <c r="D410">
        <v>-1</v>
      </c>
      <c r="E410">
        <v>12</v>
      </c>
      <c r="F410">
        <v>-1</v>
      </c>
      <c r="G410">
        <v>-1</v>
      </c>
      <c r="H410">
        <v>-1</v>
      </c>
      <c r="I410">
        <v>28</v>
      </c>
      <c r="J410">
        <v>-1</v>
      </c>
      <c r="K410">
        <v>-1</v>
      </c>
      <c r="L410">
        <v>-1</v>
      </c>
      <c r="M410">
        <v>3413.3333333333298</v>
      </c>
      <c r="N410">
        <v>1430.1903675400799</v>
      </c>
      <c r="O410">
        <v>-1</v>
      </c>
      <c r="P410">
        <v>-1</v>
      </c>
      <c r="Q410">
        <v>-1</v>
      </c>
      <c r="R410">
        <v>0.68899999999999995</v>
      </c>
      <c r="S410">
        <v>2.5579999999999998</v>
      </c>
      <c r="T410">
        <v>1.4650000000000001</v>
      </c>
      <c r="U410">
        <v>3.363</v>
      </c>
      <c r="V410">
        <v>4.2699999999999996</v>
      </c>
      <c r="W410">
        <v>0.65900000000000003</v>
      </c>
      <c r="X410">
        <v>2.395</v>
      </c>
      <c r="Y410">
        <v>2.4049999999999998</v>
      </c>
      <c r="Z410">
        <v>1.978</v>
      </c>
      <c r="AA410">
        <v>1.7470000000000001</v>
      </c>
      <c r="AB410">
        <v>2.3239999999999998</v>
      </c>
      <c r="AC410">
        <v>3.2440000000000002</v>
      </c>
      <c r="AD410">
        <v>0.53200000000000003</v>
      </c>
      <c r="AE410">
        <v>0.97899999999999998</v>
      </c>
      <c r="AF410">
        <v>1.359</v>
      </c>
      <c r="AG410">
        <v>2.0619999999999998</v>
      </c>
      <c r="AH410">
        <v>1.1659999999999999</v>
      </c>
      <c r="AI410">
        <v>2.0409999999999999</v>
      </c>
      <c r="AJ410">
        <v>2.581</v>
      </c>
      <c r="AK410">
        <v>2.0289999999999999</v>
      </c>
      <c r="AL410" t="s">
        <v>159</v>
      </c>
      <c r="AM410" t="s">
        <v>159</v>
      </c>
      <c r="AN410" t="s">
        <v>159</v>
      </c>
      <c r="AO410" t="s">
        <v>159</v>
      </c>
      <c r="AP410" t="s">
        <v>159</v>
      </c>
      <c r="AQ410" t="s">
        <v>159</v>
      </c>
      <c r="AR410" t="s">
        <v>159</v>
      </c>
      <c r="AS410" t="s">
        <v>159</v>
      </c>
      <c r="AT410" t="s">
        <v>159</v>
      </c>
      <c r="AU410" t="s">
        <v>159</v>
      </c>
      <c r="AV410" t="s">
        <v>159</v>
      </c>
      <c r="AW410" t="s">
        <v>159</v>
      </c>
      <c r="AX410" t="s">
        <v>159</v>
      </c>
      <c r="AY410" t="s">
        <v>159</v>
      </c>
      <c r="AZ410" t="s">
        <v>159</v>
      </c>
      <c r="BA410" t="s">
        <v>159</v>
      </c>
      <c r="BB410" t="s">
        <v>159</v>
      </c>
      <c r="BC410" t="s">
        <v>159</v>
      </c>
      <c r="BD410" t="s">
        <v>159</v>
      </c>
      <c r="BE410" t="s">
        <v>159</v>
      </c>
      <c r="BZ410">
        <v>4.2011242780910916</v>
      </c>
      <c r="CA410">
        <v>6008.407475364651</v>
      </c>
      <c r="CB410">
        <v>0.16257555990131201</v>
      </c>
      <c r="CC410">
        <v>5.3964030373415701</v>
      </c>
      <c r="CD410">
        <v>1.2184182454250101</v>
      </c>
      <c r="CE410">
        <v>11.2039373481506</v>
      </c>
      <c r="CF410">
        <v>21.1959244173546</v>
      </c>
      <c r="CG410">
        <v>0.144355718554771</v>
      </c>
      <c r="CH410">
        <v>4.5264285383119498</v>
      </c>
      <c r="CI410">
        <v>4.5770662792278998</v>
      </c>
      <c r="CJ410">
        <v>2.7160272496260198</v>
      </c>
      <c r="CK410">
        <v>1.9495392901025199</v>
      </c>
      <c r="CL410">
        <v>4.1769606720065804</v>
      </c>
      <c r="CM410">
        <v>10.1764380577173</v>
      </c>
      <c r="CN410">
        <v>8.1506828388247701E-2</v>
      </c>
      <c r="CO410">
        <v>0.41533614057127</v>
      </c>
      <c r="CP410">
        <v>0.99702462612591203</v>
      </c>
      <c r="CQ410">
        <v>3.0350137334867102</v>
      </c>
      <c r="CR410">
        <v>0.66236147638646403</v>
      </c>
      <c r="CS410">
        <v>2.95318571132221</v>
      </c>
      <c r="CT410">
        <v>5.5269292853352603</v>
      </c>
      <c r="CU410">
        <v>2.9070533464856601</v>
      </c>
    </row>
    <row r="411" spans="1:99" x14ac:dyDescent="0.25">
      <c r="A411" t="s">
        <v>144</v>
      </c>
      <c r="B411" t="s">
        <v>207</v>
      </c>
      <c r="C411" t="s">
        <v>192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3584</v>
      </c>
      <c r="N411">
        <v>1501.6998859170801</v>
      </c>
      <c r="O411">
        <v>1</v>
      </c>
      <c r="P411">
        <v>3</v>
      </c>
      <c r="Q411">
        <v>4</v>
      </c>
      <c r="R411">
        <v>0.11</v>
      </c>
      <c r="S411">
        <v>0.121</v>
      </c>
      <c r="T411">
        <v>0.18</v>
      </c>
      <c r="U411">
        <v>0.113</v>
      </c>
      <c r="BZ411">
        <v>2.5943644999999998E-2</v>
      </c>
      <c r="CA411">
        <v>38.959568736773221</v>
      </c>
      <c r="CB411">
        <v>1.3310000000000001E-2</v>
      </c>
      <c r="CC411">
        <v>1.771561E-2</v>
      </c>
      <c r="CD411">
        <v>5.8319999999999997E-2</v>
      </c>
      <c r="CE411">
        <v>1.4428969999999999E-2</v>
      </c>
    </row>
    <row r="412" spans="1:99" x14ac:dyDescent="0.25">
      <c r="A412" t="s">
        <v>144</v>
      </c>
      <c r="B412" t="s">
        <v>209</v>
      </c>
      <c r="C412" t="s">
        <v>192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51968</v>
      </c>
      <c r="N412">
        <v>21774.648345797599</v>
      </c>
      <c r="O412">
        <v>31</v>
      </c>
      <c r="P412">
        <v>27</v>
      </c>
      <c r="Q412">
        <v>58</v>
      </c>
      <c r="R412">
        <v>0.13</v>
      </c>
      <c r="S412">
        <v>0.115</v>
      </c>
      <c r="T412">
        <v>9.4E-2</v>
      </c>
      <c r="U412">
        <v>9.5000000000000001E-2</v>
      </c>
      <c r="V412">
        <v>0.10299999999999999</v>
      </c>
      <c r="W412">
        <v>0.11899999999999999</v>
      </c>
      <c r="X412">
        <v>0.128</v>
      </c>
      <c r="Y412">
        <v>0.112</v>
      </c>
      <c r="Z412">
        <v>9.1999999999999998E-2</v>
      </c>
      <c r="AA412">
        <v>0.106</v>
      </c>
      <c r="AB412">
        <v>9.8000000000000004E-2</v>
      </c>
      <c r="AC412">
        <v>8.6999999999999994E-2</v>
      </c>
      <c r="AD412">
        <v>9.2999999999999999E-2</v>
      </c>
      <c r="AE412">
        <v>7.2999999999999995E-2</v>
      </c>
      <c r="AF412">
        <v>0.11799999999999999</v>
      </c>
      <c r="AG412">
        <v>9.6000000000000002E-2</v>
      </c>
      <c r="AH412">
        <v>0.1</v>
      </c>
      <c r="AI412">
        <v>7.5999999999999998E-2</v>
      </c>
      <c r="AJ412">
        <v>0.104</v>
      </c>
      <c r="AK412">
        <v>9.5000000000000001E-2</v>
      </c>
      <c r="BZ412">
        <v>3.4492236240000002E-2</v>
      </c>
      <c r="CA412">
        <v>751.05631478617602</v>
      </c>
      <c r="CB412">
        <v>6.7667599999999994E-2</v>
      </c>
      <c r="CC412">
        <v>4.6842950000000001E-2</v>
      </c>
      <c r="CD412">
        <v>2.55819872E-2</v>
      </c>
      <c r="CE412">
        <v>2.6407150000000001E-2</v>
      </c>
      <c r="CF412">
        <v>3.3655991599999997E-2</v>
      </c>
      <c r="CG412">
        <v>5.1902897199999999E-2</v>
      </c>
      <c r="CH412">
        <v>6.4592281599999996E-2</v>
      </c>
      <c r="CI412">
        <v>4.32717824E-2</v>
      </c>
      <c r="CJ412">
        <v>2.3983590400000001E-2</v>
      </c>
      <c r="CK412">
        <v>3.6683292800000003E-2</v>
      </c>
      <c r="CL412">
        <v>2.89887136E-2</v>
      </c>
      <c r="CM412">
        <v>2.0281892400000001E-2</v>
      </c>
      <c r="CN412">
        <v>2.47741956E-2</v>
      </c>
      <c r="CO412">
        <v>1.1981723600000001E-2</v>
      </c>
      <c r="CP412">
        <v>5.0605385599999997E-2</v>
      </c>
      <c r="CQ412">
        <v>2.72498688E-2</v>
      </c>
      <c r="CR412">
        <v>3.0800000000000001E-2</v>
      </c>
      <c r="CS412">
        <v>1.35204608E-2</v>
      </c>
      <c r="CT412">
        <v>3.4645811200000001E-2</v>
      </c>
      <c r="CU412">
        <v>2.6407150000000001E-2</v>
      </c>
    </row>
    <row r="413" spans="1:99" x14ac:dyDescent="0.25">
      <c r="A413" t="s">
        <v>144</v>
      </c>
      <c r="B413" t="s">
        <v>178</v>
      </c>
      <c r="C413" t="s">
        <v>158</v>
      </c>
      <c r="D413">
        <v>-1</v>
      </c>
      <c r="E413">
        <v>0</v>
      </c>
      <c r="F413">
        <v>-1</v>
      </c>
      <c r="G413">
        <v>-1</v>
      </c>
      <c r="H413">
        <v>-1</v>
      </c>
      <c r="I413">
        <v>1</v>
      </c>
      <c r="J413">
        <v>-1</v>
      </c>
      <c r="K413">
        <v>0</v>
      </c>
      <c r="L413">
        <v>-1</v>
      </c>
      <c r="M413">
        <v>36.571428571428598</v>
      </c>
      <c r="N413">
        <v>15.323468223643699</v>
      </c>
      <c r="O413">
        <v>-1</v>
      </c>
      <c r="P413">
        <v>-1</v>
      </c>
      <c r="Q413">
        <v>-1</v>
      </c>
      <c r="R413">
        <v>0.51700000000000002</v>
      </c>
      <c r="AL413" t="s">
        <v>159</v>
      </c>
      <c r="BZ413">
        <v>3.8986031814601501</v>
      </c>
      <c r="CA413">
        <v>59.740121967700837</v>
      </c>
      <c r="CB413">
        <v>3.8986031814601501</v>
      </c>
    </row>
    <row r="414" spans="1:99" x14ac:dyDescent="0.25">
      <c r="A414" t="s">
        <v>144</v>
      </c>
      <c r="B414" t="s">
        <v>153</v>
      </c>
      <c r="C414" t="s">
        <v>154</v>
      </c>
      <c r="D414">
        <v>-1</v>
      </c>
      <c r="E414">
        <v>2</v>
      </c>
      <c r="F414">
        <v>0</v>
      </c>
      <c r="G414">
        <v>-1</v>
      </c>
      <c r="H414">
        <v>-1</v>
      </c>
      <c r="I414">
        <v>2</v>
      </c>
      <c r="J414">
        <v>0</v>
      </c>
      <c r="K414">
        <v>-1</v>
      </c>
      <c r="L414">
        <v>-1</v>
      </c>
      <c r="M414">
        <v>341.33333333333297</v>
      </c>
      <c r="N414">
        <v>143.019036754007</v>
      </c>
      <c r="O414">
        <v>-1</v>
      </c>
      <c r="P414">
        <v>-1</v>
      </c>
      <c r="Q414">
        <v>-1</v>
      </c>
      <c r="R414">
        <v>1.1819999999999999</v>
      </c>
      <c r="S414">
        <v>1.0740000000000001</v>
      </c>
      <c r="T414">
        <v>1.206</v>
      </c>
      <c r="U414">
        <v>1.1080000000000001</v>
      </c>
      <c r="AL414" t="s">
        <v>155</v>
      </c>
      <c r="AM414" t="s">
        <v>155</v>
      </c>
      <c r="AN414" t="s">
        <v>155</v>
      </c>
      <c r="AO414" t="s">
        <v>155</v>
      </c>
      <c r="BZ414">
        <v>6.9556105756225399</v>
      </c>
      <c r="CA414">
        <v>994.78472456151985</v>
      </c>
      <c r="CB414">
        <v>7.5614918862098204</v>
      </c>
      <c r="CC414">
        <v>5.8996916678785301</v>
      </c>
      <c r="CD414">
        <v>7.9655864148257303</v>
      </c>
      <c r="CE414">
        <v>6.3956723335760799</v>
      </c>
    </row>
    <row r="415" spans="1:99" x14ac:dyDescent="0.25">
      <c r="A415" t="s">
        <v>144</v>
      </c>
      <c r="B415" t="s">
        <v>210</v>
      </c>
      <c r="C415" t="s">
        <v>192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7168</v>
      </c>
      <c r="N415">
        <v>3003.3997718341602</v>
      </c>
      <c r="O415">
        <v>4</v>
      </c>
      <c r="P415">
        <v>4</v>
      </c>
      <c r="Q415">
        <v>8</v>
      </c>
      <c r="R415">
        <v>0.11799999999999999</v>
      </c>
      <c r="S415">
        <v>0.123</v>
      </c>
      <c r="T415">
        <v>0.10199999999999999</v>
      </c>
      <c r="U415">
        <v>0.16300000000000001</v>
      </c>
      <c r="V415">
        <v>0.154</v>
      </c>
      <c r="W415">
        <v>0.159</v>
      </c>
      <c r="X415">
        <v>0.13400000000000001</v>
      </c>
      <c r="Y415">
        <v>0.115</v>
      </c>
      <c r="BZ415">
        <v>2.5618470000000001E-2</v>
      </c>
      <c r="CA415">
        <v>76.942506952740274</v>
      </c>
      <c r="CB415">
        <v>1.6430320000000002E-2</v>
      </c>
      <c r="CC415">
        <v>1.8608670000000001E-2</v>
      </c>
      <c r="CD415">
        <v>1.0612079999999999E-2</v>
      </c>
      <c r="CE415">
        <v>4.3307470000000001E-2</v>
      </c>
      <c r="CF415">
        <v>3.6522640000000002E-2</v>
      </c>
      <c r="CG415">
        <v>4.0196790000000003E-2</v>
      </c>
      <c r="CH415">
        <v>2.4061039999999999E-2</v>
      </c>
      <c r="CI415">
        <v>1.520875E-2</v>
      </c>
    </row>
    <row r="416" spans="1:99" x14ac:dyDescent="0.25">
      <c r="A416" t="s">
        <v>144</v>
      </c>
      <c r="B416" t="s">
        <v>215</v>
      </c>
      <c r="C416" t="s">
        <v>192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1792</v>
      </c>
      <c r="N416">
        <v>750.84994295853903</v>
      </c>
      <c r="O416">
        <v>0</v>
      </c>
      <c r="P416">
        <v>2</v>
      </c>
      <c r="Q416">
        <v>2</v>
      </c>
      <c r="R416">
        <v>0.28000000000000003</v>
      </c>
      <c r="S416">
        <v>0.252</v>
      </c>
      <c r="BF416">
        <v>6.2E-2</v>
      </c>
      <c r="BG416">
        <v>8.1000000000000003E-2</v>
      </c>
      <c r="BZ416">
        <v>7.1397823952000006E-2</v>
      </c>
      <c r="CA416">
        <v>53.609052041723018</v>
      </c>
      <c r="CB416">
        <v>5.6304451839999999E-2</v>
      </c>
      <c r="CC416">
        <v>8.6491196064000006E-2</v>
      </c>
    </row>
    <row r="417" spans="1:99" x14ac:dyDescent="0.25">
      <c r="A417" t="s">
        <v>144</v>
      </c>
      <c r="B417" t="s">
        <v>214</v>
      </c>
      <c r="C417" t="s">
        <v>192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1792</v>
      </c>
      <c r="N417">
        <v>750.84994295853903</v>
      </c>
      <c r="O417">
        <v>0</v>
      </c>
      <c r="P417">
        <v>2</v>
      </c>
      <c r="Q417">
        <v>2</v>
      </c>
      <c r="R417">
        <v>0.17199999999999999</v>
      </c>
      <c r="S417">
        <v>0.14399999999999999</v>
      </c>
      <c r="BF417">
        <v>5.0588235294117601E-2</v>
      </c>
      <c r="BG417">
        <v>4.23529411764706E-2</v>
      </c>
      <c r="BZ417">
        <v>1.826945012041525E-2</v>
      </c>
      <c r="CA417">
        <v>13.717615580797665</v>
      </c>
      <c r="CB417">
        <v>2.3026547731487899E-2</v>
      </c>
      <c r="CC417">
        <v>1.3512352509342599E-2</v>
      </c>
    </row>
    <row r="418" spans="1:99" x14ac:dyDescent="0.25">
      <c r="A418" t="s">
        <v>145</v>
      </c>
      <c r="B418" t="s">
        <v>217</v>
      </c>
      <c r="C418" t="s">
        <v>192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1088</v>
      </c>
      <c r="N418">
        <v>445.39333644297602</v>
      </c>
      <c r="O418">
        <v>0</v>
      </c>
      <c r="P418">
        <v>2</v>
      </c>
      <c r="Q418">
        <v>2</v>
      </c>
      <c r="R418">
        <v>0.13</v>
      </c>
      <c r="S418">
        <v>8.8999999999999996E-2</v>
      </c>
      <c r="BZ418">
        <v>1.7411813999999998E-2</v>
      </c>
      <c r="CA418">
        <v>7.7551059309845192</v>
      </c>
      <c r="CB418">
        <v>2.6363999999999999E-2</v>
      </c>
      <c r="CC418">
        <v>8.4596280000000003E-3</v>
      </c>
    </row>
    <row r="419" spans="1:99" x14ac:dyDescent="0.25">
      <c r="A419" t="s">
        <v>145</v>
      </c>
      <c r="B419" t="s">
        <v>191</v>
      </c>
      <c r="C419" t="s">
        <v>192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4352</v>
      </c>
      <c r="N419">
        <v>1781.5733457719</v>
      </c>
      <c r="O419">
        <v>5</v>
      </c>
      <c r="P419">
        <v>3</v>
      </c>
      <c r="Q419">
        <v>8</v>
      </c>
      <c r="R419">
        <v>8.5000000000000006E-2</v>
      </c>
      <c r="S419">
        <v>0.10100000000000001</v>
      </c>
      <c r="T419">
        <v>9.2999999999999999E-2</v>
      </c>
      <c r="U419">
        <v>0.1</v>
      </c>
      <c r="V419">
        <v>9.2999999999999999E-2</v>
      </c>
      <c r="W419">
        <v>0.105</v>
      </c>
      <c r="X419">
        <v>9.7000000000000003E-2</v>
      </c>
      <c r="Y419">
        <v>0.10299999999999999</v>
      </c>
      <c r="BZ419">
        <v>1.11242475E-2</v>
      </c>
      <c r="CA419">
        <v>19.818662837769693</v>
      </c>
      <c r="CB419">
        <v>7.3695000000000002E-3</v>
      </c>
      <c r="CC419">
        <v>1.2363612E-2</v>
      </c>
      <c r="CD419">
        <v>9.6522840000000006E-3</v>
      </c>
      <c r="CE419">
        <v>1.2E-2</v>
      </c>
      <c r="CF419">
        <v>9.6522840000000006E-3</v>
      </c>
      <c r="CG419">
        <v>1.3891499999999999E-2</v>
      </c>
      <c r="CH419">
        <v>1.0952076E-2</v>
      </c>
      <c r="CI419">
        <v>1.3112723999999999E-2</v>
      </c>
    </row>
    <row r="420" spans="1:99" x14ac:dyDescent="0.25">
      <c r="A420" t="s">
        <v>145</v>
      </c>
      <c r="B420" t="s">
        <v>193</v>
      </c>
      <c r="C420" t="s">
        <v>192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1088</v>
      </c>
      <c r="N420">
        <v>445.39333644297602</v>
      </c>
      <c r="O420">
        <v>2</v>
      </c>
      <c r="P420">
        <v>0</v>
      </c>
      <c r="Q420">
        <v>2</v>
      </c>
      <c r="R420">
        <v>0.68899999999999995</v>
      </c>
      <c r="S420">
        <v>0.38600000000000001</v>
      </c>
      <c r="BZ420">
        <v>1.724909584125</v>
      </c>
      <c r="CA420">
        <v>768.26323473589991</v>
      </c>
      <c r="CB420">
        <v>2.9339324379299998</v>
      </c>
      <c r="CC420">
        <v>0.51588673031999999</v>
      </c>
    </row>
    <row r="421" spans="1:99" x14ac:dyDescent="0.25">
      <c r="A421" t="s">
        <v>145</v>
      </c>
      <c r="B421" t="s">
        <v>172</v>
      </c>
      <c r="C421" t="s">
        <v>158</v>
      </c>
      <c r="D421">
        <v>-1</v>
      </c>
      <c r="E421">
        <v>38</v>
      </c>
      <c r="F421">
        <v>-1</v>
      </c>
      <c r="G421">
        <v>-1</v>
      </c>
      <c r="H421">
        <v>-1</v>
      </c>
      <c r="I421">
        <v>0</v>
      </c>
      <c r="J421">
        <v>-1</v>
      </c>
      <c r="K421">
        <v>-1</v>
      </c>
      <c r="L421">
        <v>-1</v>
      </c>
      <c r="M421">
        <v>1621.3333333333301</v>
      </c>
      <c r="N421">
        <v>663.723403326788</v>
      </c>
      <c r="O421">
        <v>-1</v>
      </c>
      <c r="P421">
        <v>-1</v>
      </c>
      <c r="Q421">
        <v>-1</v>
      </c>
      <c r="R421">
        <v>0.28799999999999998</v>
      </c>
      <c r="S421">
        <v>0.21</v>
      </c>
      <c r="T421">
        <v>0.33600000000000002</v>
      </c>
      <c r="U421">
        <v>0.33100000000000002</v>
      </c>
      <c r="V421">
        <v>0.28000000000000003</v>
      </c>
      <c r="W421">
        <v>0.254</v>
      </c>
      <c r="X421">
        <v>0.24099999999999999</v>
      </c>
      <c r="Y421">
        <v>0.25800000000000001</v>
      </c>
      <c r="Z421">
        <v>0.245</v>
      </c>
      <c r="AA421">
        <v>0.26500000000000001</v>
      </c>
      <c r="AB421">
        <v>0.251</v>
      </c>
      <c r="AC421">
        <v>0.26900000000000002</v>
      </c>
      <c r="AD421">
        <v>0.26100000000000001</v>
      </c>
      <c r="AE421">
        <v>0.23</v>
      </c>
      <c r="AF421">
        <v>0.24299999999999999</v>
      </c>
      <c r="AG421">
        <v>0.253</v>
      </c>
      <c r="AH421">
        <v>0.33500000000000002</v>
      </c>
      <c r="AI421">
        <v>0.253</v>
      </c>
      <c r="AJ421">
        <v>0.251</v>
      </c>
      <c r="AK421">
        <v>0.252</v>
      </c>
      <c r="AL421" t="s">
        <v>159</v>
      </c>
      <c r="AM421" t="s">
        <v>159</v>
      </c>
      <c r="AN421" t="s">
        <v>159</v>
      </c>
      <c r="AO421" t="s">
        <v>159</v>
      </c>
      <c r="AP421" t="s">
        <v>159</v>
      </c>
      <c r="AQ421" t="s">
        <v>159</v>
      </c>
      <c r="AR421" t="s">
        <v>159</v>
      </c>
      <c r="AS421" t="s">
        <v>159</v>
      </c>
      <c r="AT421" t="s">
        <v>159</v>
      </c>
      <c r="AU421" t="s">
        <v>159</v>
      </c>
      <c r="AV421" t="s">
        <v>159</v>
      </c>
      <c r="AW421" t="s">
        <v>159</v>
      </c>
      <c r="AX421" t="s">
        <v>159</v>
      </c>
      <c r="AY421" t="s">
        <v>159</v>
      </c>
      <c r="AZ421" t="s">
        <v>159</v>
      </c>
      <c r="BA421" t="s">
        <v>159</v>
      </c>
      <c r="BB421" t="s">
        <v>159</v>
      </c>
      <c r="BC421" t="s">
        <v>159</v>
      </c>
      <c r="BD421" t="s">
        <v>159</v>
      </c>
      <c r="BE421" t="s">
        <v>159</v>
      </c>
      <c r="BZ421">
        <v>0.54070762324681632</v>
      </c>
      <c r="CA421">
        <v>358.88030390611561</v>
      </c>
      <c r="CB421">
        <v>0.645757752872818</v>
      </c>
      <c r="CC421">
        <v>0.29041660929947799</v>
      </c>
      <c r="CD421">
        <v>0.95377296206094597</v>
      </c>
      <c r="CE421">
        <v>0.91827224777882899</v>
      </c>
      <c r="CF421">
        <v>0.60133496127780905</v>
      </c>
      <c r="CG421">
        <v>0.469932994061591</v>
      </c>
      <c r="CH421">
        <v>0.41144307076181802</v>
      </c>
      <c r="CI421">
        <v>0.488882499367434</v>
      </c>
      <c r="CJ421">
        <v>0.428940277450781</v>
      </c>
      <c r="CK421">
        <v>0.523140925035116</v>
      </c>
      <c r="CL421">
        <v>0.45601712296021801</v>
      </c>
      <c r="CM421">
        <v>0.54335029017132197</v>
      </c>
      <c r="CN421">
        <v>0.50339293784214301</v>
      </c>
      <c r="CO421">
        <v>0.36557632273868002</v>
      </c>
      <c r="CP421">
        <v>0.42013659088921601</v>
      </c>
      <c r="CQ421">
        <v>0.465266253381179</v>
      </c>
      <c r="CR421">
        <v>0.94660762129906295</v>
      </c>
      <c r="CS421">
        <v>0.465266253381179</v>
      </c>
      <c r="CT421">
        <v>0.45601712296021801</v>
      </c>
      <c r="CU421">
        <v>0.46062764934648998</v>
      </c>
    </row>
    <row r="422" spans="1:99" x14ac:dyDescent="0.25">
      <c r="A422" t="s">
        <v>145</v>
      </c>
      <c r="B422" t="s">
        <v>157</v>
      </c>
      <c r="C422" t="s">
        <v>158</v>
      </c>
      <c r="D422">
        <v>12</v>
      </c>
      <c r="E422">
        <v>-1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12</v>
      </c>
      <c r="N422">
        <v>4.9124265048857598</v>
      </c>
      <c r="O422">
        <v>-1</v>
      </c>
      <c r="P422">
        <v>-1</v>
      </c>
      <c r="Q422">
        <v>-1</v>
      </c>
      <c r="R422">
        <v>2.3940000000000001</v>
      </c>
      <c r="S422">
        <v>1.8959999999999999</v>
      </c>
      <c r="T422">
        <v>2.4500000000000002</v>
      </c>
      <c r="U422">
        <v>3.1240000000000001</v>
      </c>
      <c r="V422">
        <v>2.552</v>
      </c>
      <c r="W422">
        <v>2.645</v>
      </c>
      <c r="X422">
        <v>1.909</v>
      </c>
      <c r="Y422">
        <v>2.1680000000000001</v>
      </c>
      <c r="Z422">
        <v>3.0609999999999999</v>
      </c>
      <c r="AA422">
        <v>2.41</v>
      </c>
      <c r="AB422">
        <v>1.89</v>
      </c>
      <c r="AL422" t="s">
        <v>159</v>
      </c>
      <c r="AM422" t="s">
        <v>159</v>
      </c>
      <c r="AN422" t="s">
        <v>159</v>
      </c>
      <c r="AO422" t="s">
        <v>159</v>
      </c>
      <c r="AP422" t="s">
        <v>159</v>
      </c>
      <c r="AQ422" t="s">
        <v>159</v>
      </c>
      <c r="AR422" t="s">
        <v>159</v>
      </c>
      <c r="AS422" t="s">
        <v>159</v>
      </c>
      <c r="AT422" t="s">
        <v>159</v>
      </c>
      <c r="AU422" t="s">
        <v>159</v>
      </c>
      <c r="AV422" t="s">
        <v>159</v>
      </c>
      <c r="BZ422">
        <v>109.96429429186554</v>
      </c>
      <c r="CA422">
        <v>540.19151387041813</v>
      </c>
      <c r="CB422">
        <v>105.056480904879</v>
      </c>
      <c r="CC422">
        <v>64.526112317730394</v>
      </c>
      <c r="CD422">
        <v>110.258098931313</v>
      </c>
      <c r="CE422">
        <v>183.23120025951599</v>
      </c>
      <c r="CF422">
        <v>120.069854453142</v>
      </c>
      <c r="CG422">
        <v>129.39665433270801</v>
      </c>
      <c r="CH422">
        <v>65.454238427787303</v>
      </c>
      <c r="CI422">
        <v>85.392017512635206</v>
      </c>
      <c r="CJ422">
        <v>175.59321988516101</v>
      </c>
      <c r="CK422">
        <v>106.52928269941199</v>
      </c>
      <c r="CL422">
        <v>64.100077486236799</v>
      </c>
    </row>
    <row r="423" spans="1:99" x14ac:dyDescent="0.25">
      <c r="A423" t="s">
        <v>145</v>
      </c>
      <c r="B423" t="s">
        <v>194</v>
      </c>
      <c r="C423" t="s">
        <v>192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3808</v>
      </c>
      <c r="N423">
        <v>1558.87667755042</v>
      </c>
      <c r="O423">
        <v>5</v>
      </c>
      <c r="P423">
        <v>2</v>
      </c>
      <c r="Q423">
        <v>7</v>
      </c>
      <c r="BF423">
        <v>3.5999999999999997E-2</v>
      </c>
      <c r="BG423">
        <v>3.2000000000000001E-2</v>
      </c>
      <c r="BH423">
        <v>3.1E-2</v>
      </c>
      <c r="BI423">
        <v>5.2999999999999999E-2</v>
      </c>
      <c r="BJ423">
        <v>3.7999999999999999E-2</v>
      </c>
      <c r="BK423">
        <v>3.5999999999999997E-2</v>
      </c>
      <c r="BL423">
        <v>0.03</v>
      </c>
      <c r="BZ423">
        <v>9.9416571428571441E-3</v>
      </c>
      <c r="CA423">
        <v>15.497817456202545</v>
      </c>
      <c r="CB423">
        <v>8.3980800000000005E-3</v>
      </c>
      <c r="CC423">
        <v>5.8982399999999999E-3</v>
      </c>
      <c r="CD423">
        <v>5.3623799999999999E-3</v>
      </c>
      <c r="CE423">
        <v>2.679786E-2</v>
      </c>
      <c r="CF423">
        <v>9.8769600000000006E-3</v>
      </c>
      <c r="CG423">
        <v>8.3980800000000005E-3</v>
      </c>
      <c r="CH423">
        <v>4.8599999999999997E-3</v>
      </c>
    </row>
    <row r="424" spans="1:99" x14ac:dyDescent="0.25">
      <c r="A424" t="s">
        <v>145</v>
      </c>
      <c r="B424" t="s">
        <v>195</v>
      </c>
      <c r="C424" t="s">
        <v>192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51680</v>
      </c>
      <c r="N424">
        <v>21156.1834810414</v>
      </c>
      <c r="O424">
        <v>52</v>
      </c>
      <c r="P424">
        <v>43</v>
      </c>
      <c r="Q424">
        <v>95</v>
      </c>
      <c r="R424">
        <v>8.5999999999999993E-2</v>
      </c>
      <c r="S424">
        <v>7.0999999999999994E-2</v>
      </c>
      <c r="T424">
        <v>0.1</v>
      </c>
      <c r="U424">
        <v>0.14099999999999999</v>
      </c>
      <c r="V424">
        <v>0.16900000000000001</v>
      </c>
      <c r="W424">
        <v>0.11600000000000001</v>
      </c>
      <c r="X424">
        <v>0.10299999999999999</v>
      </c>
      <c r="Y424">
        <v>9.2999999999999999E-2</v>
      </c>
      <c r="Z424">
        <v>9.4E-2</v>
      </c>
      <c r="AA424">
        <v>0.127</v>
      </c>
      <c r="AB424">
        <v>0.155</v>
      </c>
      <c r="AC424">
        <v>0.107</v>
      </c>
      <c r="AD424">
        <v>0.11899999999999999</v>
      </c>
      <c r="AE424">
        <v>0.153</v>
      </c>
      <c r="AF424">
        <v>0.13800000000000001</v>
      </c>
      <c r="AG424">
        <v>0.13100000000000001</v>
      </c>
      <c r="AH424">
        <v>0.14499999999999999</v>
      </c>
      <c r="AI424">
        <v>0.151</v>
      </c>
      <c r="AJ424">
        <v>0.19700000000000001</v>
      </c>
      <c r="AK424">
        <v>0.11799999999999999</v>
      </c>
      <c r="BF424">
        <v>5.0999999999999997E-2</v>
      </c>
      <c r="BG424">
        <v>5.6000000000000001E-2</v>
      </c>
      <c r="BH424">
        <v>6.9000000000000006E-2</v>
      </c>
      <c r="BI424">
        <v>6.7000000000000004E-2</v>
      </c>
      <c r="BJ424">
        <v>5.3999999999999999E-2</v>
      </c>
      <c r="BK424">
        <v>0.06</v>
      </c>
      <c r="BL424">
        <v>0.06</v>
      </c>
      <c r="BM424">
        <v>5.6000000000000001E-2</v>
      </c>
      <c r="BN424">
        <v>4.9000000000000002E-2</v>
      </c>
      <c r="BO424">
        <v>5.8000000000000003E-2</v>
      </c>
      <c r="BP424">
        <v>0.06</v>
      </c>
      <c r="BQ424">
        <v>7.2999999999999995E-2</v>
      </c>
      <c r="BR424">
        <v>6.0999999999999999E-2</v>
      </c>
      <c r="BS424">
        <v>6.8000000000000005E-2</v>
      </c>
      <c r="BT424">
        <v>6.2E-2</v>
      </c>
      <c r="BU424">
        <v>5.8000000000000003E-2</v>
      </c>
      <c r="BV424">
        <v>6.4000000000000001E-2</v>
      </c>
      <c r="BW424">
        <v>5.6000000000000001E-2</v>
      </c>
      <c r="BX424">
        <v>6.0999999999999999E-2</v>
      </c>
      <c r="BY424">
        <v>6.0999999999999999E-2</v>
      </c>
      <c r="BZ424">
        <v>1.2051475799999999E-2</v>
      </c>
      <c r="CA424">
        <v>254.96323324213017</v>
      </c>
      <c r="CB424">
        <v>5.8158359999999996E-3</v>
      </c>
      <c r="CC424">
        <v>5.7890559999999999E-3</v>
      </c>
      <c r="CD424">
        <v>1.23786E-2</v>
      </c>
      <c r="CE424">
        <v>1.6456674000000001E-2</v>
      </c>
      <c r="CF424">
        <v>1.2812904E-2</v>
      </c>
      <c r="CG424">
        <v>1.08576E-2</v>
      </c>
      <c r="CH424">
        <v>9.6407999999999997E-3</v>
      </c>
      <c r="CI424">
        <v>7.5828479999999997E-3</v>
      </c>
      <c r="CJ424">
        <v>5.8680440000000002E-3</v>
      </c>
      <c r="CK424">
        <v>1.1107928E-2</v>
      </c>
      <c r="CL424">
        <v>1.4508E-2</v>
      </c>
      <c r="CM424">
        <v>1.4825278000000001E-2</v>
      </c>
      <c r="CN424">
        <v>1.1512774E-2</v>
      </c>
      <c r="CO424">
        <v>1.8394272E-2</v>
      </c>
      <c r="CP424">
        <v>1.3792272E-2</v>
      </c>
      <c r="CQ424">
        <v>1.1457784E-2</v>
      </c>
      <c r="CR424">
        <v>1.544192E-2</v>
      </c>
      <c r="CS424">
        <v>1.2311936000000001E-2</v>
      </c>
      <c r="CT424">
        <v>1.9058961999999999E-2</v>
      </c>
      <c r="CU424">
        <v>1.1416028E-2</v>
      </c>
    </row>
    <row r="425" spans="1:99" x14ac:dyDescent="0.25">
      <c r="A425" t="s">
        <v>145</v>
      </c>
      <c r="B425" t="s">
        <v>196</v>
      </c>
      <c r="C425" t="s">
        <v>197</v>
      </c>
      <c r="D425">
        <v>-1</v>
      </c>
      <c r="E425">
        <v>-1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4896</v>
      </c>
      <c r="N425">
        <v>2004.27001399339</v>
      </c>
      <c r="O425">
        <v>4</v>
      </c>
      <c r="P425">
        <v>5</v>
      </c>
      <c r="Q425">
        <v>9</v>
      </c>
      <c r="R425">
        <v>0.14699999999999999</v>
      </c>
      <c r="S425">
        <v>0.13</v>
      </c>
      <c r="T425">
        <v>0.12</v>
      </c>
      <c r="U425">
        <v>0.26600000000000001</v>
      </c>
      <c r="V425">
        <v>0.104</v>
      </c>
      <c r="W425">
        <v>0.10299999999999999</v>
      </c>
      <c r="X425">
        <v>0.126</v>
      </c>
      <c r="Y425">
        <v>0.127</v>
      </c>
      <c r="Z425">
        <v>0.34799999999999998</v>
      </c>
      <c r="BZ425">
        <v>0.13110648416745477</v>
      </c>
      <c r="CA425">
        <v>262.77279485692873</v>
      </c>
      <c r="CB425">
        <v>7.0752000921116026E-2</v>
      </c>
      <c r="CC425">
        <v>5.2679442313682365E-2</v>
      </c>
      <c r="CD425">
        <v>4.3472249504692119E-2</v>
      </c>
      <c r="CE425">
        <v>0.29369263183391103</v>
      </c>
      <c r="CF425">
        <v>3.0835936131534208E-2</v>
      </c>
      <c r="CG425">
        <v>3.012912106148239E-2</v>
      </c>
      <c r="CH425">
        <v>4.8872711129969722E-2</v>
      </c>
      <c r="CI425">
        <v>4.9808797095077323E-2</v>
      </c>
      <c r="CJ425">
        <v>0.55971546751562762</v>
      </c>
      <c r="CK425" t="s">
        <v>239</v>
      </c>
      <c r="CL425" t="s">
        <v>239</v>
      </c>
      <c r="CM425" t="s">
        <v>239</v>
      </c>
      <c r="CN425" t="s">
        <v>239</v>
      </c>
      <c r="CO425" t="s">
        <v>239</v>
      </c>
      <c r="CP425" t="s">
        <v>239</v>
      </c>
      <c r="CQ425" t="s">
        <v>239</v>
      </c>
      <c r="CR425" t="s">
        <v>239</v>
      </c>
      <c r="CS425" t="s">
        <v>239</v>
      </c>
      <c r="CT425" t="s">
        <v>239</v>
      </c>
      <c r="CU425" t="s">
        <v>239</v>
      </c>
    </row>
    <row r="426" spans="1:99" x14ac:dyDescent="0.25">
      <c r="A426" t="s">
        <v>145</v>
      </c>
      <c r="B426" t="s">
        <v>173</v>
      </c>
      <c r="C426" t="s">
        <v>168</v>
      </c>
      <c r="D426">
        <v>-1</v>
      </c>
      <c r="E426">
        <v>66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8448</v>
      </c>
      <c r="N426">
        <v>3458.34825943958</v>
      </c>
      <c r="O426">
        <v>-1</v>
      </c>
      <c r="P426">
        <v>-1</v>
      </c>
      <c r="Q426">
        <v>-1</v>
      </c>
      <c r="R426">
        <v>0.41</v>
      </c>
      <c r="S426">
        <v>0.48799999999999999</v>
      </c>
      <c r="T426">
        <v>0.41899999999999998</v>
      </c>
      <c r="U426">
        <v>0.82599999999999996</v>
      </c>
      <c r="V426">
        <v>0.622</v>
      </c>
      <c r="W426">
        <v>0.35899999999999999</v>
      </c>
      <c r="X426">
        <v>0.77900000000000003</v>
      </c>
      <c r="Y426">
        <v>0.55000000000000004</v>
      </c>
      <c r="Z426">
        <v>0.48599999999999999</v>
      </c>
      <c r="AA426">
        <v>0.79300000000000004</v>
      </c>
      <c r="AB426">
        <v>0.68</v>
      </c>
      <c r="AC426">
        <v>0.49199999999999999</v>
      </c>
      <c r="AD426">
        <v>0.58299999999999996</v>
      </c>
      <c r="AE426">
        <v>0.41299999999999998</v>
      </c>
      <c r="AF426">
        <v>0.376</v>
      </c>
      <c r="AG426">
        <v>0.71499999999999997</v>
      </c>
      <c r="AH426">
        <v>0.39100000000000001</v>
      </c>
      <c r="AI426">
        <v>0.80900000000000005</v>
      </c>
      <c r="AJ426">
        <v>0.54200000000000004</v>
      </c>
      <c r="AK426">
        <v>0.56799999999999995</v>
      </c>
      <c r="AL426" t="s">
        <v>169</v>
      </c>
      <c r="AM426" t="s">
        <v>169</v>
      </c>
      <c r="AN426" t="s">
        <v>169</v>
      </c>
      <c r="AO426" t="s">
        <v>169</v>
      </c>
      <c r="AP426" t="s">
        <v>169</v>
      </c>
      <c r="AQ426" t="s">
        <v>169</v>
      </c>
      <c r="AR426" t="s">
        <v>169</v>
      </c>
      <c r="AS426" t="s">
        <v>169</v>
      </c>
      <c r="AT426" t="s">
        <v>169</v>
      </c>
      <c r="AU426" t="s">
        <v>169</v>
      </c>
      <c r="AV426" t="s">
        <v>169</v>
      </c>
      <c r="AW426" t="s">
        <v>169</v>
      </c>
      <c r="AX426" t="s">
        <v>169</v>
      </c>
      <c r="AY426" t="s">
        <v>169</v>
      </c>
      <c r="AZ426" t="s">
        <v>169</v>
      </c>
      <c r="BA426" t="s">
        <v>169</v>
      </c>
      <c r="BB426" t="s">
        <v>169</v>
      </c>
      <c r="BC426" t="s">
        <v>169</v>
      </c>
      <c r="BD426" t="s">
        <v>169</v>
      </c>
      <c r="BE426" t="s">
        <v>169</v>
      </c>
      <c r="BZ426">
        <v>0.79732520767195558</v>
      </c>
      <c r="CA426">
        <v>2757.4282441596092</v>
      </c>
      <c r="CB426">
        <v>0.15264435606058199</v>
      </c>
      <c r="CC426">
        <v>0.30475829367037099</v>
      </c>
      <c r="CD426">
        <v>0.16638666276363401</v>
      </c>
      <c r="CE426">
        <v>2.4622924181654402</v>
      </c>
      <c r="CF426">
        <v>0.79850321152756698</v>
      </c>
      <c r="CG426">
        <v>9.0085273377207398E-2</v>
      </c>
      <c r="CH426">
        <v>1.9513382018111001</v>
      </c>
      <c r="CI426">
        <v>0.489969128462592</v>
      </c>
      <c r="CJ426">
        <v>0.29982982338060699</v>
      </c>
      <c r="CK426">
        <v>2.0943217047443201</v>
      </c>
      <c r="CL426">
        <v>1.1375990570546499</v>
      </c>
      <c r="CM426">
        <v>0.31479679200106903</v>
      </c>
      <c r="CN426">
        <v>0.61749437011290598</v>
      </c>
      <c r="CO426">
        <v>0.15712690099898699</v>
      </c>
      <c r="CP426">
        <v>0.10824917230183401</v>
      </c>
      <c r="CQ426">
        <v>1.3884294787254301</v>
      </c>
      <c r="CR426">
        <v>0.126435947311136</v>
      </c>
      <c r="CS426">
        <v>2.2671720075279098</v>
      </c>
      <c r="CT426">
        <v>0.46228096109554601</v>
      </c>
      <c r="CU426">
        <v>0.55679039234622396</v>
      </c>
    </row>
    <row r="427" spans="1:99" x14ac:dyDescent="0.25">
      <c r="A427" t="s">
        <v>145</v>
      </c>
      <c r="B427" t="s">
        <v>170</v>
      </c>
      <c r="C427" t="s">
        <v>158</v>
      </c>
      <c r="D427">
        <v>-1</v>
      </c>
      <c r="E427">
        <v>14</v>
      </c>
      <c r="F427">
        <v>-1</v>
      </c>
      <c r="G427">
        <v>-1</v>
      </c>
      <c r="H427">
        <v>-1</v>
      </c>
      <c r="I427">
        <v>29</v>
      </c>
      <c r="J427">
        <v>-1</v>
      </c>
      <c r="K427">
        <v>-1</v>
      </c>
      <c r="L427">
        <v>-1</v>
      </c>
      <c r="M427">
        <v>1834.6666666666699</v>
      </c>
      <c r="N427">
        <v>751.05543008031202</v>
      </c>
      <c r="O427">
        <v>-1</v>
      </c>
      <c r="P427">
        <v>-1</v>
      </c>
      <c r="Q427">
        <v>-1</v>
      </c>
      <c r="R427">
        <v>1.129</v>
      </c>
      <c r="S427">
        <v>0.79900000000000004</v>
      </c>
      <c r="T427">
        <v>0.96099999999999997</v>
      </c>
      <c r="U427">
        <v>0.77100000000000002</v>
      </c>
      <c r="V427">
        <v>0.67100000000000004</v>
      </c>
      <c r="W427">
        <v>0.65200000000000002</v>
      </c>
      <c r="X427">
        <v>0.57999999999999996</v>
      </c>
      <c r="Y427">
        <v>1.341</v>
      </c>
      <c r="Z427">
        <v>0.86599999999999999</v>
      </c>
      <c r="AA427">
        <v>0.439</v>
      </c>
      <c r="AB427">
        <v>0.74399999999999999</v>
      </c>
      <c r="AC427">
        <v>0.375</v>
      </c>
      <c r="AD427">
        <v>0.78800000000000003</v>
      </c>
      <c r="AE427">
        <v>0.83299999999999996</v>
      </c>
      <c r="AF427">
        <v>0.42</v>
      </c>
      <c r="AG427">
        <v>0.51</v>
      </c>
      <c r="AH427">
        <v>0.54800000000000004</v>
      </c>
      <c r="AI427">
        <v>0.58299999999999996</v>
      </c>
      <c r="AJ427">
        <v>1.052</v>
      </c>
      <c r="AL427" t="s">
        <v>159</v>
      </c>
      <c r="AM427" t="s">
        <v>159</v>
      </c>
      <c r="AN427" t="s">
        <v>159</v>
      </c>
      <c r="AO427" t="s">
        <v>159</v>
      </c>
      <c r="AP427" t="s">
        <v>159</v>
      </c>
      <c r="AQ427" t="s">
        <v>159</v>
      </c>
      <c r="AR427" t="s">
        <v>159</v>
      </c>
      <c r="AS427" t="s">
        <v>159</v>
      </c>
      <c r="AT427" t="s">
        <v>159</v>
      </c>
      <c r="AU427" t="s">
        <v>159</v>
      </c>
      <c r="AV427" t="s">
        <v>159</v>
      </c>
      <c r="AW427" t="s">
        <v>159</v>
      </c>
      <c r="AX427" t="s">
        <v>159</v>
      </c>
      <c r="AY427" t="s">
        <v>159</v>
      </c>
      <c r="AZ427" t="s">
        <v>159</v>
      </c>
      <c r="BA427" t="s">
        <v>159</v>
      </c>
      <c r="BB427" t="s">
        <v>159</v>
      </c>
      <c r="BC427" t="s">
        <v>159</v>
      </c>
      <c r="BD427" t="s">
        <v>159</v>
      </c>
      <c r="BZ427">
        <v>2.7680878208322071</v>
      </c>
      <c r="CA427">
        <v>2078.9873887752069</v>
      </c>
      <c r="CB427">
        <v>7.0117245937999098</v>
      </c>
      <c r="CC427">
        <v>2.62667843012846</v>
      </c>
      <c r="CD427">
        <v>4.4371945967538302</v>
      </c>
      <c r="CE427">
        <v>2.37360521864094</v>
      </c>
      <c r="CF427">
        <v>1.59980117626574</v>
      </c>
      <c r="CG427">
        <v>1.47447436499231</v>
      </c>
      <c r="CH427">
        <v>1.05757105560836</v>
      </c>
      <c r="CI427">
        <v>11.430672542743</v>
      </c>
      <c r="CJ427">
        <v>3.30160313174015</v>
      </c>
      <c r="CK427">
        <v>0.47948308616734803</v>
      </c>
      <c r="CL427">
        <v>2.14506862873565</v>
      </c>
      <c r="CM427">
        <v>0.30649461945584</v>
      </c>
      <c r="CN427">
        <v>2.5252740282719799</v>
      </c>
      <c r="CO427">
        <v>2.9566904495715902</v>
      </c>
      <c r="CP427">
        <v>0.42286529073225199</v>
      </c>
      <c r="CQ427">
        <v>0.73396162682141997</v>
      </c>
      <c r="CR427">
        <v>0.90014161559331396</v>
      </c>
      <c r="CS427">
        <v>1.0731804436375001</v>
      </c>
      <c r="CT427">
        <v>5.7371836961523401</v>
      </c>
    </row>
    <row r="428" spans="1:99" x14ac:dyDescent="0.25">
      <c r="A428" t="s">
        <v>145</v>
      </c>
      <c r="B428" t="s">
        <v>179</v>
      </c>
      <c r="C428" t="s">
        <v>158</v>
      </c>
      <c r="D428">
        <v>-1</v>
      </c>
      <c r="E428">
        <v>3</v>
      </c>
      <c r="F428">
        <v>-1</v>
      </c>
      <c r="G428">
        <v>-1</v>
      </c>
      <c r="H428">
        <v>-1</v>
      </c>
      <c r="I428">
        <v>3</v>
      </c>
      <c r="J428">
        <v>-1</v>
      </c>
      <c r="K428">
        <v>-1</v>
      </c>
      <c r="L428">
        <v>-1</v>
      </c>
      <c r="M428">
        <v>256</v>
      </c>
      <c r="N428">
        <v>104.79843210423</v>
      </c>
      <c r="O428">
        <v>-1</v>
      </c>
      <c r="P428">
        <v>-1</v>
      </c>
      <c r="Q428">
        <v>-1</v>
      </c>
      <c r="R428">
        <v>0.78300000000000003</v>
      </c>
      <c r="S428">
        <v>0.55900000000000005</v>
      </c>
      <c r="T428">
        <v>0.7</v>
      </c>
      <c r="U428">
        <v>0.60699999999999998</v>
      </c>
      <c r="V428">
        <v>1.0740000000000001</v>
      </c>
      <c r="W428">
        <v>1.1930000000000001</v>
      </c>
      <c r="AL428" t="s">
        <v>159</v>
      </c>
      <c r="AM428" t="s">
        <v>159</v>
      </c>
      <c r="AN428" t="s">
        <v>159</v>
      </c>
      <c r="AO428" t="s">
        <v>159</v>
      </c>
      <c r="AP428" t="s">
        <v>159</v>
      </c>
      <c r="AQ428" t="s">
        <v>159</v>
      </c>
      <c r="BZ428">
        <v>3.4541403503745571</v>
      </c>
      <c r="CA428">
        <v>361.98849298720927</v>
      </c>
      <c r="CB428">
        <v>2.4800329944562298</v>
      </c>
      <c r="CC428">
        <v>0.95240921529616196</v>
      </c>
      <c r="CD428">
        <v>1.80406627580012</v>
      </c>
      <c r="CE428">
        <v>1.2034552258895601</v>
      </c>
      <c r="CF428">
        <v>6.0845184670418497</v>
      </c>
      <c r="CG428">
        <v>8.2003599237634202</v>
      </c>
    </row>
    <row r="429" spans="1:99" x14ac:dyDescent="0.25">
      <c r="A429" t="s">
        <v>145</v>
      </c>
      <c r="B429" t="s">
        <v>167</v>
      </c>
      <c r="C429" t="s">
        <v>168</v>
      </c>
      <c r="D429">
        <v>-1</v>
      </c>
      <c r="E429">
        <v>13</v>
      </c>
      <c r="F429">
        <v>-1</v>
      </c>
      <c r="G429">
        <v>-1</v>
      </c>
      <c r="H429">
        <v>-1</v>
      </c>
      <c r="I429">
        <v>37</v>
      </c>
      <c r="J429">
        <v>-1</v>
      </c>
      <c r="K429">
        <v>-1</v>
      </c>
      <c r="L429">
        <v>-1</v>
      </c>
      <c r="M429">
        <v>2133.3333333333298</v>
      </c>
      <c r="N429">
        <v>873.32026753524701</v>
      </c>
      <c r="O429">
        <v>-1</v>
      </c>
      <c r="P429">
        <v>-1</v>
      </c>
      <c r="Q429">
        <v>-1</v>
      </c>
      <c r="R429">
        <v>0.76500000000000001</v>
      </c>
      <c r="S429">
        <v>0.497</v>
      </c>
      <c r="T429">
        <v>0.78400000000000003</v>
      </c>
      <c r="U429">
        <v>0.53500000000000003</v>
      </c>
      <c r="V429">
        <v>0.84299999999999997</v>
      </c>
      <c r="W429">
        <v>0.76200000000000001</v>
      </c>
      <c r="X429">
        <v>0.41299999999999998</v>
      </c>
      <c r="Y429">
        <v>0.80700000000000005</v>
      </c>
      <c r="Z429">
        <v>0.82299999999999995</v>
      </c>
      <c r="AA429">
        <v>0.83899999999999997</v>
      </c>
      <c r="AB429">
        <v>0.44800000000000001</v>
      </c>
      <c r="AC429">
        <v>0.749</v>
      </c>
      <c r="AD429">
        <v>0.438</v>
      </c>
      <c r="AE429">
        <v>0.79600000000000004</v>
      </c>
      <c r="AF429">
        <v>0.46400000000000002</v>
      </c>
      <c r="AG429">
        <v>0.71299999999999997</v>
      </c>
      <c r="AH429">
        <v>0.47599999999999998</v>
      </c>
      <c r="AI429">
        <v>0.42499999999999999</v>
      </c>
      <c r="AJ429">
        <v>0.61599999999999999</v>
      </c>
      <c r="AK429">
        <v>0.73</v>
      </c>
      <c r="AL429" t="s">
        <v>169</v>
      </c>
      <c r="AM429" t="s">
        <v>169</v>
      </c>
      <c r="AN429" t="s">
        <v>169</v>
      </c>
      <c r="AO429" t="s">
        <v>169</v>
      </c>
      <c r="AP429" t="s">
        <v>169</v>
      </c>
      <c r="AQ429" t="s">
        <v>169</v>
      </c>
      <c r="AR429" t="s">
        <v>169</v>
      </c>
      <c r="AS429" t="s">
        <v>169</v>
      </c>
      <c r="AT429" t="s">
        <v>169</v>
      </c>
      <c r="AU429" t="s">
        <v>169</v>
      </c>
      <c r="AV429" t="s">
        <v>169</v>
      </c>
      <c r="AW429" t="s">
        <v>169</v>
      </c>
      <c r="AX429" t="s">
        <v>169</v>
      </c>
      <c r="AY429" t="s">
        <v>169</v>
      </c>
      <c r="AZ429" t="s">
        <v>169</v>
      </c>
      <c r="BA429" t="s">
        <v>169</v>
      </c>
      <c r="BB429" t="s">
        <v>169</v>
      </c>
      <c r="BC429" t="s">
        <v>169</v>
      </c>
      <c r="BD429" t="s">
        <v>169</v>
      </c>
      <c r="BE429" t="s">
        <v>169</v>
      </c>
      <c r="BZ429">
        <v>1.7776397238731381</v>
      </c>
      <c r="CA429">
        <v>1552.4487992341715</v>
      </c>
      <c r="CB429">
        <v>2.4502553339056399</v>
      </c>
      <c r="CC429">
        <v>0.80184656492513995</v>
      </c>
      <c r="CD429">
        <v>2.6109997400144702</v>
      </c>
      <c r="CE429">
        <v>0.97043068768626195</v>
      </c>
      <c r="CF429">
        <v>3.1508058599075199</v>
      </c>
      <c r="CG429">
        <v>2.4254459555178398</v>
      </c>
      <c r="CH429">
        <v>0.49640810074672398</v>
      </c>
      <c r="CI429">
        <v>2.81404268747472</v>
      </c>
      <c r="CJ429">
        <v>2.96083222877968</v>
      </c>
      <c r="CK429">
        <v>3.1122301436175701</v>
      </c>
      <c r="CL429">
        <v>0.61282755207478401</v>
      </c>
      <c r="CM429">
        <v>2.31972302957114</v>
      </c>
      <c r="CN429">
        <v>0.578024401144001</v>
      </c>
      <c r="CO429">
        <v>2.7157705323466002</v>
      </c>
      <c r="CP429">
        <v>0.671134857517246</v>
      </c>
      <c r="CQ429">
        <v>2.0418794981250898</v>
      </c>
      <c r="CR429">
        <v>0.71701828966870895</v>
      </c>
      <c r="CS429">
        <v>0.53463274537461503</v>
      </c>
      <c r="CT429">
        <v>1.3981129897744999</v>
      </c>
      <c r="CU429">
        <v>2.1703732792905099</v>
      </c>
    </row>
    <row r="430" spans="1:99" x14ac:dyDescent="0.25">
      <c r="A430" t="s">
        <v>145</v>
      </c>
      <c r="B430" t="s">
        <v>166</v>
      </c>
      <c r="C430" t="s">
        <v>154</v>
      </c>
      <c r="D430">
        <v>-1</v>
      </c>
      <c r="E430">
        <v>19</v>
      </c>
      <c r="F430">
        <v>17</v>
      </c>
      <c r="G430">
        <v>-1</v>
      </c>
      <c r="H430">
        <v>-1</v>
      </c>
      <c r="I430">
        <v>12</v>
      </c>
      <c r="J430">
        <v>9</v>
      </c>
      <c r="K430">
        <v>-1</v>
      </c>
      <c r="L430">
        <v>-1</v>
      </c>
      <c r="M430">
        <v>2432</v>
      </c>
      <c r="N430">
        <v>995.58510499018098</v>
      </c>
      <c r="O430">
        <v>-1</v>
      </c>
      <c r="P430">
        <v>-1</v>
      </c>
      <c r="Q430">
        <v>-1</v>
      </c>
      <c r="R430">
        <v>0.96399999999999997</v>
      </c>
      <c r="S430">
        <v>1.042</v>
      </c>
      <c r="T430">
        <v>0.85499999999999998</v>
      </c>
      <c r="U430">
        <v>1.0149999999999999</v>
      </c>
      <c r="V430">
        <v>1.002</v>
      </c>
      <c r="W430">
        <v>0.78800000000000003</v>
      </c>
      <c r="X430">
        <v>0.80900000000000005</v>
      </c>
      <c r="Y430">
        <v>0.97199999999999998</v>
      </c>
      <c r="Z430">
        <v>0.81399999999999995</v>
      </c>
      <c r="AA430">
        <v>0.78100000000000003</v>
      </c>
      <c r="AB430">
        <v>0.95599999999999996</v>
      </c>
      <c r="AC430">
        <v>0.81599999999999995</v>
      </c>
      <c r="AD430">
        <v>0.80900000000000005</v>
      </c>
      <c r="AE430">
        <v>0.82299999999999995</v>
      </c>
      <c r="AF430">
        <v>0.80200000000000005</v>
      </c>
      <c r="AG430">
        <v>1.006</v>
      </c>
      <c r="AH430">
        <v>0.78900000000000003</v>
      </c>
      <c r="AI430">
        <v>0.79100000000000004</v>
      </c>
      <c r="AJ430">
        <v>0.81399999999999995</v>
      </c>
      <c r="AK430">
        <v>0.80200000000000005</v>
      </c>
      <c r="AL430" t="s">
        <v>155</v>
      </c>
      <c r="AM430" t="s">
        <v>155</v>
      </c>
      <c r="AN430" t="s">
        <v>155</v>
      </c>
      <c r="AO430" t="s">
        <v>155</v>
      </c>
      <c r="AP430" t="s">
        <v>155</v>
      </c>
      <c r="AQ430" t="s">
        <v>155</v>
      </c>
      <c r="AR430" t="s">
        <v>156</v>
      </c>
      <c r="AS430" t="s">
        <v>155</v>
      </c>
      <c r="AT430" t="s">
        <v>155</v>
      </c>
      <c r="AU430" t="s">
        <v>156</v>
      </c>
      <c r="AV430" t="s">
        <v>155</v>
      </c>
      <c r="AW430" t="s">
        <v>156</v>
      </c>
      <c r="AX430" t="s">
        <v>156</v>
      </c>
      <c r="AY430" t="s">
        <v>156</v>
      </c>
      <c r="AZ430" t="s">
        <v>156</v>
      </c>
      <c r="BA430" t="s">
        <v>155</v>
      </c>
      <c r="BB430" t="s">
        <v>156</v>
      </c>
      <c r="BC430" t="s">
        <v>156</v>
      </c>
      <c r="BD430" t="s">
        <v>156</v>
      </c>
      <c r="BE430" t="s">
        <v>156</v>
      </c>
      <c r="BZ430">
        <v>3.2700743571227471</v>
      </c>
      <c r="CA430">
        <v>3255.6373221617487</v>
      </c>
      <c r="CB430">
        <v>4.5468922701232897</v>
      </c>
      <c r="CC430">
        <v>6.19246676273338</v>
      </c>
      <c r="CD430">
        <v>2.8238024807844102</v>
      </c>
      <c r="CE430">
        <v>5.57954812315272</v>
      </c>
      <c r="CF430">
        <v>5.3011939595321502</v>
      </c>
      <c r="CG430">
        <v>2.0423864634905899</v>
      </c>
      <c r="CH430">
        <v>2.2671720075279098</v>
      </c>
      <c r="CI430">
        <v>4.6985506374539199</v>
      </c>
      <c r="CJ430">
        <v>2.3233130260173298</v>
      </c>
      <c r="CK430">
        <v>1.97130327968347</v>
      </c>
      <c r="CL430">
        <v>4.3989261629137397</v>
      </c>
      <c r="CM430">
        <v>2.3460581379249699</v>
      </c>
      <c r="CN430">
        <v>2.2671720075279098</v>
      </c>
      <c r="CO430">
        <v>2.4269799345799301</v>
      </c>
      <c r="CP430">
        <v>2.1902872851766801</v>
      </c>
      <c r="CQ430">
        <v>5.3857082492001904</v>
      </c>
      <c r="CR430">
        <v>2.05269555890222</v>
      </c>
      <c r="CS430">
        <v>2.07343048453611</v>
      </c>
      <c r="CT430">
        <v>2.3233130260173298</v>
      </c>
      <c r="CU430">
        <v>2.1902872851766801</v>
      </c>
    </row>
    <row r="431" spans="1:99" x14ac:dyDescent="0.25">
      <c r="A431" t="s">
        <v>145</v>
      </c>
      <c r="B431" t="s">
        <v>198</v>
      </c>
      <c r="C431" t="s">
        <v>199</v>
      </c>
      <c r="D431">
        <v>-1</v>
      </c>
      <c r="E431">
        <v>-1</v>
      </c>
      <c r="F431">
        <v>-1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34272</v>
      </c>
      <c r="N431">
        <v>14029.890097953699</v>
      </c>
      <c r="O431">
        <v>33</v>
      </c>
      <c r="P431">
        <v>30</v>
      </c>
      <c r="Q431">
        <v>63</v>
      </c>
      <c r="R431">
        <v>0.10100000000000001</v>
      </c>
      <c r="S431">
        <v>9.7000000000000003E-2</v>
      </c>
      <c r="T431">
        <v>9.6000000000000002E-2</v>
      </c>
      <c r="U431">
        <v>0.18</v>
      </c>
      <c r="V431">
        <v>0.14299999999999999</v>
      </c>
      <c r="W431">
        <v>0.104</v>
      </c>
      <c r="X431">
        <v>9.9000000000000005E-2</v>
      </c>
      <c r="Y431">
        <v>9.9000000000000005E-2</v>
      </c>
      <c r="Z431">
        <v>9.8000000000000004E-2</v>
      </c>
      <c r="AA431">
        <v>9.8000000000000004E-2</v>
      </c>
      <c r="AB431">
        <v>0.10199999999999999</v>
      </c>
      <c r="AC431">
        <v>0.107</v>
      </c>
      <c r="AD431">
        <v>9.4E-2</v>
      </c>
      <c r="AE431">
        <v>0.123</v>
      </c>
      <c r="AF431">
        <v>0.159</v>
      </c>
      <c r="AG431">
        <v>0.10299999999999999</v>
      </c>
      <c r="AH431">
        <v>9.5000000000000001E-2</v>
      </c>
      <c r="AI431">
        <v>0.10299999999999999</v>
      </c>
      <c r="AJ431">
        <v>0.115</v>
      </c>
      <c r="AK431">
        <v>0.109</v>
      </c>
      <c r="BZ431">
        <v>0.19357120648445253</v>
      </c>
      <c r="CA431">
        <v>2715.7827531051717</v>
      </c>
      <c r="CB431">
        <v>0.14640486397791924</v>
      </c>
      <c r="CC431">
        <v>0.13650699037718286</v>
      </c>
      <c r="CD431">
        <v>0.13413889927804937</v>
      </c>
      <c r="CE431">
        <v>0.58340161452356776</v>
      </c>
      <c r="CF431">
        <v>0.30532470744109852</v>
      </c>
      <c r="CG431">
        <v>0.15429646124708882</v>
      </c>
      <c r="CH431">
        <v>0.1413693296235311</v>
      </c>
      <c r="CI431">
        <v>0.1413693296235311</v>
      </c>
      <c r="CJ431">
        <v>0.13891688780903549</v>
      </c>
      <c r="CK431">
        <v>0.13891688780903549</v>
      </c>
      <c r="CL431">
        <v>0.14898949868956468</v>
      </c>
      <c r="CM431">
        <v>0.16261343582795867</v>
      </c>
      <c r="CN431">
        <v>0.12952524767371265</v>
      </c>
      <c r="CO431">
        <v>0.21515868483059278</v>
      </c>
      <c r="CP431">
        <v>0.40398422285852364</v>
      </c>
      <c r="CQ431">
        <v>0.15161976259966117</v>
      </c>
      <c r="CR431">
        <v>0.1318118892652273</v>
      </c>
      <c r="CS431">
        <v>0.15161976259966117</v>
      </c>
      <c r="CT431">
        <v>0.18704997457505201</v>
      </c>
      <c r="CU431">
        <v>0.16840567905905679</v>
      </c>
    </row>
    <row r="432" spans="1:99" x14ac:dyDescent="0.25">
      <c r="A432" t="s">
        <v>145</v>
      </c>
      <c r="B432" t="s">
        <v>160</v>
      </c>
      <c r="C432" t="s">
        <v>154</v>
      </c>
      <c r="D432">
        <v>-1</v>
      </c>
      <c r="E432">
        <v>0</v>
      </c>
      <c r="F432">
        <v>1</v>
      </c>
      <c r="G432">
        <v>-1</v>
      </c>
      <c r="H432">
        <v>-1</v>
      </c>
      <c r="I432">
        <v>0</v>
      </c>
      <c r="J432">
        <v>0</v>
      </c>
      <c r="K432">
        <v>1</v>
      </c>
      <c r="L432">
        <v>1</v>
      </c>
      <c r="M432">
        <v>54.857142857142897</v>
      </c>
      <c r="N432">
        <v>22.456806879477799</v>
      </c>
      <c r="O432">
        <v>-1</v>
      </c>
      <c r="P432">
        <v>-1</v>
      </c>
      <c r="Q432">
        <v>-1</v>
      </c>
      <c r="R432">
        <v>1.534</v>
      </c>
      <c r="S432">
        <v>1.07</v>
      </c>
      <c r="T432">
        <v>1.7030000000000001</v>
      </c>
      <c r="AL432" t="s">
        <v>156</v>
      </c>
      <c r="AM432" t="s">
        <v>156</v>
      </c>
      <c r="AN432" t="s">
        <v>155</v>
      </c>
      <c r="BZ432">
        <v>13.38879259812034</v>
      </c>
      <c r="CA432">
        <v>300.6695297253703</v>
      </c>
      <c r="CB432">
        <v>14.8530590494119</v>
      </c>
      <c r="CC432">
        <v>5.8429505449105203</v>
      </c>
      <c r="CD432">
        <v>19.4703682000386</v>
      </c>
    </row>
    <row r="433" spans="1:99" x14ac:dyDescent="0.25">
      <c r="A433" t="s">
        <v>145</v>
      </c>
      <c r="B433" t="s">
        <v>164</v>
      </c>
      <c r="C433" t="s">
        <v>158</v>
      </c>
      <c r="D433">
        <v>-1</v>
      </c>
      <c r="E433">
        <v>7</v>
      </c>
      <c r="F433">
        <v>-1</v>
      </c>
      <c r="G433">
        <v>-1</v>
      </c>
      <c r="H433">
        <v>-1</v>
      </c>
      <c r="I433">
        <v>22</v>
      </c>
      <c r="J433">
        <v>-1</v>
      </c>
      <c r="K433">
        <v>-1</v>
      </c>
      <c r="L433">
        <v>-1</v>
      </c>
      <c r="M433">
        <v>1237.3333333333301</v>
      </c>
      <c r="N433">
        <v>506.52575517044301</v>
      </c>
      <c r="O433">
        <v>-1</v>
      </c>
      <c r="P433">
        <v>-1</v>
      </c>
      <c r="Q433">
        <v>-1</v>
      </c>
      <c r="R433">
        <v>0.44700000000000001</v>
      </c>
      <c r="S433">
        <v>0.51800000000000002</v>
      </c>
      <c r="T433">
        <v>0.41099999999999998</v>
      </c>
      <c r="U433">
        <v>0.39100000000000001</v>
      </c>
      <c r="V433">
        <v>0.41499999999999998</v>
      </c>
      <c r="W433">
        <v>0.317</v>
      </c>
      <c r="X433">
        <v>0.43099999999999999</v>
      </c>
      <c r="Y433">
        <v>0.32100000000000001</v>
      </c>
      <c r="Z433">
        <v>0.38700000000000001</v>
      </c>
      <c r="AA433">
        <v>0.29499999999999998</v>
      </c>
      <c r="AB433">
        <v>0.28199999999999997</v>
      </c>
      <c r="AC433">
        <v>0.33400000000000002</v>
      </c>
      <c r="AD433">
        <v>0.377</v>
      </c>
      <c r="AE433">
        <v>0.36299999999999999</v>
      </c>
      <c r="AF433">
        <v>0.41299999999999998</v>
      </c>
      <c r="AG433">
        <v>0.41599999999999998</v>
      </c>
      <c r="AH433">
        <v>0.38</v>
      </c>
      <c r="AI433">
        <v>0.48</v>
      </c>
      <c r="AJ433">
        <v>0.32700000000000001</v>
      </c>
      <c r="AK433">
        <v>0.39200000000000002</v>
      </c>
      <c r="AL433" t="s">
        <v>159</v>
      </c>
      <c r="AM433" t="s">
        <v>159</v>
      </c>
      <c r="AN433" t="s">
        <v>159</v>
      </c>
      <c r="AO433" t="s">
        <v>159</v>
      </c>
      <c r="AP433" t="s">
        <v>159</v>
      </c>
      <c r="AQ433" t="s">
        <v>159</v>
      </c>
      <c r="AR433" t="s">
        <v>159</v>
      </c>
      <c r="AS433" t="s">
        <v>159</v>
      </c>
      <c r="AT433" t="s">
        <v>159</v>
      </c>
      <c r="AU433" t="s">
        <v>159</v>
      </c>
      <c r="AV433" t="s">
        <v>159</v>
      </c>
      <c r="AW433" t="s">
        <v>159</v>
      </c>
      <c r="AX433" t="s">
        <v>159</v>
      </c>
      <c r="AY433" t="s">
        <v>159</v>
      </c>
      <c r="AZ433" t="s">
        <v>159</v>
      </c>
      <c r="BA433" t="s">
        <v>159</v>
      </c>
      <c r="BB433" t="s">
        <v>159</v>
      </c>
      <c r="BC433" t="s">
        <v>159</v>
      </c>
      <c r="BD433" t="s">
        <v>159</v>
      </c>
      <c r="BE433" t="s">
        <v>159</v>
      </c>
      <c r="BZ433">
        <v>1.4064451226633987</v>
      </c>
      <c r="CA433">
        <v>712.40067786286443</v>
      </c>
      <c r="CB433">
        <v>1.9637430836057901</v>
      </c>
      <c r="CC433">
        <v>2.8514182642847801</v>
      </c>
      <c r="CD433">
        <v>1.58791204950848</v>
      </c>
      <c r="CE433">
        <v>1.39963189644516</v>
      </c>
      <c r="CF433">
        <v>1.62730260477958</v>
      </c>
      <c r="CG433">
        <v>0.82316437806424703</v>
      </c>
      <c r="CH433">
        <v>1.7907465718366999</v>
      </c>
      <c r="CI433">
        <v>0.84969755173468597</v>
      </c>
      <c r="CJ433">
        <v>1.36368912270701</v>
      </c>
      <c r="CK433">
        <v>0.68620888241743205</v>
      </c>
      <c r="CL433">
        <v>0.61226139824096903</v>
      </c>
      <c r="CM433">
        <v>0.93947493121896597</v>
      </c>
      <c r="CN433">
        <v>1.2762925992837899</v>
      </c>
      <c r="CO433">
        <v>1.1597660628987201</v>
      </c>
      <c r="CP433">
        <v>1.60753436427573</v>
      </c>
      <c r="CQ433">
        <v>1.63724156412412</v>
      </c>
      <c r="CR433">
        <v>1.3021443604449601</v>
      </c>
      <c r="CS433">
        <v>2.35151073378516</v>
      </c>
      <c r="CT433">
        <v>0.890455968354951</v>
      </c>
      <c r="CU433">
        <v>1.40870606525675</v>
      </c>
    </row>
    <row r="434" spans="1:99" x14ac:dyDescent="0.25">
      <c r="A434" t="s">
        <v>145</v>
      </c>
      <c r="B434" t="s">
        <v>200</v>
      </c>
      <c r="C434" t="s">
        <v>192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8160</v>
      </c>
      <c r="N434">
        <v>3340.4500233223198</v>
      </c>
      <c r="O434">
        <v>13</v>
      </c>
      <c r="P434">
        <v>2</v>
      </c>
      <c r="Q434">
        <v>15</v>
      </c>
      <c r="R434">
        <v>9.9000000000000005E-2</v>
      </c>
      <c r="S434">
        <v>9.8000000000000004E-2</v>
      </c>
      <c r="T434">
        <v>0.112</v>
      </c>
      <c r="U434">
        <v>0.11700000000000001</v>
      </c>
      <c r="V434">
        <v>9.9000000000000005E-2</v>
      </c>
      <c r="W434">
        <v>9.0999999999999998E-2</v>
      </c>
      <c r="X434">
        <v>0.10100000000000001</v>
      </c>
      <c r="Y434">
        <v>9.7000000000000003E-2</v>
      </c>
      <c r="Z434">
        <v>9.2999999999999999E-2</v>
      </c>
      <c r="AA434">
        <v>8.5999999999999993E-2</v>
      </c>
      <c r="AB434">
        <v>8.3000000000000004E-2</v>
      </c>
      <c r="AC434">
        <v>9.0999999999999998E-2</v>
      </c>
      <c r="AD434">
        <v>7.8E-2</v>
      </c>
      <c r="AE434">
        <v>0.107</v>
      </c>
      <c r="AF434">
        <v>9.0999999999999998E-2</v>
      </c>
      <c r="BZ434">
        <v>1.8405084000000002E-2</v>
      </c>
      <c r="CA434">
        <v>61.481263277049258</v>
      </c>
      <c r="CB434">
        <v>1.940598E-2</v>
      </c>
      <c r="CC434">
        <v>1.8823840000000001E-2</v>
      </c>
      <c r="CD434">
        <v>2.8098560000000002E-2</v>
      </c>
      <c r="CE434">
        <v>3.203226E-2</v>
      </c>
      <c r="CF434">
        <v>1.940598E-2</v>
      </c>
      <c r="CG434">
        <v>1.507142E-2</v>
      </c>
      <c r="CH434">
        <v>2.0606019999999999E-2</v>
      </c>
      <c r="CI434">
        <v>1.8253459999999999E-2</v>
      </c>
      <c r="CJ434">
        <v>1.608714E-2</v>
      </c>
      <c r="CK434">
        <v>1.2721120000000001E-2</v>
      </c>
      <c r="CL434">
        <v>1.143574E-2</v>
      </c>
      <c r="CM434">
        <v>1.507142E-2</v>
      </c>
      <c r="CN434">
        <v>9.4910399999999992E-3</v>
      </c>
      <c r="CO434">
        <v>2.4500859999999999E-2</v>
      </c>
      <c r="CP434">
        <v>1.507142E-2</v>
      </c>
    </row>
    <row r="435" spans="1:99" x14ac:dyDescent="0.25">
      <c r="A435" t="s">
        <v>145</v>
      </c>
      <c r="B435" t="s">
        <v>163</v>
      </c>
      <c r="C435" t="s">
        <v>158</v>
      </c>
      <c r="D435">
        <v>-1</v>
      </c>
      <c r="E435">
        <v>103</v>
      </c>
      <c r="F435">
        <v>-1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13184</v>
      </c>
      <c r="N435">
        <v>5397.1192533678304</v>
      </c>
      <c r="O435">
        <v>-1</v>
      </c>
      <c r="P435">
        <v>-1</v>
      </c>
      <c r="Q435">
        <v>-1</v>
      </c>
      <c r="R435">
        <v>0.441</v>
      </c>
      <c r="S435">
        <v>0.71799999999999997</v>
      </c>
      <c r="T435">
        <v>0.32900000000000001</v>
      </c>
      <c r="U435">
        <v>0.39800000000000002</v>
      </c>
      <c r="V435">
        <v>0.86699999999999999</v>
      </c>
      <c r="W435">
        <v>0.59399999999999997</v>
      </c>
      <c r="X435">
        <v>0.78500000000000003</v>
      </c>
      <c r="Y435">
        <v>0.35299999999999998</v>
      </c>
      <c r="Z435">
        <v>0.57099999999999995</v>
      </c>
      <c r="AA435">
        <v>0.76300000000000001</v>
      </c>
      <c r="AB435">
        <v>0.57399999999999995</v>
      </c>
      <c r="AC435">
        <v>0.874</v>
      </c>
      <c r="AD435">
        <v>0.65</v>
      </c>
      <c r="AE435">
        <v>0.65300000000000002</v>
      </c>
      <c r="AF435">
        <v>0.78400000000000003</v>
      </c>
      <c r="AG435">
        <v>0.63300000000000001</v>
      </c>
      <c r="AH435">
        <v>0.38700000000000001</v>
      </c>
      <c r="AI435">
        <v>0.441</v>
      </c>
      <c r="AJ435">
        <v>0.747</v>
      </c>
      <c r="AK435">
        <v>0.65500000000000003</v>
      </c>
      <c r="AL435" t="s">
        <v>159</v>
      </c>
      <c r="AM435" t="s">
        <v>159</v>
      </c>
      <c r="AN435" t="s">
        <v>159</v>
      </c>
      <c r="AO435" t="s">
        <v>159</v>
      </c>
      <c r="AP435" t="s">
        <v>159</v>
      </c>
      <c r="AQ435" t="s">
        <v>159</v>
      </c>
      <c r="AR435" t="s">
        <v>159</v>
      </c>
      <c r="AS435" t="s">
        <v>159</v>
      </c>
      <c r="AT435" t="s">
        <v>159</v>
      </c>
      <c r="AU435" t="s">
        <v>159</v>
      </c>
      <c r="AV435" t="s">
        <v>159</v>
      </c>
      <c r="AW435" t="s">
        <v>159</v>
      </c>
      <c r="AX435" t="s">
        <v>159</v>
      </c>
      <c r="AY435" t="s">
        <v>159</v>
      </c>
      <c r="AZ435" t="s">
        <v>159</v>
      </c>
      <c r="BA435" t="s">
        <v>159</v>
      </c>
      <c r="BB435" t="s">
        <v>159</v>
      </c>
      <c r="BC435" t="s">
        <v>159</v>
      </c>
      <c r="BD435" t="s">
        <v>159</v>
      </c>
      <c r="BE435" t="s">
        <v>159</v>
      </c>
      <c r="BZ435">
        <v>2.071863136253822</v>
      </c>
      <c r="CA435">
        <v>11182.092423018559</v>
      </c>
      <c r="CB435">
        <v>0.58351437760426395</v>
      </c>
      <c r="CC435">
        <v>2.76267271266375</v>
      </c>
      <c r="CD435">
        <v>0.22916451780337599</v>
      </c>
      <c r="CE435">
        <v>0.42064861265217102</v>
      </c>
      <c r="CF435">
        <v>5.0416579986783701</v>
      </c>
      <c r="CG435">
        <v>1.5089373914222699</v>
      </c>
      <c r="CH435">
        <v>3.67220287264169</v>
      </c>
      <c r="CI435">
        <v>0.28687570566503701</v>
      </c>
      <c r="CJ435">
        <v>1.33033692716872</v>
      </c>
      <c r="CK435">
        <v>3.3538662332186702</v>
      </c>
      <c r="CL435">
        <v>1.35276200809809</v>
      </c>
      <c r="CM435">
        <v>5.1726599762637102</v>
      </c>
      <c r="CN435">
        <v>2.0113426771977498</v>
      </c>
      <c r="CO435">
        <v>2.0411057645255002</v>
      </c>
      <c r="CP435">
        <v>3.6573009681156399</v>
      </c>
      <c r="CQ435">
        <v>1.8482907751215101</v>
      </c>
      <c r="CR435">
        <v>0.38467187947161802</v>
      </c>
      <c r="CS435">
        <v>0.58351437760426395</v>
      </c>
      <c r="CT435">
        <v>3.13462202497703</v>
      </c>
      <c r="CU435">
        <v>2.0611149241829998</v>
      </c>
    </row>
    <row r="436" spans="1:99" x14ac:dyDescent="0.25">
      <c r="A436" t="s">
        <v>145</v>
      </c>
      <c r="B436" t="s">
        <v>201</v>
      </c>
      <c r="C436" t="s">
        <v>192</v>
      </c>
      <c r="D436">
        <v>-1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13600</v>
      </c>
      <c r="N436">
        <v>5567.4167055372</v>
      </c>
      <c r="O436">
        <v>10</v>
      </c>
      <c r="P436">
        <v>15</v>
      </c>
      <c r="Q436">
        <v>25</v>
      </c>
      <c r="R436">
        <v>0.15</v>
      </c>
      <c r="S436">
        <v>0.1</v>
      </c>
      <c r="T436">
        <v>0.13900000000000001</v>
      </c>
      <c r="U436">
        <v>0.13900000000000001</v>
      </c>
      <c r="V436">
        <v>0.14899999999999999</v>
      </c>
      <c r="W436">
        <v>0.129</v>
      </c>
      <c r="X436">
        <v>0.13400000000000001</v>
      </c>
      <c r="Y436">
        <v>0.13900000000000001</v>
      </c>
      <c r="Z436">
        <v>0.13400000000000001</v>
      </c>
      <c r="AA436">
        <v>0.14899999999999999</v>
      </c>
      <c r="AB436">
        <v>8.5999999999999993E-2</v>
      </c>
      <c r="AC436">
        <v>0.13700000000000001</v>
      </c>
      <c r="AD436">
        <v>0.127</v>
      </c>
      <c r="AE436">
        <v>0.1</v>
      </c>
      <c r="AF436">
        <v>0.13500000000000001</v>
      </c>
      <c r="AG436">
        <v>0.13600000000000001</v>
      </c>
      <c r="AH436">
        <v>0.13100000000000001</v>
      </c>
      <c r="AI436">
        <v>0.13900000000000001</v>
      </c>
      <c r="AJ436">
        <v>0.128</v>
      </c>
      <c r="AK436">
        <v>0.123</v>
      </c>
      <c r="BZ436">
        <v>7.0232931090000008E-3</v>
      </c>
      <c r="CA436">
        <v>39.1015993829309</v>
      </c>
      <c r="CB436">
        <v>1.0276875E-2</v>
      </c>
      <c r="CC436">
        <v>3.045E-3</v>
      </c>
      <c r="CD436">
        <v>8.1777098549999996E-3</v>
      </c>
      <c r="CE436">
        <v>8.1777098549999996E-3</v>
      </c>
      <c r="CF436">
        <v>1.0072704704999999E-2</v>
      </c>
      <c r="CG436">
        <v>6.5366680050000002E-3</v>
      </c>
      <c r="CH436">
        <v>7.3265866800000003E-3</v>
      </c>
      <c r="CI436">
        <v>8.1777098549999996E-3</v>
      </c>
      <c r="CJ436">
        <v>7.3265866800000003E-3</v>
      </c>
      <c r="CK436">
        <v>1.0072704704999999E-2</v>
      </c>
      <c r="CL436">
        <v>1.93679052E-3</v>
      </c>
      <c r="CM436">
        <v>7.8297698850000007E-3</v>
      </c>
      <c r="CN436">
        <v>6.237326235E-3</v>
      </c>
      <c r="CO436">
        <v>3.045E-3</v>
      </c>
      <c r="CP436">
        <v>7.4918418750000004E-3</v>
      </c>
      <c r="CQ436">
        <v>7.65956352E-3</v>
      </c>
      <c r="CR436">
        <v>6.8454370950000003E-3</v>
      </c>
      <c r="CS436">
        <v>8.1777098549999996E-3</v>
      </c>
      <c r="CT436">
        <v>6.3858278400000003E-3</v>
      </c>
      <c r="CU436">
        <v>5.6663400150000001E-3</v>
      </c>
    </row>
    <row r="437" spans="1:99" x14ac:dyDescent="0.25">
      <c r="A437" t="s">
        <v>145</v>
      </c>
      <c r="B437" t="s">
        <v>202</v>
      </c>
      <c r="C437" t="s">
        <v>192</v>
      </c>
      <c r="D437">
        <v>-1</v>
      </c>
      <c r="E437">
        <v>-1</v>
      </c>
      <c r="F437">
        <v>-1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31008</v>
      </c>
      <c r="N437">
        <v>12693.710088624801</v>
      </c>
      <c r="O437">
        <v>33</v>
      </c>
      <c r="P437">
        <v>24</v>
      </c>
      <c r="Q437">
        <v>57</v>
      </c>
      <c r="R437">
        <v>8.2000000000000003E-2</v>
      </c>
      <c r="S437">
        <v>8.8999999999999996E-2</v>
      </c>
      <c r="T437">
        <v>8.2000000000000003E-2</v>
      </c>
      <c r="U437">
        <v>0.106</v>
      </c>
      <c r="V437">
        <v>8.4000000000000005E-2</v>
      </c>
      <c r="W437">
        <v>8.6999999999999994E-2</v>
      </c>
      <c r="X437">
        <v>8.4000000000000005E-2</v>
      </c>
      <c r="Y437">
        <v>0.08</v>
      </c>
      <c r="Z437">
        <v>7.6999999999999999E-2</v>
      </c>
      <c r="AA437">
        <v>8.6999999999999994E-2</v>
      </c>
      <c r="AB437">
        <v>8.2000000000000003E-2</v>
      </c>
      <c r="AC437">
        <v>8.7999999999999995E-2</v>
      </c>
      <c r="AD437">
        <v>8.8999999999999996E-2</v>
      </c>
      <c r="AE437">
        <v>8.5000000000000006E-2</v>
      </c>
      <c r="AF437">
        <v>8.3000000000000004E-2</v>
      </c>
      <c r="AG437">
        <v>8.5000000000000006E-2</v>
      </c>
      <c r="AH437">
        <v>9.7000000000000003E-2</v>
      </c>
      <c r="AI437">
        <v>7.6999999999999999E-2</v>
      </c>
      <c r="AJ437">
        <v>9.4E-2</v>
      </c>
      <c r="AK437">
        <v>8.2000000000000003E-2</v>
      </c>
      <c r="BZ437">
        <v>1.2958672000000003E-3</v>
      </c>
      <c r="CA437">
        <v>16.449362550157975</v>
      </c>
      <c r="CB437">
        <v>1.102736E-3</v>
      </c>
      <c r="CC437">
        <v>1.4099379999999999E-3</v>
      </c>
      <c r="CD437">
        <v>1.102736E-3</v>
      </c>
      <c r="CE437">
        <v>2.3820320000000001E-3</v>
      </c>
      <c r="CF437">
        <v>1.185408E-3</v>
      </c>
      <c r="CG437">
        <v>1.3170059999999999E-3</v>
      </c>
      <c r="CH437">
        <v>1.185408E-3</v>
      </c>
      <c r="CI437">
        <v>1.024E-3</v>
      </c>
      <c r="CJ437">
        <v>9.1306600000000003E-4</v>
      </c>
      <c r="CK437">
        <v>1.3170059999999999E-3</v>
      </c>
      <c r="CL437">
        <v>1.102736E-3</v>
      </c>
      <c r="CM437">
        <v>1.362944E-3</v>
      </c>
      <c r="CN437">
        <v>1.4099379999999999E-3</v>
      </c>
      <c r="CO437">
        <v>1.22825E-3</v>
      </c>
      <c r="CP437">
        <v>1.1435740000000001E-3</v>
      </c>
      <c r="CQ437">
        <v>1.22825E-3</v>
      </c>
      <c r="CR437">
        <v>1.825346E-3</v>
      </c>
      <c r="CS437">
        <v>9.1306600000000003E-4</v>
      </c>
      <c r="CT437">
        <v>1.661168E-3</v>
      </c>
      <c r="CU437">
        <v>1.102736E-3</v>
      </c>
    </row>
    <row r="438" spans="1:99" x14ac:dyDescent="0.25">
      <c r="A438" t="s">
        <v>145</v>
      </c>
      <c r="B438" t="s">
        <v>204</v>
      </c>
      <c r="C438" t="s">
        <v>192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20672</v>
      </c>
      <c r="N438">
        <v>8462.4733924165394</v>
      </c>
      <c r="O438">
        <v>18</v>
      </c>
      <c r="P438">
        <v>20</v>
      </c>
      <c r="Q438">
        <v>38</v>
      </c>
      <c r="R438">
        <v>0.121</v>
      </c>
      <c r="S438">
        <v>0.127</v>
      </c>
      <c r="T438">
        <v>0.11600000000000001</v>
      </c>
      <c r="U438">
        <v>0.123</v>
      </c>
      <c r="V438">
        <v>0.11799999999999999</v>
      </c>
      <c r="W438">
        <v>0.11600000000000001</v>
      </c>
      <c r="X438">
        <v>0.13</v>
      </c>
      <c r="Y438">
        <v>0.12</v>
      </c>
      <c r="Z438">
        <v>0.13</v>
      </c>
      <c r="AA438">
        <v>0.129</v>
      </c>
      <c r="AB438">
        <v>0.109</v>
      </c>
      <c r="AC438">
        <v>0.109</v>
      </c>
      <c r="AD438">
        <v>0.127</v>
      </c>
      <c r="AE438">
        <v>0.11700000000000001</v>
      </c>
      <c r="AF438">
        <v>0.112</v>
      </c>
      <c r="AG438">
        <v>0.126</v>
      </c>
      <c r="AH438">
        <v>0.123</v>
      </c>
      <c r="AI438">
        <v>0.107</v>
      </c>
      <c r="AJ438">
        <v>0.11799999999999999</v>
      </c>
      <c r="AK438">
        <v>0.121</v>
      </c>
      <c r="BZ438">
        <v>3.4860184999999993E-3</v>
      </c>
      <c r="CA438">
        <v>29.50033880172181</v>
      </c>
      <c r="CB438">
        <v>3.5431220000000001E-3</v>
      </c>
      <c r="CC438">
        <v>4.0967659999999999E-3</v>
      </c>
      <c r="CD438">
        <v>3.121792E-3</v>
      </c>
      <c r="CE438">
        <v>3.721734E-3</v>
      </c>
      <c r="CF438">
        <v>3.286064E-3</v>
      </c>
      <c r="CG438">
        <v>3.121792E-3</v>
      </c>
      <c r="CH438">
        <v>4.3940000000000003E-3</v>
      </c>
      <c r="CI438">
        <v>3.4559999999999999E-3</v>
      </c>
      <c r="CJ438">
        <v>4.3940000000000003E-3</v>
      </c>
      <c r="CK438">
        <v>4.2933779999999996E-3</v>
      </c>
      <c r="CL438">
        <v>2.5900580000000001E-3</v>
      </c>
      <c r="CM438">
        <v>2.5900580000000001E-3</v>
      </c>
      <c r="CN438">
        <v>4.0967659999999999E-3</v>
      </c>
      <c r="CO438">
        <v>3.203226E-3</v>
      </c>
      <c r="CP438">
        <v>2.8098559999999999E-3</v>
      </c>
      <c r="CQ438">
        <v>4.0007519999999998E-3</v>
      </c>
      <c r="CR438">
        <v>3.721734E-3</v>
      </c>
      <c r="CS438">
        <v>2.4500860000000002E-3</v>
      </c>
      <c r="CT438">
        <v>3.286064E-3</v>
      </c>
      <c r="CU438">
        <v>3.5431220000000001E-3</v>
      </c>
    </row>
    <row r="439" spans="1:99" x14ac:dyDescent="0.25">
      <c r="A439" t="s">
        <v>145</v>
      </c>
      <c r="B439" t="s">
        <v>205</v>
      </c>
      <c r="C439" t="s">
        <v>192</v>
      </c>
      <c r="D439">
        <v>-1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3808</v>
      </c>
      <c r="N439">
        <v>1558.87667755042</v>
      </c>
      <c r="O439">
        <v>4</v>
      </c>
      <c r="P439">
        <v>3</v>
      </c>
      <c r="Q439">
        <v>7</v>
      </c>
      <c r="R439">
        <v>0.1</v>
      </c>
      <c r="S439">
        <v>0.112</v>
      </c>
      <c r="T439">
        <v>0.10199999999999999</v>
      </c>
      <c r="U439">
        <v>9.8000000000000004E-2</v>
      </c>
      <c r="V439">
        <v>0.112</v>
      </c>
      <c r="W439">
        <v>0.10199999999999999</v>
      </c>
      <c r="X439">
        <v>9.9000000000000005E-2</v>
      </c>
      <c r="BZ439">
        <v>2.2410751428571427E-3</v>
      </c>
      <c r="CA439">
        <v>3.4935597728379757</v>
      </c>
      <c r="CB439">
        <v>2E-3</v>
      </c>
      <c r="CC439">
        <v>2.8098559999999999E-3</v>
      </c>
      <c r="CD439">
        <v>2.1224159999999998E-3</v>
      </c>
      <c r="CE439">
        <v>1.882384E-3</v>
      </c>
      <c r="CF439">
        <v>2.8098559999999999E-3</v>
      </c>
      <c r="CG439">
        <v>2.1224159999999998E-3</v>
      </c>
      <c r="CH439">
        <v>1.940598E-3</v>
      </c>
    </row>
    <row r="440" spans="1:99" x14ac:dyDescent="0.25">
      <c r="A440" t="s">
        <v>145</v>
      </c>
      <c r="B440" t="s">
        <v>161</v>
      </c>
      <c r="C440" t="s">
        <v>154</v>
      </c>
      <c r="D440">
        <v>-1</v>
      </c>
      <c r="E440">
        <v>11</v>
      </c>
      <c r="F440">
        <v>5</v>
      </c>
      <c r="G440">
        <v>-1</v>
      </c>
      <c r="H440">
        <v>-1</v>
      </c>
      <c r="I440">
        <v>4</v>
      </c>
      <c r="J440">
        <v>1</v>
      </c>
      <c r="K440">
        <v>-1</v>
      </c>
      <c r="L440">
        <v>-1</v>
      </c>
      <c r="M440">
        <v>896</v>
      </c>
      <c r="N440">
        <v>366.79451236480401</v>
      </c>
      <c r="O440">
        <v>-1</v>
      </c>
      <c r="P440">
        <v>-1</v>
      </c>
      <c r="Q440">
        <v>-1</v>
      </c>
      <c r="R440">
        <v>0.94499999999999995</v>
      </c>
      <c r="S440">
        <v>0.91200000000000003</v>
      </c>
      <c r="T440">
        <v>0.89100000000000001</v>
      </c>
      <c r="U440">
        <v>0.91400000000000003</v>
      </c>
      <c r="V440">
        <v>0.90700000000000003</v>
      </c>
      <c r="W440">
        <v>0.84599999999999997</v>
      </c>
      <c r="X440">
        <v>0.86799999999999999</v>
      </c>
      <c r="Y440">
        <v>0.93100000000000005</v>
      </c>
      <c r="Z440">
        <v>0.95199999999999996</v>
      </c>
      <c r="AA440">
        <v>0.96299999999999997</v>
      </c>
      <c r="AB440">
        <v>0.92800000000000005</v>
      </c>
      <c r="AC440">
        <v>0.96699999999999997</v>
      </c>
      <c r="AD440">
        <v>0.91800000000000004</v>
      </c>
      <c r="AE440">
        <v>0.91200000000000003</v>
      </c>
      <c r="AF440">
        <v>0.94899999999999995</v>
      </c>
      <c r="AG440">
        <v>0.94799999999999995</v>
      </c>
      <c r="AH440">
        <v>1.006</v>
      </c>
      <c r="AI440">
        <v>0.93700000000000006</v>
      </c>
      <c r="AJ440">
        <v>1.0269999999999999</v>
      </c>
      <c r="AK440">
        <v>0.97899999999999998</v>
      </c>
      <c r="AL440" t="s">
        <v>155</v>
      </c>
      <c r="AM440" t="s">
        <v>156</v>
      </c>
      <c r="AN440" t="s">
        <v>156</v>
      </c>
      <c r="AO440" t="s">
        <v>156</v>
      </c>
      <c r="AP440" t="s">
        <v>155</v>
      </c>
      <c r="AQ440" t="s">
        <v>156</v>
      </c>
      <c r="AR440" t="s">
        <v>155</v>
      </c>
      <c r="AS440" t="s">
        <v>155</v>
      </c>
      <c r="AT440" t="s">
        <v>155</v>
      </c>
      <c r="AU440" t="s">
        <v>155</v>
      </c>
      <c r="AV440" t="s">
        <v>155</v>
      </c>
      <c r="AW440" t="s">
        <v>155</v>
      </c>
      <c r="AX440" t="s">
        <v>155</v>
      </c>
      <c r="AY440" t="s">
        <v>155</v>
      </c>
      <c r="AZ440" t="s">
        <v>156</v>
      </c>
      <c r="BA440" t="s">
        <v>155</v>
      </c>
      <c r="BB440" t="s">
        <v>155</v>
      </c>
      <c r="BC440" t="s">
        <v>156</v>
      </c>
      <c r="BD440" t="s">
        <v>155</v>
      </c>
      <c r="BE440" t="s">
        <v>155</v>
      </c>
      <c r="BZ440">
        <v>4.1373036138108166</v>
      </c>
      <c r="CA440">
        <v>1517.5402615328799</v>
      </c>
      <c r="CB440">
        <v>4.2354212405745804</v>
      </c>
      <c r="CC440">
        <v>3.86291238060014</v>
      </c>
      <c r="CD440">
        <v>3.6367335216111498</v>
      </c>
      <c r="CE440">
        <v>3.88489131352841</v>
      </c>
      <c r="CF440">
        <v>3.80829953499078</v>
      </c>
      <c r="CG440">
        <v>3.1799293158228501</v>
      </c>
      <c r="CH440">
        <v>3.3985550921774901</v>
      </c>
      <c r="CI440">
        <v>4.0748150354289097</v>
      </c>
      <c r="CJ440">
        <v>4.3171577934322798</v>
      </c>
      <c r="CK440">
        <v>4.4475445794530604</v>
      </c>
      <c r="CL440">
        <v>4.0408942454080998</v>
      </c>
      <c r="CM440">
        <v>4.4955496045989296</v>
      </c>
      <c r="CN440">
        <v>3.9290790859357299</v>
      </c>
      <c r="CO440">
        <v>3.86291238060014</v>
      </c>
      <c r="CP440">
        <v>4.2820103867250596</v>
      </c>
      <c r="CQ440">
        <v>4.2703337606681098</v>
      </c>
      <c r="CR440">
        <v>4.98031710964508</v>
      </c>
      <c r="CS440">
        <v>4.1431796664930802</v>
      </c>
      <c r="CT440">
        <v>5.2540678289887701</v>
      </c>
      <c r="CU440">
        <v>4.6414683995336796</v>
      </c>
    </row>
    <row r="441" spans="1:99" x14ac:dyDescent="0.25">
      <c r="A441" t="s">
        <v>145</v>
      </c>
      <c r="B441" t="s">
        <v>165</v>
      </c>
      <c r="C441" t="s">
        <v>158</v>
      </c>
      <c r="D441">
        <v>-1</v>
      </c>
      <c r="E441">
        <v>6</v>
      </c>
      <c r="F441">
        <v>-1</v>
      </c>
      <c r="G441">
        <v>-1</v>
      </c>
      <c r="H441">
        <v>-1</v>
      </c>
      <c r="I441">
        <v>9</v>
      </c>
      <c r="J441">
        <v>-1</v>
      </c>
      <c r="K441">
        <v>24</v>
      </c>
      <c r="L441">
        <v>-1</v>
      </c>
      <c r="M441">
        <v>713.142857142857</v>
      </c>
      <c r="N441">
        <v>291.93848943321098</v>
      </c>
      <c r="O441">
        <v>-1</v>
      </c>
      <c r="P441">
        <v>-1</v>
      </c>
      <c r="Q441">
        <v>-1</v>
      </c>
      <c r="R441">
        <v>1.5609999999999999</v>
      </c>
      <c r="S441">
        <v>2.4380000000000002</v>
      </c>
      <c r="T441">
        <v>0.89600000000000002</v>
      </c>
      <c r="U441">
        <v>1.4239999999999999</v>
      </c>
      <c r="V441">
        <v>2.5619999999999998</v>
      </c>
      <c r="W441">
        <v>2.9689999999999999</v>
      </c>
      <c r="X441">
        <v>2.4790000000000001</v>
      </c>
      <c r="Y441">
        <v>3.4049999999999998</v>
      </c>
      <c r="Z441">
        <v>3.9079999999999999</v>
      </c>
      <c r="AA441">
        <v>1.369</v>
      </c>
      <c r="AB441">
        <v>2.9750000000000001</v>
      </c>
      <c r="AC441">
        <v>2.6469999999999998</v>
      </c>
      <c r="AD441">
        <v>2.649</v>
      </c>
      <c r="AE441">
        <v>2.391</v>
      </c>
      <c r="AF441">
        <v>0.97499999999999998</v>
      </c>
      <c r="AG441">
        <v>2.5369999999999999</v>
      </c>
      <c r="AH441">
        <v>1.804</v>
      </c>
      <c r="AI441">
        <v>1.294</v>
      </c>
      <c r="AJ441">
        <v>2.0739999999999998</v>
      </c>
      <c r="AK441">
        <v>0.82299999999999995</v>
      </c>
      <c r="AL441" t="s">
        <v>159</v>
      </c>
      <c r="AM441" t="s">
        <v>159</v>
      </c>
      <c r="AN441" t="s">
        <v>159</v>
      </c>
      <c r="AO441" t="s">
        <v>159</v>
      </c>
      <c r="AP441" t="s">
        <v>159</v>
      </c>
      <c r="AQ441" t="s">
        <v>159</v>
      </c>
      <c r="AR441" t="s">
        <v>159</v>
      </c>
      <c r="AS441" t="s">
        <v>159</v>
      </c>
      <c r="AT441" t="s">
        <v>159</v>
      </c>
      <c r="AU441" t="s">
        <v>159</v>
      </c>
      <c r="AV441" t="s">
        <v>159</v>
      </c>
      <c r="AW441" t="s">
        <v>159</v>
      </c>
      <c r="AX441" t="s">
        <v>159</v>
      </c>
      <c r="AY441" t="s">
        <v>159</v>
      </c>
      <c r="AZ441" t="s">
        <v>159</v>
      </c>
      <c r="BA441" t="s">
        <v>159</v>
      </c>
      <c r="BB441" t="s">
        <v>159</v>
      </c>
      <c r="BC441" t="s">
        <v>159</v>
      </c>
      <c r="BD441" t="s">
        <v>159</v>
      </c>
      <c r="BE441" t="s">
        <v>159</v>
      </c>
      <c r="BZ441">
        <v>4.5921659398622641</v>
      </c>
      <c r="CA441">
        <v>1340.6299877100309</v>
      </c>
      <c r="CB441">
        <v>1.44342986604171</v>
      </c>
      <c r="CC441">
        <v>4.7466796042560304</v>
      </c>
      <c r="CD441">
        <v>0.32784783620804703</v>
      </c>
      <c r="CE441">
        <v>1.12948796383744</v>
      </c>
      <c r="CF441">
        <v>5.4189631871946897</v>
      </c>
      <c r="CG441">
        <v>8.0330258305165803</v>
      </c>
      <c r="CH441">
        <v>4.9628170128305102</v>
      </c>
      <c r="CI441">
        <v>11.581441991898901</v>
      </c>
      <c r="CJ441">
        <v>16.7312580640546</v>
      </c>
      <c r="CK441">
        <v>1.0167335214961399</v>
      </c>
      <c r="CL441">
        <v>8.0764432527065608</v>
      </c>
      <c r="CM441">
        <v>5.9123884395445003</v>
      </c>
      <c r="CN441">
        <v>5.9243234892581897</v>
      </c>
      <c r="CO441">
        <v>4.5062720184037701</v>
      </c>
      <c r="CP441">
        <v>0.41082064470158802</v>
      </c>
      <c r="CQ441">
        <v>5.2789261124989304</v>
      </c>
      <c r="CR441">
        <v>2.1240340743314698</v>
      </c>
      <c r="CS441">
        <v>0.87473087053278398</v>
      </c>
      <c r="CT441">
        <v>3.0824021849778198</v>
      </c>
      <c r="CU441">
        <v>0.26129283195498598</v>
      </c>
    </row>
    <row r="442" spans="1:99" x14ac:dyDescent="0.25">
      <c r="A442" t="s">
        <v>145</v>
      </c>
      <c r="B442" t="s">
        <v>212</v>
      </c>
      <c r="C442" t="s">
        <v>192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1088</v>
      </c>
      <c r="N442">
        <v>445.39333644297602</v>
      </c>
      <c r="O442">
        <v>0</v>
      </c>
      <c r="P442">
        <v>2</v>
      </c>
      <c r="Q442">
        <v>2</v>
      </c>
      <c r="R442">
        <v>0.33</v>
      </c>
      <c r="S442">
        <v>0.32200000000000001</v>
      </c>
      <c r="BZ442">
        <v>0.34661624000000002</v>
      </c>
      <c r="CA442">
        <v>154.38056359891934</v>
      </c>
      <c r="CB442">
        <v>0.35937000000000002</v>
      </c>
      <c r="CC442">
        <v>0.33386248000000002</v>
      </c>
    </row>
    <row r="443" spans="1:99" x14ac:dyDescent="0.25">
      <c r="A443" t="s">
        <v>145</v>
      </c>
      <c r="B443" t="s">
        <v>206</v>
      </c>
      <c r="C443" t="s">
        <v>192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3264</v>
      </c>
      <c r="N443">
        <v>1336.1800093289301</v>
      </c>
      <c r="O443">
        <v>5</v>
      </c>
      <c r="P443">
        <v>1</v>
      </c>
      <c r="Q443">
        <v>6</v>
      </c>
      <c r="R443">
        <v>0.19800000000000001</v>
      </c>
      <c r="S443">
        <v>0.13300000000000001</v>
      </c>
      <c r="T443">
        <v>0.20899999999999999</v>
      </c>
      <c r="U443">
        <v>0.185</v>
      </c>
      <c r="V443">
        <v>0.23200000000000001</v>
      </c>
      <c r="W443">
        <v>0.128</v>
      </c>
      <c r="BZ443">
        <v>6.6933838333333343E-2</v>
      </c>
      <c r="CA443">
        <v>89.435656728654436</v>
      </c>
      <c r="CB443">
        <v>7.7623919999999999E-2</v>
      </c>
      <c r="CC443">
        <v>2.3526370000000001E-2</v>
      </c>
      <c r="CD443">
        <v>9.1293289999999999E-2</v>
      </c>
      <c r="CE443">
        <v>6.3316250000000004E-2</v>
      </c>
      <c r="CF443">
        <v>0.12487168</v>
      </c>
      <c r="CG443">
        <v>2.097152E-2</v>
      </c>
    </row>
    <row r="444" spans="1:99" x14ac:dyDescent="0.25">
      <c r="A444" t="s">
        <v>145</v>
      </c>
      <c r="B444" t="s">
        <v>207</v>
      </c>
      <c r="C444" t="s">
        <v>192</v>
      </c>
      <c r="D444">
        <v>-1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17408</v>
      </c>
      <c r="N444">
        <v>7126.29338308761</v>
      </c>
      <c r="O444">
        <v>14</v>
      </c>
      <c r="P444">
        <v>18</v>
      </c>
      <c r="Q444">
        <v>32</v>
      </c>
      <c r="R444">
        <v>9.7000000000000003E-2</v>
      </c>
      <c r="S444">
        <v>0.111</v>
      </c>
      <c r="T444">
        <v>0.105</v>
      </c>
      <c r="U444">
        <v>0.11</v>
      </c>
      <c r="V444">
        <v>0.12</v>
      </c>
      <c r="W444">
        <v>0.122</v>
      </c>
      <c r="X444">
        <v>0.106</v>
      </c>
      <c r="Y444">
        <v>0.11899999999999999</v>
      </c>
      <c r="Z444">
        <v>0.11600000000000001</v>
      </c>
      <c r="AA444">
        <v>0.123</v>
      </c>
      <c r="AB444">
        <v>0.13300000000000001</v>
      </c>
      <c r="AC444">
        <v>0.125</v>
      </c>
      <c r="AD444">
        <v>0.129</v>
      </c>
      <c r="AE444">
        <v>0.107</v>
      </c>
      <c r="AF444">
        <v>0.125</v>
      </c>
      <c r="AG444">
        <v>0.129</v>
      </c>
      <c r="AH444">
        <v>0.127</v>
      </c>
      <c r="AI444">
        <v>0.13400000000000001</v>
      </c>
      <c r="AJ444">
        <v>0.12</v>
      </c>
      <c r="AK444">
        <v>0.13700000000000001</v>
      </c>
      <c r="BZ444">
        <v>1.7570931499999998E-2</v>
      </c>
      <c r="CA444">
        <v>125.21561288313563</v>
      </c>
      <c r="CB444">
        <v>9.1267299999999996E-3</v>
      </c>
      <c r="CC444">
        <v>1.3676310000000001E-2</v>
      </c>
      <c r="CD444">
        <v>1.157625E-2</v>
      </c>
      <c r="CE444">
        <v>1.3310000000000001E-2</v>
      </c>
      <c r="CF444">
        <v>1.728E-2</v>
      </c>
      <c r="CG444">
        <v>1.8158480000000001E-2</v>
      </c>
      <c r="CH444">
        <v>1.1910159999999999E-2</v>
      </c>
      <c r="CI444">
        <v>1.685159E-2</v>
      </c>
      <c r="CJ444">
        <v>1.560896E-2</v>
      </c>
      <c r="CK444">
        <v>1.8608670000000001E-2</v>
      </c>
      <c r="CL444">
        <v>2.3526370000000001E-2</v>
      </c>
      <c r="CM444">
        <v>1.953125E-2</v>
      </c>
      <c r="CN444">
        <v>2.1466889999999999E-2</v>
      </c>
      <c r="CO444">
        <v>1.225043E-2</v>
      </c>
      <c r="CP444">
        <v>1.953125E-2</v>
      </c>
      <c r="CQ444">
        <v>2.1466889999999999E-2</v>
      </c>
      <c r="CR444">
        <v>2.0483830000000001E-2</v>
      </c>
      <c r="CS444">
        <v>2.4061039999999999E-2</v>
      </c>
      <c r="CT444">
        <v>1.728E-2</v>
      </c>
      <c r="CU444">
        <v>2.5713529999999998E-2</v>
      </c>
    </row>
    <row r="445" spans="1:99" x14ac:dyDescent="0.25">
      <c r="A445" t="s">
        <v>145</v>
      </c>
      <c r="B445" t="s">
        <v>209</v>
      </c>
      <c r="C445" t="s">
        <v>192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10880</v>
      </c>
      <c r="N445">
        <v>4453.9333644297603</v>
      </c>
      <c r="O445">
        <v>11</v>
      </c>
      <c r="P445">
        <v>9</v>
      </c>
      <c r="Q445">
        <v>20</v>
      </c>
      <c r="R445">
        <v>9.9000000000000005E-2</v>
      </c>
      <c r="S445">
        <v>8.3000000000000004E-2</v>
      </c>
      <c r="T445">
        <v>8.1000000000000003E-2</v>
      </c>
      <c r="U445">
        <v>0.11600000000000001</v>
      </c>
      <c r="V445">
        <v>0.10299999999999999</v>
      </c>
      <c r="W445">
        <v>9.1999999999999998E-2</v>
      </c>
      <c r="X445">
        <v>8.8999999999999996E-2</v>
      </c>
      <c r="Y445">
        <v>0.12</v>
      </c>
      <c r="Z445">
        <v>0.124</v>
      </c>
      <c r="AA445">
        <v>0.112</v>
      </c>
      <c r="AB445">
        <v>0.11700000000000001</v>
      </c>
      <c r="AC445">
        <v>8.6999999999999994E-2</v>
      </c>
      <c r="AD445">
        <v>0.08</v>
      </c>
      <c r="AE445">
        <v>9.4E-2</v>
      </c>
      <c r="AF445">
        <v>8.8999999999999996E-2</v>
      </c>
      <c r="AG445">
        <v>9.0999999999999998E-2</v>
      </c>
      <c r="AH445">
        <v>0.105</v>
      </c>
      <c r="AI445">
        <v>0.108</v>
      </c>
      <c r="AJ445">
        <v>9.1999999999999998E-2</v>
      </c>
      <c r="AK445">
        <v>0.10299999999999999</v>
      </c>
      <c r="BZ445">
        <v>3.1724540539999999E-2</v>
      </c>
      <c r="CA445">
        <v>141.29898958231053</v>
      </c>
      <c r="CB445">
        <v>2.9885209199999999E-2</v>
      </c>
      <c r="CC445">
        <v>1.76110396E-2</v>
      </c>
      <c r="CD445">
        <v>1.6368382800000001E-2</v>
      </c>
      <c r="CE445">
        <v>4.8075596800000002E-2</v>
      </c>
      <c r="CF445">
        <v>3.3655991599999997E-2</v>
      </c>
      <c r="CG445">
        <v>2.3983590400000001E-2</v>
      </c>
      <c r="CH445">
        <v>2.1713045199999999E-2</v>
      </c>
      <c r="CI445">
        <v>5.3222400000000003E-2</v>
      </c>
      <c r="CJ445">
        <v>5.8724019199999998E-2</v>
      </c>
      <c r="CK445">
        <v>4.32717824E-2</v>
      </c>
      <c r="CL445">
        <v>4.9329680399999999E-2</v>
      </c>
      <c r="CM445">
        <v>2.0281892400000001E-2</v>
      </c>
      <c r="CN445">
        <v>1.5769600000000002E-2</v>
      </c>
      <c r="CO445">
        <v>2.55819872E-2</v>
      </c>
      <c r="CP445">
        <v>2.1713045199999999E-2</v>
      </c>
      <c r="CQ445">
        <v>2.3209986799999999E-2</v>
      </c>
      <c r="CR445">
        <v>3.5654850000000002E-2</v>
      </c>
      <c r="CS445">
        <v>3.8799129600000003E-2</v>
      </c>
      <c r="CT445">
        <v>2.3983590400000001E-2</v>
      </c>
      <c r="CU445">
        <v>3.3655991599999997E-2</v>
      </c>
    </row>
    <row r="446" spans="1:99" x14ac:dyDescent="0.25">
      <c r="A446" t="s">
        <v>145</v>
      </c>
      <c r="B446" t="s">
        <v>213</v>
      </c>
      <c r="C446" t="s">
        <v>192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3264</v>
      </c>
      <c r="N446">
        <v>1336.1800093289301</v>
      </c>
      <c r="O446">
        <v>6</v>
      </c>
      <c r="P446">
        <v>0</v>
      </c>
      <c r="Q446">
        <v>6</v>
      </c>
      <c r="R446">
        <v>0.11899999999999999</v>
      </c>
      <c r="S446">
        <v>0.105</v>
      </c>
      <c r="T446">
        <v>9.9000000000000005E-2</v>
      </c>
      <c r="U446">
        <v>0.123</v>
      </c>
      <c r="V446">
        <v>0.127</v>
      </c>
      <c r="W446">
        <v>0.109</v>
      </c>
      <c r="BZ446">
        <v>4.6289124933333335E-2</v>
      </c>
      <c r="CA446">
        <v>61.850603385249343</v>
      </c>
      <c r="CB446">
        <v>5.1902897199999999E-2</v>
      </c>
      <c r="CC446">
        <v>3.5654850000000002E-2</v>
      </c>
      <c r="CD446">
        <v>2.9885209199999999E-2</v>
      </c>
      <c r="CE446">
        <v>5.7314703600000003E-2</v>
      </c>
      <c r="CF446">
        <v>6.3090196400000007E-2</v>
      </c>
      <c r="CG446">
        <v>3.9886893200000002E-2</v>
      </c>
    </row>
    <row r="447" spans="1:99" x14ac:dyDescent="0.25">
      <c r="A447" t="s">
        <v>145</v>
      </c>
      <c r="B447" t="s">
        <v>153</v>
      </c>
      <c r="C447" t="s">
        <v>154</v>
      </c>
      <c r="D447">
        <v>-1</v>
      </c>
      <c r="E447">
        <v>4</v>
      </c>
      <c r="F447">
        <v>2</v>
      </c>
      <c r="G447">
        <v>-1</v>
      </c>
      <c r="H447">
        <v>-1</v>
      </c>
      <c r="I447">
        <v>2</v>
      </c>
      <c r="J447">
        <v>4</v>
      </c>
      <c r="K447">
        <v>-1</v>
      </c>
      <c r="L447">
        <v>-1</v>
      </c>
      <c r="M447">
        <v>512</v>
      </c>
      <c r="N447">
        <v>209.59686420845901</v>
      </c>
      <c r="O447">
        <v>-1</v>
      </c>
      <c r="P447">
        <v>-1</v>
      </c>
      <c r="Q447">
        <v>-1</v>
      </c>
      <c r="R447">
        <v>0.61</v>
      </c>
      <c r="S447">
        <v>1.288</v>
      </c>
      <c r="T447">
        <v>1.107</v>
      </c>
      <c r="U447">
        <v>1.1299999999999999</v>
      </c>
      <c r="V447">
        <v>0.93</v>
      </c>
      <c r="W447">
        <v>0.96099999999999997</v>
      </c>
      <c r="X447">
        <v>1.1359999999999999</v>
      </c>
      <c r="Y447">
        <v>1.1639999999999999</v>
      </c>
      <c r="Z447">
        <v>1.357</v>
      </c>
      <c r="AA447">
        <v>1.3759999999999999</v>
      </c>
      <c r="AB447">
        <v>1.131</v>
      </c>
      <c r="AC447">
        <v>1.0609999999999999</v>
      </c>
      <c r="AL447" t="s">
        <v>159</v>
      </c>
      <c r="AM447" t="s">
        <v>155</v>
      </c>
      <c r="AN447" t="s">
        <v>156</v>
      </c>
      <c r="AO447" t="s">
        <v>156</v>
      </c>
      <c r="AP447" t="s">
        <v>155</v>
      </c>
      <c r="AQ447" t="s">
        <v>155</v>
      </c>
      <c r="AR447" t="s">
        <v>156</v>
      </c>
      <c r="AS447" t="s">
        <v>156</v>
      </c>
      <c r="AT447" t="s">
        <v>155</v>
      </c>
      <c r="AU447" t="s">
        <v>155</v>
      </c>
      <c r="AV447" t="s">
        <v>156</v>
      </c>
      <c r="AW447" t="s">
        <v>156</v>
      </c>
      <c r="BZ447">
        <v>6.7481623775794572</v>
      </c>
      <c r="CA447">
        <v>1414.3936735101533</v>
      </c>
      <c r="CB447">
        <v>1.36311500632109</v>
      </c>
      <c r="CC447">
        <v>9.4451815794461194</v>
      </c>
      <c r="CD447">
        <v>6.3807328858626402</v>
      </c>
      <c r="CE447">
        <v>6.7297881772509696</v>
      </c>
      <c r="CF447">
        <v>4.0634887617831703</v>
      </c>
      <c r="CG447">
        <v>4.4236606145742297</v>
      </c>
      <c r="CH447">
        <v>6.8227287347915198</v>
      </c>
      <c r="CI447">
        <v>7.26685417512968</v>
      </c>
      <c r="CJ447">
        <v>10.8120994491725</v>
      </c>
      <c r="CK447">
        <v>11.2085638471836</v>
      </c>
      <c r="CL447">
        <v>6.7452239439047297</v>
      </c>
      <c r="CM447">
        <v>5.7165113555332301</v>
      </c>
    </row>
    <row r="448" spans="1:99" x14ac:dyDescent="0.25">
      <c r="A448" t="s">
        <v>145</v>
      </c>
      <c r="B448" t="s">
        <v>210</v>
      </c>
      <c r="C448" t="s">
        <v>192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16864</v>
      </c>
      <c r="N448">
        <v>6903.5967148661302</v>
      </c>
      <c r="O448">
        <v>18</v>
      </c>
      <c r="P448">
        <v>13</v>
      </c>
      <c r="Q448">
        <v>31</v>
      </c>
      <c r="R448">
        <v>0.13200000000000001</v>
      </c>
      <c r="S448">
        <v>8.4000000000000005E-2</v>
      </c>
      <c r="T448">
        <v>0.14000000000000001</v>
      </c>
      <c r="U448">
        <v>0.17299999999999999</v>
      </c>
      <c r="V448">
        <v>0.1</v>
      </c>
      <c r="W448">
        <v>0.153</v>
      </c>
      <c r="X448">
        <v>9.1999999999999998E-2</v>
      </c>
      <c r="Y448">
        <v>9.8000000000000004E-2</v>
      </c>
      <c r="Z448">
        <v>0.154</v>
      </c>
      <c r="AA448">
        <v>0.14000000000000001</v>
      </c>
      <c r="AB448">
        <v>0.16200000000000001</v>
      </c>
      <c r="AC448">
        <v>0.11700000000000001</v>
      </c>
      <c r="AD448">
        <v>0.13500000000000001</v>
      </c>
      <c r="AE448">
        <v>0.16300000000000001</v>
      </c>
      <c r="AF448">
        <v>0.105</v>
      </c>
      <c r="AG448">
        <v>0.13700000000000001</v>
      </c>
      <c r="AH448">
        <v>0.16700000000000001</v>
      </c>
      <c r="AI448">
        <v>0.16500000000000001</v>
      </c>
      <c r="AJ448">
        <v>0.13200000000000001</v>
      </c>
      <c r="AK448">
        <v>0.14199999999999999</v>
      </c>
      <c r="BZ448">
        <v>2.7099097499999995E-2</v>
      </c>
      <c r="CA448">
        <v>187.08124047683694</v>
      </c>
      <c r="CB448">
        <v>2.2999680000000002E-2</v>
      </c>
      <c r="CC448">
        <v>5.9270399999999997E-3</v>
      </c>
      <c r="CD448">
        <v>2.7439999999999999E-2</v>
      </c>
      <c r="CE448">
        <v>5.1777169999999997E-2</v>
      </c>
      <c r="CF448">
        <v>0.01</v>
      </c>
      <c r="CG448">
        <v>3.5815769999999997E-2</v>
      </c>
      <c r="CH448">
        <v>7.7868800000000004E-3</v>
      </c>
      <c r="CI448">
        <v>9.4119200000000007E-3</v>
      </c>
      <c r="CJ448">
        <v>3.6522640000000002E-2</v>
      </c>
      <c r="CK448">
        <v>2.7439999999999999E-2</v>
      </c>
      <c r="CL448">
        <v>4.2515280000000003E-2</v>
      </c>
      <c r="CM448">
        <v>1.601613E-2</v>
      </c>
      <c r="CN448">
        <v>2.4603750000000001E-2</v>
      </c>
      <c r="CO448">
        <v>4.3307470000000001E-2</v>
      </c>
      <c r="CP448">
        <v>1.157625E-2</v>
      </c>
      <c r="CQ448">
        <v>2.5713529999999998E-2</v>
      </c>
      <c r="CR448">
        <v>4.6574629999999999E-2</v>
      </c>
      <c r="CS448">
        <v>4.4921250000000003E-2</v>
      </c>
      <c r="CT448">
        <v>2.2999680000000002E-2</v>
      </c>
      <c r="CU448">
        <v>2.8632879999999999E-2</v>
      </c>
    </row>
    <row r="449" spans="1:99" x14ac:dyDescent="0.25">
      <c r="A449" t="s">
        <v>145</v>
      </c>
      <c r="B449" t="s">
        <v>215</v>
      </c>
      <c r="C449" t="s">
        <v>192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12512</v>
      </c>
      <c r="N449">
        <v>5122.0233690942196</v>
      </c>
      <c r="O449">
        <v>10</v>
      </c>
      <c r="P449">
        <v>13</v>
      </c>
      <c r="Q449">
        <v>23</v>
      </c>
      <c r="R449">
        <v>0.32400000000000001</v>
      </c>
      <c r="S449">
        <v>0.25900000000000001</v>
      </c>
      <c r="T449">
        <v>0.191</v>
      </c>
      <c r="U449">
        <v>0.34899999999999998</v>
      </c>
      <c r="V449">
        <v>0.27</v>
      </c>
      <c r="W449">
        <v>0.32500000000000001</v>
      </c>
      <c r="X449">
        <v>0.22900000000000001</v>
      </c>
      <c r="Y449">
        <v>0.33500000000000002</v>
      </c>
      <c r="Z449">
        <v>0.28899999999999998</v>
      </c>
      <c r="AA449">
        <v>0.38</v>
      </c>
      <c r="AB449">
        <v>0.311</v>
      </c>
      <c r="AC449">
        <v>0.38900000000000001</v>
      </c>
      <c r="AD449">
        <v>0.35699999999999998</v>
      </c>
      <c r="AE449">
        <v>0.24399999999999999</v>
      </c>
      <c r="AF449">
        <v>0.224</v>
      </c>
      <c r="AG449">
        <v>0.27400000000000002</v>
      </c>
      <c r="AH449">
        <v>0.318</v>
      </c>
      <c r="AI449">
        <v>0.25700000000000001</v>
      </c>
      <c r="AJ449">
        <v>0.34100000000000003</v>
      </c>
      <c r="AK449">
        <v>0.216</v>
      </c>
      <c r="BF449">
        <v>7.9000000000000001E-2</v>
      </c>
      <c r="BG449">
        <v>7.0999999999999994E-2</v>
      </c>
      <c r="BH449">
        <v>7.2999999999999995E-2</v>
      </c>
      <c r="BI449">
        <v>8.5000000000000006E-2</v>
      </c>
      <c r="BJ449">
        <v>7.2999999999999995E-2</v>
      </c>
      <c r="BK449">
        <v>7.8E-2</v>
      </c>
      <c r="BL449">
        <v>9.0999999999999998E-2</v>
      </c>
      <c r="BM449">
        <v>8.2000000000000003E-2</v>
      </c>
      <c r="BN449">
        <v>8.5000000000000006E-2</v>
      </c>
      <c r="BO449">
        <v>9.0999999999999998E-2</v>
      </c>
      <c r="BP449">
        <v>7.6999999999999999E-2</v>
      </c>
      <c r="BQ449">
        <v>6.6000000000000003E-2</v>
      </c>
      <c r="BR449">
        <v>7.6999999999999999E-2</v>
      </c>
      <c r="BS449">
        <v>6.4000000000000001E-2</v>
      </c>
      <c r="BT449">
        <v>0.11899999999999999</v>
      </c>
      <c r="BU449">
        <v>0.06</v>
      </c>
      <c r="BV449">
        <v>7.0999999999999994E-2</v>
      </c>
      <c r="BW449">
        <v>6.3E-2</v>
      </c>
      <c r="BX449">
        <v>8.2000000000000003E-2</v>
      </c>
      <c r="BY449">
        <v>7.6999999999999999E-2</v>
      </c>
      <c r="BZ449">
        <v>9.5930933082399986E-2</v>
      </c>
      <c r="CA449">
        <v>491.36048106706647</v>
      </c>
      <c r="CB449">
        <v>0.10577925820799999</v>
      </c>
      <c r="CC449">
        <v>6.8299541128000005E-2</v>
      </c>
      <c r="CD449">
        <v>5.3245193768E-2</v>
      </c>
      <c r="CE449">
        <v>0.1319060158</v>
      </c>
      <c r="CF449">
        <v>7.526807496E-2</v>
      </c>
      <c r="CG449">
        <v>0.1034365176</v>
      </c>
      <c r="CH449">
        <v>9.9201808887999995E-2</v>
      </c>
      <c r="CI449">
        <v>0.11783487248000001</v>
      </c>
      <c r="CJ449">
        <v>0.1092287638</v>
      </c>
      <c r="CK449">
        <v>0.16461435535999999</v>
      </c>
      <c r="CL449">
        <v>9.6459090728000005E-2</v>
      </c>
      <c r="CM449">
        <v>8.8641847007999999E-2</v>
      </c>
      <c r="CN449">
        <v>0.110726351736</v>
      </c>
      <c r="CO449">
        <v>5.2281868288000001E-2</v>
      </c>
      <c r="CP449">
        <v>0.16593701196800001</v>
      </c>
      <c r="CQ449">
        <v>5.1600556800000003E-2</v>
      </c>
      <c r="CR449">
        <v>8.3858123856E-2</v>
      </c>
      <c r="CS449">
        <v>5.3359966295999997E-2</v>
      </c>
      <c r="CT449">
        <v>0.11994534780799999</v>
      </c>
      <c r="CU449">
        <v>6.6994095168000006E-2</v>
      </c>
    </row>
    <row r="450" spans="1:99" x14ac:dyDescent="0.25">
      <c r="A450" t="s">
        <v>145</v>
      </c>
      <c r="B450" t="s">
        <v>211</v>
      </c>
      <c r="C450" t="s">
        <v>192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2720</v>
      </c>
      <c r="N450">
        <v>1113.4833411074401</v>
      </c>
      <c r="O450">
        <v>5</v>
      </c>
      <c r="P450">
        <v>0</v>
      </c>
      <c r="Q450">
        <v>5</v>
      </c>
      <c r="R450">
        <v>0.185</v>
      </c>
      <c r="S450">
        <v>0.20200000000000001</v>
      </c>
      <c r="T450">
        <v>0.17</v>
      </c>
      <c r="U450">
        <v>0.18</v>
      </c>
      <c r="V450">
        <v>0.189</v>
      </c>
      <c r="BF450">
        <v>9.4E-2</v>
      </c>
      <c r="BG450">
        <v>0.108</v>
      </c>
      <c r="BH450">
        <v>0.10199999999999999</v>
      </c>
      <c r="BI450">
        <v>8.6999999999999994E-2</v>
      </c>
      <c r="BJ450">
        <v>9.2999999999999999E-2</v>
      </c>
      <c r="BZ450">
        <v>9.1614518257600003E-2</v>
      </c>
      <c r="CA450">
        <v>102.01123988342103</v>
      </c>
      <c r="CB450">
        <v>8.5512333920000003E-2</v>
      </c>
      <c r="CC450">
        <v>0.123253767936</v>
      </c>
      <c r="CD450">
        <v>9.2523188160000006E-2</v>
      </c>
      <c r="CE450">
        <v>7.1270915039999994E-2</v>
      </c>
      <c r="CF450">
        <v>8.5512386231999998E-2</v>
      </c>
    </row>
    <row r="451" spans="1:99" x14ac:dyDescent="0.25">
      <c r="A451" t="s">
        <v>146</v>
      </c>
      <c r="B451" t="s">
        <v>191</v>
      </c>
      <c r="C451" t="s">
        <v>192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22080</v>
      </c>
      <c r="N451">
        <v>7863.8123490211301</v>
      </c>
      <c r="O451">
        <v>7</v>
      </c>
      <c r="P451">
        <v>8</v>
      </c>
      <c r="Q451">
        <v>15</v>
      </c>
      <c r="R451">
        <v>9.4E-2</v>
      </c>
      <c r="S451">
        <v>9.6000000000000002E-2</v>
      </c>
      <c r="T451">
        <v>9.4E-2</v>
      </c>
      <c r="U451">
        <v>0.109</v>
      </c>
      <c r="V451">
        <v>0.09</v>
      </c>
      <c r="W451">
        <v>8.8999999999999996E-2</v>
      </c>
      <c r="X451">
        <v>0.13600000000000001</v>
      </c>
      <c r="Y451">
        <v>9.9000000000000005E-2</v>
      </c>
      <c r="Z451">
        <v>0.108</v>
      </c>
      <c r="AA451">
        <v>0.1</v>
      </c>
      <c r="AB451">
        <v>0.11799999999999999</v>
      </c>
      <c r="AC451">
        <v>9.7000000000000003E-2</v>
      </c>
      <c r="AD451">
        <v>0.13700000000000001</v>
      </c>
      <c r="AE451">
        <v>8.1000000000000003E-2</v>
      </c>
      <c r="AF451">
        <v>9.2999999999999999E-2</v>
      </c>
      <c r="BZ451">
        <v>1.3986580000000002E-2</v>
      </c>
      <c r="CA451">
        <v>109.98784052457198</v>
      </c>
      <c r="CB451">
        <v>9.9670079999999994E-3</v>
      </c>
      <c r="CC451">
        <v>1.0616832E-2</v>
      </c>
      <c r="CD451">
        <v>9.9670079999999994E-3</v>
      </c>
      <c r="CE451">
        <v>1.5540348000000001E-2</v>
      </c>
      <c r="CF451">
        <v>8.7480000000000006E-3</v>
      </c>
      <c r="CG451">
        <v>8.4596280000000003E-3</v>
      </c>
      <c r="CH451">
        <v>3.0185472000000001E-2</v>
      </c>
      <c r="CI451">
        <v>1.1643588E-2</v>
      </c>
      <c r="CJ451">
        <v>1.5116544000000001E-2</v>
      </c>
      <c r="CK451">
        <v>1.2E-2</v>
      </c>
      <c r="CL451">
        <v>1.9716384E-2</v>
      </c>
      <c r="CM451">
        <v>1.0952076E-2</v>
      </c>
      <c r="CN451">
        <v>3.0856235999999999E-2</v>
      </c>
      <c r="CO451">
        <v>6.3772919999999997E-3</v>
      </c>
      <c r="CP451">
        <v>9.6522840000000006E-3</v>
      </c>
    </row>
    <row r="452" spans="1:99" x14ac:dyDescent="0.25">
      <c r="A452" t="s">
        <v>146</v>
      </c>
      <c r="B452" t="s">
        <v>193</v>
      </c>
      <c r="C452" t="s">
        <v>192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8832</v>
      </c>
      <c r="N452">
        <v>3145.52493960845</v>
      </c>
      <c r="O452">
        <v>3</v>
      </c>
      <c r="P452">
        <v>3</v>
      </c>
      <c r="Q452">
        <v>6</v>
      </c>
      <c r="R452">
        <v>0.505</v>
      </c>
      <c r="S452">
        <v>0.69199999999999995</v>
      </c>
      <c r="T452">
        <v>0.625</v>
      </c>
      <c r="U452">
        <v>0.106</v>
      </c>
      <c r="V452">
        <v>0.70799999999999996</v>
      </c>
      <c r="W452">
        <v>0.56100000000000005</v>
      </c>
      <c r="BZ452">
        <v>1.8492350877649999</v>
      </c>
      <c r="CA452">
        <v>5816.8150877638282</v>
      </c>
      <c r="CB452">
        <v>1.1552249962500001</v>
      </c>
      <c r="CC452">
        <v>2.9724237753599998</v>
      </c>
      <c r="CD452">
        <v>2.18994140625</v>
      </c>
      <c r="CE452">
        <v>1.0683413520000001E-2</v>
      </c>
      <c r="CF452">
        <v>3.18340736064</v>
      </c>
      <c r="CG452">
        <v>1.58372957457</v>
      </c>
    </row>
    <row r="453" spans="1:99" x14ac:dyDescent="0.25">
      <c r="A453" t="s">
        <v>146</v>
      </c>
      <c r="B453" t="s">
        <v>172</v>
      </c>
      <c r="C453" t="s">
        <v>158</v>
      </c>
      <c r="D453">
        <v>-1</v>
      </c>
      <c r="E453">
        <v>17</v>
      </c>
      <c r="F453">
        <v>-1</v>
      </c>
      <c r="G453">
        <v>-1</v>
      </c>
      <c r="H453">
        <v>-1</v>
      </c>
      <c r="I453">
        <v>23</v>
      </c>
      <c r="J453">
        <v>-1</v>
      </c>
      <c r="K453">
        <v>-1</v>
      </c>
      <c r="L453">
        <v>-1</v>
      </c>
      <c r="M453">
        <v>1706.6666666666699</v>
      </c>
      <c r="N453">
        <v>607.83090620453197</v>
      </c>
      <c r="O453">
        <v>-1</v>
      </c>
      <c r="P453">
        <v>-1</v>
      </c>
      <c r="Q453">
        <v>-1</v>
      </c>
      <c r="R453">
        <v>0.34899999999999998</v>
      </c>
      <c r="S453">
        <v>0.217</v>
      </c>
      <c r="T453">
        <v>0.39600000000000002</v>
      </c>
      <c r="U453">
        <v>0.33100000000000002</v>
      </c>
      <c r="V453">
        <v>0.379</v>
      </c>
      <c r="W453">
        <v>0.23799999999999999</v>
      </c>
      <c r="X453">
        <v>0.28999999999999998</v>
      </c>
      <c r="Y453">
        <v>0.40699999999999997</v>
      </c>
      <c r="Z453">
        <v>0.32400000000000001</v>
      </c>
      <c r="AA453">
        <v>0.47399999999999998</v>
      </c>
      <c r="AB453">
        <v>0.48799999999999999</v>
      </c>
      <c r="AC453">
        <v>0.32900000000000001</v>
      </c>
      <c r="AD453">
        <v>0.30599999999999999</v>
      </c>
      <c r="AE453">
        <v>0.29199999999999998</v>
      </c>
      <c r="AF453">
        <v>0.33500000000000002</v>
      </c>
      <c r="AG453">
        <v>0.38200000000000001</v>
      </c>
      <c r="AH453">
        <v>0.371</v>
      </c>
      <c r="AI453">
        <v>0.34</v>
      </c>
      <c r="AJ453">
        <v>0.35499999999999998</v>
      </c>
      <c r="AK453">
        <v>0.27600000000000002</v>
      </c>
      <c r="AL453" t="s">
        <v>159</v>
      </c>
      <c r="AM453" t="s">
        <v>159</v>
      </c>
      <c r="AN453" t="s">
        <v>159</v>
      </c>
      <c r="AO453" t="s">
        <v>159</v>
      </c>
      <c r="AP453" t="s">
        <v>159</v>
      </c>
      <c r="AQ453" t="s">
        <v>159</v>
      </c>
      <c r="AR453" t="s">
        <v>159</v>
      </c>
      <c r="AS453" t="s">
        <v>159</v>
      </c>
      <c r="AT453" t="s">
        <v>159</v>
      </c>
      <c r="AU453" t="s">
        <v>159</v>
      </c>
      <c r="AV453" t="s">
        <v>159</v>
      </c>
      <c r="AW453" t="s">
        <v>159</v>
      </c>
      <c r="AX453" t="s">
        <v>159</v>
      </c>
      <c r="AY453" t="s">
        <v>159</v>
      </c>
      <c r="AZ453" t="s">
        <v>159</v>
      </c>
      <c r="BA453" t="s">
        <v>159</v>
      </c>
      <c r="BB453" t="s">
        <v>159</v>
      </c>
      <c r="BC453" t="s">
        <v>159</v>
      </c>
      <c r="BD453" t="s">
        <v>159</v>
      </c>
      <c r="BE453" t="s">
        <v>159</v>
      </c>
      <c r="BZ453">
        <v>1.0851719682265859</v>
      </c>
      <c r="CA453">
        <v>659.60106083492133</v>
      </c>
      <c r="CB453">
        <v>1.04991699361795</v>
      </c>
      <c r="CC453">
        <v>0.315536614521782</v>
      </c>
      <c r="CD453">
        <v>1.4453580822477501</v>
      </c>
      <c r="CE453">
        <v>0.91827224777882899</v>
      </c>
      <c r="CF453">
        <v>1.29349226539731</v>
      </c>
      <c r="CG453">
        <v>0.39860829884570198</v>
      </c>
      <c r="CH453">
        <v>0.65716370524932799</v>
      </c>
      <c r="CI453">
        <v>1.54910369648972</v>
      </c>
      <c r="CJ453">
        <v>0.86993240924878301</v>
      </c>
      <c r="CK453">
        <v>2.2778537640162702</v>
      </c>
      <c r="CL453">
        <v>2.45193404922151</v>
      </c>
      <c r="CM453">
        <v>0.90429942924878204</v>
      </c>
      <c r="CN453">
        <v>0.75280387152912998</v>
      </c>
      <c r="CO453">
        <v>0.66869064751763696</v>
      </c>
      <c r="CP453">
        <v>0.94660762129906295</v>
      </c>
      <c r="CQ453">
        <v>1.3195533180986501</v>
      </c>
      <c r="CR453">
        <v>1.22552627326874</v>
      </c>
      <c r="CS453">
        <v>0.98276186324897996</v>
      </c>
      <c r="CT453">
        <v>1.09618629530351</v>
      </c>
      <c r="CU453">
        <v>0.57983791838228904</v>
      </c>
    </row>
    <row r="454" spans="1:99" x14ac:dyDescent="0.25">
      <c r="A454" t="s">
        <v>146</v>
      </c>
      <c r="B454" t="s">
        <v>157</v>
      </c>
      <c r="C454" t="s">
        <v>158</v>
      </c>
      <c r="D454">
        <v>35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35</v>
      </c>
      <c r="N454">
        <v>12.465282256147599</v>
      </c>
      <c r="O454">
        <v>-1</v>
      </c>
      <c r="P454">
        <v>-1</v>
      </c>
      <c r="Q454">
        <v>-1</v>
      </c>
      <c r="R454">
        <v>2.6379999999999999</v>
      </c>
      <c r="S454">
        <v>2.419</v>
      </c>
      <c r="T454">
        <v>3.18</v>
      </c>
      <c r="U454">
        <v>2.6160000000000001</v>
      </c>
      <c r="V454">
        <v>1.9910000000000001</v>
      </c>
      <c r="W454">
        <v>2.669</v>
      </c>
      <c r="X454">
        <v>1.998</v>
      </c>
      <c r="Y454">
        <v>4.0830000000000002</v>
      </c>
      <c r="Z454">
        <v>3.0950000000000002</v>
      </c>
      <c r="AA454">
        <v>2.4340000000000002</v>
      </c>
      <c r="AB454">
        <v>2.286</v>
      </c>
      <c r="AC454">
        <v>2.198</v>
      </c>
      <c r="AD454">
        <v>2.5619999999999998</v>
      </c>
      <c r="AE454">
        <v>3.0990000000000002</v>
      </c>
      <c r="AF454">
        <v>3.13</v>
      </c>
      <c r="AG454">
        <v>2.698</v>
      </c>
      <c r="AH454">
        <v>2.891</v>
      </c>
      <c r="AI454">
        <v>1.8560000000000001</v>
      </c>
      <c r="AJ454">
        <v>2.766</v>
      </c>
      <c r="AK454">
        <v>2.1709999999999998</v>
      </c>
      <c r="AL454" t="s">
        <v>159</v>
      </c>
      <c r="AM454" t="s">
        <v>159</v>
      </c>
      <c r="AN454" t="s">
        <v>159</v>
      </c>
      <c r="AO454" t="s">
        <v>159</v>
      </c>
      <c r="AP454" t="s">
        <v>159</v>
      </c>
      <c r="AQ454" t="s">
        <v>159</v>
      </c>
      <c r="AR454" t="s">
        <v>159</v>
      </c>
      <c r="AS454" t="s">
        <v>159</v>
      </c>
      <c r="AT454" t="s">
        <v>159</v>
      </c>
      <c r="AU454" t="s">
        <v>159</v>
      </c>
      <c r="AV454" t="s">
        <v>159</v>
      </c>
      <c r="AW454" t="s">
        <v>159</v>
      </c>
      <c r="AX454" t="s">
        <v>159</v>
      </c>
      <c r="AY454" t="s">
        <v>159</v>
      </c>
      <c r="AZ454" t="s">
        <v>159</v>
      </c>
      <c r="BA454" t="s">
        <v>159</v>
      </c>
      <c r="BB454" t="s">
        <v>159</v>
      </c>
      <c r="BC454" t="s">
        <v>159</v>
      </c>
      <c r="BD454" t="s">
        <v>159</v>
      </c>
      <c r="BE454" t="s">
        <v>159</v>
      </c>
      <c r="BZ454">
        <v>134.28356637678962</v>
      </c>
      <c r="CA454">
        <v>1673.882557248814</v>
      </c>
      <c r="CB454">
        <v>128.68196896138099</v>
      </c>
      <c r="CC454">
        <v>107.362433973151</v>
      </c>
      <c r="CD454">
        <v>190.16301943075899</v>
      </c>
      <c r="CE454">
        <v>126.44925054539701</v>
      </c>
      <c r="CF454">
        <v>71.4681133019253</v>
      </c>
      <c r="CG454">
        <v>131.862681465983</v>
      </c>
      <c r="CH454">
        <v>71.994272099158295</v>
      </c>
      <c r="CI454">
        <v>320.62714494360603</v>
      </c>
      <c r="CJ454">
        <v>179.694237119859</v>
      </c>
      <c r="CK454">
        <v>108.758543591245</v>
      </c>
      <c r="CL454">
        <v>95.394359467605497</v>
      </c>
      <c r="CM454">
        <v>87.880243558419807</v>
      </c>
      <c r="CN454">
        <v>121.05528538568301</v>
      </c>
      <c r="CO454">
        <v>180.17995666319001</v>
      </c>
      <c r="CP454">
        <v>183.967475705364</v>
      </c>
      <c r="CQ454">
        <v>134.87487324366199</v>
      </c>
      <c r="CR454">
        <v>155.82742544225999</v>
      </c>
      <c r="CS454">
        <v>61.713665898114797</v>
      </c>
      <c r="CT454">
        <v>142.07721358748299</v>
      </c>
      <c r="CU454">
        <v>85.639163151545603</v>
      </c>
    </row>
    <row r="455" spans="1:99" x14ac:dyDescent="0.25">
      <c r="A455" t="s">
        <v>146</v>
      </c>
      <c r="B455" t="s">
        <v>194</v>
      </c>
      <c r="C455" t="s">
        <v>192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13248</v>
      </c>
      <c r="N455">
        <v>4718.2874094126801</v>
      </c>
      <c r="O455">
        <v>6</v>
      </c>
      <c r="P455">
        <v>3</v>
      </c>
      <c r="Q455">
        <v>9</v>
      </c>
      <c r="BF455">
        <v>0.04</v>
      </c>
      <c r="BG455">
        <v>0.03</v>
      </c>
      <c r="BH455">
        <v>2.9000000000000001E-2</v>
      </c>
      <c r="BI455">
        <v>3.1E-2</v>
      </c>
      <c r="BJ455">
        <v>3.3000000000000002E-2</v>
      </c>
      <c r="BK455">
        <v>4.8000000000000001E-2</v>
      </c>
      <c r="BL455">
        <v>5.8000000000000003E-2</v>
      </c>
      <c r="BM455">
        <v>4.8000000000000001E-2</v>
      </c>
      <c r="BN455">
        <v>0.03</v>
      </c>
      <c r="BZ455">
        <v>1.2488260000000001E-2</v>
      </c>
      <c r="CA455">
        <v>58.923199923471998</v>
      </c>
      <c r="CB455">
        <v>1.1520000000000001E-2</v>
      </c>
      <c r="CC455">
        <v>4.8599999999999997E-3</v>
      </c>
      <c r="CD455">
        <v>4.3900199999999997E-3</v>
      </c>
      <c r="CE455">
        <v>5.3623799999999999E-3</v>
      </c>
      <c r="CF455">
        <v>6.4686600000000002E-3</v>
      </c>
      <c r="CG455">
        <v>1.990656E-2</v>
      </c>
      <c r="CH455">
        <v>3.5120159999999997E-2</v>
      </c>
      <c r="CI455">
        <v>1.990656E-2</v>
      </c>
      <c r="CJ455">
        <v>4.8599999999999997E-3</v>
      </c>
    </row>
    <row r="456" spans="1:99" x14ac:dyDescent="0.25">
      <c r="A456" t="s">
        <v>146</v>
      </c>
      <c r="B456" t="s">
        <v>195</v>
      </c>
      <c r="C456" t="s">
        <v>192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200192</v>
      </c>
      <c r="N456">
        <v>71298.565297791603</v>
      </c>
      <c r="O456">
        <v>68</v>
      </c>
      <c r="P456">
        <v>68</v>
      </c>
      <c r="Q456">
        <v>136</v>
      </c>
      <c r="R456">
        <v>0.17299999999999999</v>
      </c>
      <c r="S456">
        <v>0.17299999999999999</v>
      </c>
      <c r="T456">
        <v>0.128</v>
      </c>
      <c r="U456">
        <v>0.17599999999999999</v>
      </c>
      <c r="V456">
        <v>0.16300000000000001</v>
      </c>
      <c r="W456">
        <v>0.14299999999999999</v>
      </c>
      <c r="X456">
        <v>0.16</v>
      </c>
      <c r="Y456">
        <v>0.12</v>
      </c>
      <c r="Z456">
        <v>0.1</v>
      </c>
      <c r="AA456">
        <v>0.17199999999999999</v>
      </c>
      <c r="AB456">
        <v>0.14599999999999999</v>
      </c>
      <c r="AC456">
        <v>0.17699999999999999</v>
      </c>
      <c r="AD456">
        <v>0.14599999999999999</v>
      </c>
      <c r="AE456">
        <v>0.19600000000000001</v>
      </c>
      <c r="AF456">
        <v>0.129</v>
      </c>
      <c r="AG456">
        <v>0.129</v>
      </c>
      <c r="AH456">
        <v>0.14399999999999999</v>
      </c>
      <c r="AI456">
        <v>0.29899999999999999</v>
      </c>
      <c r="AJ456">
        <v>0.17499999999999999</v>
      </c>
      <c r="AK456">
        <v>0.161</v>
      </c>
      <c r="BF456">
        <v>5.5E-2</v>
      </c>
      <c r="BG456">
        <v>6.8000000000000005E-2</v>
      </c>
      <c r="BH456">
        <v>7.3999999999999996E-2</v>
      </c>
      <c r="BI456">
        <v>6.0999999999999999E-2</v>
      </c>
      <c r="BJ456">
        <v>6.4000000000000001E-2</v>
      </c>
      <c r="BK456">
        <v>4.2999999999999997E-2</v>
      </c>
      <c r="BL456">
        <v>4.4999999999999998E-2</v>
      </c>
      <c r="BM456">
        <v>5.7000000000000002E-2</v>
      </c>
      <c r="BN456">
        <v>6.2E-2</v>
      </c>
      <c r="BO456">
        <v>6.3E-2</v>
      </c>
      <c r="BP456">
        <v>7.8E-2</v>
      </c>
      <c r="BQ456">
        <v>5.2999999999999999E-2</v>
      </c>
      <c r="BR456">
        <v>5.8000000000000003E-2</v>
      </c>
      <c r="BS456">
        <v>6.2E-2</v>
      </c>
      <c r="BT456">
        <v>5.8000000000000003E-2</v>
      </c>
      <c r="BU456">
        <v>5.3999999999999999E-2</v>
      </c>
      <c r="BV456">
        <v>7.0999999999999994E-2</v>
      </c>
      <c r="BW456">
        <v>7.4999999999999997E-2</v>
      </c>
      <c r="BX456">
        <v>4.8000000000000001E-2</v>
      </c>
      <c r="BY456">
        <v>7.1999999999999995E-2</v>
      </c>
      <c r="BZ456">
        <v>1.6221207600000002E-2</v>
      </c>
      <c r="CA456">
        <v>1156.5488292776336</v>
      </c>
      <c r="CB456">
        <v>1.3606450000000001E-2</v>
      </c>
      <c r="CC456">
        <v>2.0798752E-2</v>
      </c>
      <c r="CD456">
        <v>1.8224127999999999E-2</v>
      </c>
      <c r="CE456">
        <v>1.7027296000000001E-2</v>
      </c>
      <c r="CF456">
        <v>1.7358848E-2</v>
      </c>
      <c r="CG456">
        <v>6.8745819999999997E-3</v>
      </c>
      <c r="CH456">
        <v>8.4239999999999992E-3</v>
      </c>
      <c r="CI456">
        <v>1.0136879999999999E-2</v>
      </c>
      <c r="CJ456">
        <v>9.9944000000000005E-3</v>
      </c>
      <c r="CK456">
        <v>1.7749368000000001E-2</v>
      </c>
      <c r="CL456">
        <v>2.3094864E-2</v>
      </c>
      <c r="CM456">
        <v>1.2927018E-2</v>
      </c>
      <c r="CN456">
        <v>1.2769744E-2</v>
      </c>
      <c r="CO456">
        <v>1.9589024E-2</v>
      </c>
      <c r="CP456">
        <v>1.1282856000000001E-2</v>
      </c>
      <c r="CQ456">
        <v>9.7802640000000003E-3</v>
      </c>
      <c r="CR456">
        <v>1.8873503999999999E-2</v>
      </c>
      <c r="CS456">
        <v>4.3728749999999997E-2</v>
      </c>
      <c r="CT456">
        <v>1.04832E-2</v>
      </c>
      <c r="CU456">
        <v>2.1700224000000001E-2</v>
      </c>
    </row>
    <row r="457" spans="1:99" x14ac:dyDescent="0.25">
      <c r="A457" t="s">
        <v>146</v>
      </c>
      <c r="B457" t="s">
        <v>196</v>
      </c>
      <c r="C457" t="s">
        <v>197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26496</v>
      </c>
      <c r="N457">
        <v>9436.5748188253601</v>
      </c>
      <c r="O457">
        <v>6</v>
      </c>
      <c r="P457">
        <v>12</v>
      </c>
      <c r="Q457">
        <v>18</v>
      </c>
      <c r="R457">
        <v>0.16</v>
      </c>
      <c r="S457">
        <v>0.123</v>
      </c>
      <c r="T457">
        <v>0.16700000000000001</v>
      </c>
      <c r="U457">
        <v>0.185</v>
      </c>
      <c r="V457">
        <v>0.19600000000000001</v>
      </c>
      <c r="W457">
        <v>0.16600000000000001</v>
      </c>
      <c r="X457">
        <v>0.14899999999999999</v>
      </c>
      <c r="Y457">
        <v>0.109</v>
      </c>
      <c r="Z457">
        <v>0.189</v>
      </c>
      <c r="AA457">
        <v>0.27400000000000002</v>
      </c>
      <c r="AB457">
        <v>0.20399999999999999</v>
      </c>
      <c r="AC457">
        <v>0.245</v>
      </c>
      <c r="AD457">
        <v>0.29699999999999999</v>
      </c>
      <c r="AE457">
        <v>0.23899999999999999</v>
      </c>
      <c r="AF457">
        <v>0.121</v>
      </c>
      <c r="AG457">
        <v>0.186</v>
      </c>
      <c r="AH457">
        <v>0.28399999999999997</v>
      </c>
      <c r="AI457">
        <v>0.16300000000000001</v>
      </c>
      <c r="BZ457">
        <v>0.15273626363331205</v>
      </c>
      <c r="CA457">
        <v>1441.307179323584</v>
      </c>
      <c r="CB457">
        <v>8.6709180472729408E-2</v>
      </c>
      <c r="CC457">
        <v>4.6126381923769305E-2</v>
      </c>
      <c r="CD457">
        <v>9.6094084578295394E-2</v>
      </c>
      <c r="CE457">
        <v>0.12285399154068005</v>
      </c>
      <c r="CF457">
        <v>0.14112101597166293</v>
      </c>
      <c r="CG457">
        <v>9.4718875712952413E-2</v>
      </c>
      <c r="CH457">
        <v>7.3084312737679707E-2</v>
      </c>
      <c r="CI457">
        <v>3.4514431011782545E-2</v>
      </c>
      <c r="CJ457">
        <v>0.12932588325119743</v>
      </c>
      <c r="CK457">
        <v>0.31533957206721042</v>
      </c>
      <c r="CL457">
        <v>0.15534222629595956</v>
      </c>
      <c r="CM457">
        <v>0.24108807296837464</v>
      </c>
      <c r="CN457">
        <v>0.38264196799124395</v>
      </c>
      <c r="CO457">
        <v>0.22716011790774707</v>
      </c>
      <c r="CP457">
        <v>4.4346771885494372E-2</v>
      </c>
      <c r="CQ457">
        <v>0.12445380792000475</v>
      </c>
      <c r="CR457">
        <v>0.34366961728553552</v>
      </c>
      <c r="CS457">
        <v>9.0662433877297763E-2</v>
      </c>
      <c r="CT457" t="s">
        <v>239</v>
      </c>
      <c r="CU457" t="s">
        <v>239</v>
      </c>
    </row>
    <row r="458" spans="1:99" x14ac:dyDescent="0.25">
      <c r="A458" t="s">
        <v>146</v>
      </c>
      <c r="B458" t="s">
        <v>173</v>
      </c>
      <c r="C458" t="s">
        <v>168</v>
      </c>
      <c r="D458">
        <v>-1</v>
      </c>
      <c r="E458">
        <v>29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3712</v>
      </c>
      <c r="N458">
        <v>1322.0322209948599</v>
      </c>
      <c r="O458">
        <v>-1</v>
      </c>
      <c r="P458">
        <v>-1</v>
      </c>
      <c r="Q458">
        <v>-1</v>
      </c>
      <c r="R458">
        <v>0.55300000000000005</v>
      </c>
      <c r="S458">
        <v>0.46500000000000002</v>
      </c>
      <c r="T458">
        <v>0.51</v>
      </c>
      <c r="U458">
        <v>0.63200000000000001</v>
      </c>
      <c r="V458">
        <v>0.67400000000000004</v>
      </c>
      <c r="W458">
        <v>0.52</v>
      </c>
      <c r="X458">
        <v>0.44600000000000001</v>
      </c>
      <c r="Y458">
        <v>0.58699999999999997</v>
      </c>
      <c r="Z458">
        <v>0.40899999999999997</v>
      </c>
      <c r="AA458">
        <v>0.39</v>
      </c>
      <c r="AB458">
        <v>0.45</v>
      </c>
      <c r="AC458">
        <v>0.44</v>
      </c>
      <c r="AD458">
        <v>0.54800000000000004</v>
      </c>
      <c r="AE458">
        <v>0.63400000000000001</v>
      </c>
      <c r="AF458">
        <v>0.54200000000000004</v>
      </c>
      <c r="AG458">
        <v>0.439</v>
      </c>
      <c r="AH458">
        <v>0.41199999999999998</v>
      </c>
      <c r="AI458">
        <v>0.68799999999999994</v>
      </c>
      <c r="AJ458">
        <v>0.47199999999999998</v>
      </c>
      <c r="AK458">
        <v>0.44</v>
      </c>
      <c r="AL458" t="s">
        <v>169</v>
      </c>
      <c r="AM458" t="s">
        <v>169</v>
      </c>
      <c r="AN458" t="s">
        <v>169</v>
      </c>
      <c r="AO458" t="s">
        <v>169</v>
      </c>
      <c r="AP458" t="s">
        <v>169</v>
      </c>
      <c r="AQ458" t="s">
        <v>169</v>
      </c>
      <c r="AR458" t="s">
        <v>169</v>
      </c>
      <c r="AS458" t="s">
        <v>169</v>
      </c>
      <c r="AT458" t="s">
        <v>169</v>
      </c>
      <c r="AU458" t="s">
        <v>169</v>
      </c>
      <c r="AV458" t="s">
        <v>169</v>
      </c>
      <c r="AW458" t="s">
        <v>169</v>
      </c>
      <c r="AX458" t="s">
        <v>169</v>
      </c>
      <c r="AY458" t="s">
        <v>169</v>
      </c>
      <c r="AZ458" t="s">
        <v>169</v>
      </c>
      <c r="BA458" t="s">
        <v>169</v>
      </c>
      <c r="BB458" t="s">
        <v>169</v>
      </c>
      <c r="BC458" t="s">
        <v>169</v>
      </c>
      <c r="BD458" t="s">
        <v>169</v>
      </c>
      <c r="BE458" t="s">
        <v>169</v>
      </c>
      <c r="BZ458">
        <v>0.44132942955593907</v>
      </c>
      <c r="CA458">
        <v>583.45172594623273</v>
      </c>
      <c r="CB458">
        <v>0.500665436936093</v>
      </c>
      <c r="CC458">
        <v>0.25160372289703198</v>
      </c>
      <c r="CD458">
        <v>0.36306337380979697</v>
      </c>
      <c r="CE458">
        <v>0.85069844849835996</v>
      </c>
      <c r="CF458">
        <v>1.09826875705004</v>
      </c>
      <c r="CG458">
        <v>0.39215893473719099</v>
      </c>
      <c r="CH458">
        <v>0.213200504996995</v>
      </c>
      <c r="CI458">
        <v>0.63448608492430103</v>
      </c>
      <c r="CJ458">
        <v>0.151171656764609</v>
      </c>
      <c r="CK458">
        <v>0.125157053385726</v>
      </c>
      <c r="CL458">
        <v>0.220893287960822</v>
      </c>
      <c r="CM458">
        <v>0.20203935138497001</v>
      </c>
      <c r="CN458">
        <v>0.48293386103757002</v>
      </c>
      <c r="CO458">
        <v>0.86143635005422303</v>
      </c>
      <c r="CP458">
        <v>0.46228096109554601</v>
      </c>
      <c r="CQ458">
        <v>0.20022254868470499</v>
      </c>
      <c r="CR458">
        <v>0.155621926611163</v>
      </c>
      <c r="CS458">
        <v>1.1916670736905299</v>
      </c>
      <c r="CT458">
        <v>0.26697990521414</v>
      </c>
      <c r="CU458">
        <v>0.20203935138497001</v>
      </c>
    </row>
    <row r="459" spans="1:99" x14ac:dyDescent="0.25">
      <c r="A459" t="s">
        <v>146</v>
      </c>
      <c r="B459" t="s">
        <v>170</v>
      </c>
      <c r="C459" t="s">
        <v>158</v>
      </c>
      <c r="D459">
        <v>-1</v>
      </c>
      <c r="E459">
        <v>5</v>
      </c>
      <c r="F459">
        <v>-1</v>
      </c>
      <c r="G459">
        <v>-1</v>
      </c>
      <c r="H459">
        <v>-1</v>
      </c>
      <c r="I459">
        <v>7</v>
      </c>
      <c r="J459">
        <v>-1</v>
      </c>
      <c r="K459">
        <v>-1</v>
      </c>
      <c r="L459">
        <v>-1</v>
      </c>
      <c r="M459">
        <v>512</v>
      </c>
      <c r="N459">
        <v>182.34927186135999</v>
      </c>
      <c r="O459">
        <v>-1</v>
      </c>
      <c r="P459">
        <v>-1</v>
      </c>
      <c r="Q459">
        <v>-1</v>
      </c>
      <c r="R459">
        <v>0.59499999999999997</v>
      </c>
      <c r="S459">
        <v>0.873</v>
      </c>
      <c r="T459">
        <v>0.91100000000000003</v>
      </c>
      <c r="U459">
        <v>0.88500000000000001</v>
      </c>
      <c r="V459">
        <v>0.85499999999999998</v>
      </c>
      <c r="W459">
        <v>0.88</v>
      </c>
      <c r="X459">
        <v>0.86799999999999999</v>
      </c>
      <c r="Y459">
        <v>1.7410000000000001</v>
      </c>
      <c r="Z459">
        <v>0.64900000000000002</v>
      </c>
      <c r="AA459">
        <v>0.70299999999999996</v>
      </c>
      <c r="AB459">
        <v>0.878</v>
      </c>
      <c r="AC459">
        <v>1.403</v>
      </c>
      <c r="AL459" t="s">
        <v>159</v>
      </c>
      <c r="AM459" t="s">
        <v>159</v>
      </c>
      <c r="AN459" t="s">
        <v>159</v>
      </c>
      <c r="AO459" t="s">
        <v>159</v>
      </c>
      <c r="AP459" t="s">
        <v>159</v>
      </c>
      <c r="AQ459" t="s">
        <v>159</v>
      </c>
      <c r="AR459" t="s">
        <v>159</v>
      </c>
      <c r="AS459" t="s">
        <v>159</v>
      </c>
      <c r="AT459" t="s">
        <v>159</v>
      </c>
      <c r="AU459" t="s">
        <v>159</v>
      </c>
      <c r="AV459" t="s">
        <v>159</v>
      </c>
      <c r="AW459" t="s">
        <v>159</v>
      </c>
      <c r="BZ459">
        <v>5.4586001809720273</v>
      </c>
      <c r="CA459">
        <v>995.37176838253708</v>
      </c>
      <c r="CB459">
        <v>1.1371093672316099</v>
      </c>
      <c r="CC459">
        <v>3.3779600313675</v>
      </c>
      <c r="CD459">
        <v>3.8124683334130398</v>
      </c>
      <c r="CE459">
        <v>3.5115021873010801</v>
      </c>
      <c r="CF459">
        <v>3.18388828014101</v>
      </c>
      <c r="CG459">
        <v>3.4554518319187402</v>
      </c>
      <c r="CH459">
        <v>3.3233040283772901</v>
      </c>
      <c r="CI459">
        <v>23.990680360788399</v>
      </c>
      <c r="CJ459">
        <v>1.4552881512767999</v>
      </c>
      <c r="CK459">
        <v>1.82611102099811</v>
      </c>
      <c r="CL459">
        <v>3.4331950656455499</v>
      </c>
      <c r="CM459">
        <v>12.996243513205201</v>
      </c>
    </row>
    <row r="460" spans="1:99" x14ac:dyDescent="0.25">
      <c r="A460" t="s">
        <v>146</v>
      </c>
      <c r="B460" t="s">
        <v>167</v>
      </c>
      <c r="C460" t="s">
        <v>168</v>
      </c>
      <c r="D460">
        <v>-1</v>
      </c>
      <c r="E460">
        <v>65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8320</v>
      </c>
      <c r="N460">
        <v>2963.1756677470898</v>
      </c>
      <c r="O460">
        <v>-1</v>
      </c>
      <c r="P460">
        <v>-1</v>
      </c>
      <c r="Q460">
        <v>-1</v>
      </c>
      <c r="R460">
        <v>0.41599999999999998</v>
      </c>
      <c r="S460">
        <v>0.51600000000000001</v>
      </c>
      <c r="T460">
        <v>0.83299999999999996</v>
      </c>
      <c r="U460">
        <v>0.74299999999999999</v>
      </c>
      <c r="V460">
        <v>0.875</v>
      </c>
      <c r="W460">
        <v>0.49</v>
      </c>
      <c r="X460">
        <v>0.80800000000000005</v>
      </c>
      <c r="Y460">
        <v>0.47299999999999998</v>
      </c>
      <c r="Z460">
        <v>0.59499999999999997</v>
      </c>
      <c r="AA460">
        <v>0.437</v>
      </c>
      <c r="AB460">
        <v>0.374</v>
      </c>
      <c r="AC460">
        <v>0.53300000000000003</v>
      </c>
      <c r="AD460">
        <v>0.45200000000000001</v>
      </c>
      <c r="AE460">
        <v>0.41499999999999998</v>
      </c>
      <c r="AF460">
        <v>0.67900000000000005</v>
      </c>
      <c r="AG460">
        <v>0.46600000000000003</v>
      </c>
      <c r="AH460">
        <v>0.46400000000000002</v>
      </c>
      <c r="AI460">
        <v>0.39200000000000002</v>
      </c>
      <c r="AJ460">
        <v>0.72099999999999997</v>
      </c>
      <c r="AK460">
        <v>0.78200000000000003</v>
      </c>
      <c r="AL460" t="s">
        <v>169</v>
      </c>
      <c r="AM460" t="s">
        <v>169</v>
      </c>
      <c r="AN460" t="s">
        <v>169</v>
      </c>
      <c r="AO460" t="s">
        <v>169</v>
      </c>
      <c r="AP460" t="s">
        <v>169</v>
      </c>
      <c r="AQ460" t="s">
        <v>169</v>
      </c>
      <c r="AR460" t="s">
        <v>169</v>
      </c>
      <c r="AS460" t="s">
        <v>169</v>
      </c>
      <c r="AT460" t="s">
        <v>169</v>
      </c>
      <c r="AU460" t="s">
        <v>169</v>
      </c>
      <c r="AV460" t="s">
        <v>169</v>
      </c>
      <c r="AW460" t="s">
        <v>169</v>
      </c>
      <c r="AX460" t="s">
        <v>169</v>
      </c>
      <c r="AY460" t="s">
        <v>169</v>
      </c>
      <c r="AZ460" t="s">
        <v>169</v>
      </c>
      <c r="BA460" t="s">
        <v>169</v>
      </c>
      <c r="BB460" t="s">
        <v>169</v>
      </c>
      <c r="BC460" t="s">
        <v>169</v>
      </c>
      <c r="BD460" t="s">
        <v>169</v>
      </c>
      <c r="BE460" t="s">
        <v>169</v>
      </c>
      <c r="BZ460">
        <v>1.3546579544999582</v>
      </c>
      <c r="CA460">
        <v>4014.0894888943203</v>
      </c>
      <c r="CB460">
        <v>0.50580131318961297</v>
      </c>
      <c r="CC460">
        <v>0.88367171365022601</v>
      </c>
      <c r="CD460">
        <v>3.0549125305680702</v>
      </c>
      <c r="CE460">
        <v>2.2719002213955601</v>
      </c>
      <c r="CF460">
        <v>3.4699968740301101</v>
      </c>
      <c r="CG460">
        <v>0.77292271993554296</v>
      </c>
      <c r="CH460">
        <v>2.8230830249015</v>
      </c>
      <c r="CI460">
        <v>0.70537259208184</v>
      </c>
      <c r="CJ460">
        <v>1.2779891521828</v>
      </c>
      <c r="CK460">
        <v>0.57461260408737302</v>
      </c>
      <c r="CL460">
        <v>0.38394204692113998</v>
      </c>
      <c r="CM460">
        <v>0.96106264582397305</v>
      </c>
      <c r="CN460">
        <v>0.62709995900955096</v>
      </c>
      <c r="CO460">
        <v>0.50265822893265399</v>
      </c>
      <c r="CP460">
        <v>1.79916478307432</v>
      </c>
      <c r="CQ460">
        <v>0.67865296439029199</v>
      </c>
      <c r="CR460">
        <v>0.671134857517246</v>
      </c>
      <c r="CS460">
        <v>0.43364978939586302</v>
      </c>
      <c r="CT460">
        <v>2.1017476081489401</v>
      </c>
      <c r="CU460">
        <v>2.5937834607625501</v>
      </c>
    </row>
    <row r="461" spans="1:99" x14ac:dyDescent="0.25">
      <c r="A461" t="s">
        <v>146</v>
      </c>
      <c r="B461" t="s">
        <v>166</v>
      </c>
      <c r="C461" t="s">
        <v>154</v>
      </c>
      <c r="D461">
        <v>-1</v>
      </c>
      <c r="E461">
        <v>4</v>
      </c>
      <c r="F461">
        <v>0</v>
      </c>
      <c r="G461">
        <v>-1</v>
      </c>
      <c r="H461">
        <v>-1</v>
      </c>
      <c r="I461">
        <v>10</v>
      </c>
      <c r="J461">
        <v>8</v>
      </c>
      <c r="K461">
        <v>-1</v>
      </c>
      <c r="L461">
        <v>-1</v>
      </c>
      <c r="M461">
        <v>938.66666666666697</v>
      </c>
      <c r="N461">
        <v>334.30699841249299</v>
      </c>
      <c r="O461">
        <v>-1</v>
      </c>
      <c r="P461">
        <v>-1</v>
      </c>
      <c r="Q461">
        <v>-1</v>
      </c>
      <c r="R461">
        <v>0.94499999999999995</v>
      </c>
      <c r="S461">
        <v>1.1040000000000001</v>
      </c>
      <c r="T461">
        <v>0.98699999999999999</v>
      </c>
      <c r="U461">
        <v>1.002</v>
      </c>
      <c r="V461">
        <v>0.94899999999999995</v>
      </c>
      <c r="W461">
        <v>1.014</v>
      </c>
      <c r="X461">
        <v>1.014</v>
      </c>
      <c r="Y461">
        <v>1.0169999999999999</v>
      </c>
      <c r="Z461">
        <v>0.84899999999999998</v>
      </c>
      <c r="AA461">
        <v>0.78300000000000003</v>
      </c>
      <c r="AB461">
        <v>0.82499999999999996</v>
      </c>
      <c r="AC461">
        <v>0.99199999999999999</v>
      </c>
      <c r="AD461">
        <v>1.012</v>
      </c>
      <c r="AE461">
        <v>0.85299999999999998</v>
      </c>
      <c r="AF461">
        <v>0.96199999999999997</v>
      </c>
      <c r="AG461">
        <v>0.94399999999999995</v>
      </c>
      <c r="AH461">
        <v>0.71599999999999997</v>
      </c>
      <c r="AI461">
        <v>1.008</v>
      </c>
      <c r="AJ461">
        <v>1.077</v>
      </c>
      <c r="AK461">
        <v>1.0049999999999999</v>
      </c>
      <c r="AL461" t="s">
        <v>155</v>
      </c>
      <c r="AM461" t="s">
        <v>155</v>
      </c>
      <c r="AN461" t="s">
        <v>155</v>
      </c>
      <c r="AO461" t="s">
        <v>155</v>
      </c>
      <c r="AP461" t="s">
        <v>155</v>
      </c>
      <c r="AQ461" t="s">
        <v>156</v>
      </c>
      <c r="AR461" t="s">
        <v>155</v>
      </c>
      <c r="AS461" t="s">
        <v>155</v>
      </c>
      <c r="AT461" t="s">
        <v>156</v>
      </c>
      <c r="AU461" t="s">
        <v>156</v>
      </c>
      <c r="AV461" t="s">
        <v>156</v>
      </c>
      <c r="AW461" t="s">
        <v>155</v>
      </c>
      <c r="AX461" t="s">
        <v>155</v>
      </c>
      <c r="AY461" t="s">
        <v>156</v>
      </c>
      <c r="AZ461" t="s">
        <v>155</v>
      </c>
      <c r="BA461" t="s">
        <v>156</v>
      </c>
      <c r="BB461" t="s">
        <v>156</v>
      </c>
      <c r="BC461" t="s">
        <v>155</v>
      </c>
      <c r="BD461" t="s">
        <v>155</v>
      </c>
      <c r="BE461" t="s">
        <v>155</v>
      </c>
      <c r="BZ461">
        <v>4.5916660269167622</v>
      </c>
      <c r="CA461">
        <v>1535.02608717116</v>
      </c>
      <c r="CB461">
        <v>4.2013911834202204</v>
      </c>
      <c r="CC461">
        <v>7.7896162203130999</v>
      </c>
      <c r="CD461">
        <v>4.9930732352316003</v>
      </c>
      <c r="CE461">
        <v>5.3011939595321502</v>
      </c>
      <c r="CF461">
        <v>4.2724373524274499</v>
      </c>
      <c r="CG461">
        <v>5.5577565771615802</v>
      </c>
      <c r="CH461">
        <v>5.5577565771615802</v>
      </c>
      <c r="CI461">
        <v>5.6233229125411599</v>
      </c>
      <c r="CJ461">
        <v>2.7459483887317799</v>
      </c>
      <c r="CK461">
        <v>1.9914207834592199</v>
      </c>
      <c r="CL461">
        <v>2.4504791728531501</v>
      </c>
      <c r="CM461">
        <v>5.0942491118835704</v>
      </c>
      <c r="CN461">
        <v>5.5143645631778799</v>
      </c>
      <c r="CO461">
        <v>2.79767005058727</v>
      </c>
      <c r="CP461">
        <v>4.5095569506553899</v>
      </c>
      <c r="CQ461">
        <v>4.1837686114329999</v>
      </c>
      <c r="CR461">
        <v>1.3961546866741199</v>
      </c>
      <c r="CS461">
        <v>5.4283413859848899</v>
      </c>
      <c r="CT461">
        <v>7.0603329521320202</v>
      </c>
      <c r="CU461">
        <v>5.3644858629741003</v>
      </c>
    </row>
    <row r="462" spans="1:99" x14ac:dyDescent="0.25">
      <c r="A462" t="s">
        <v>146</v>
      </c>
      <c r="B462" t="s">
        <v>198</v>
      </c>
      <c r="C462" t="s">
        <v>199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120704</v>
      </c>
      <c r="N462">
        <v>42988.840841315498</v>
      </c>
      <c r="O462">
        <v>47</v>
      </c>
      <c r="P462">
        <v>35</v>
      </c>
      <c r="Q462">
        <v>82</v>
      </c>
      <c r="R462">
        <v>0.13400000000000001</v>
      </c>
      <c r="S462">
        <v>0.11799999999999999</v>
      </c>
      <c r="T462">
        <v>0.17799999999999999</v>
      </c>
      <c r="U462">
        <v>9.4E-2</v>
      </c>
      <c r="V462">
        <v>0.115</v>
      </c>
      <c r="W462">
        <v>8.7999999999999995E-2</v>
      </c>
      <c r="X462">
        <v>9.9000000000000005E-2</v>
      </c>
      <c r="Y462">
        <v>0.17899999999999999</v>
      </c>
      <c r="Z462">
        <v>0.109</v>
      </c>
      <c r="AA462">
        <v>0.1</v>
      </c>
      <c r="AB462">
        <v>0.121</v>
      </c>
      <c r="AC462">
        <v>0.10199999999999999</v>
      </c>
      <c r="AD462">
        <v>0.111</v>
      </c>
      <c r="AE462">
        <v>8.5000000000000006E-2</v>
      </c>
      <c r="AF462">
        <v>0.187</v>
      </c>
      <c r="AG462">
        <v>0.11</v>
      </c>
      <c r="AH462">
        <v>0.09</v>
      </c>
      <c r="AI462">
        <v>0.09</v>
      </c>
      <c r="AJ462">
        <v>0.1</v>
      </c>
      <c r="AK462">
        <v>9.4E-2</v>
      </c>
      <c r="BZ462">
        <v>0.22344748189347374</v>
      </c>
      <c r="CA462">
        <v>9605.7482355112697</v>
      </c>
      <c r="CB462">
        <v>0.26083181818872297</v>
      </c>
      <c r="CC462">
        <v>0.19713244744137251</v>
      </c>
      <c r="CD462">
        <v>0.56333575883736597</v>
      </c>
      <c r="CE462">
        <v>0.12952524767371265</v>
      </c>
      <c r="CF462">
        <v>0.18704997457505201</v>
      </c>
      <c r="CG462">
        <v>0.11661475677470312</v>
      </c>
      <c r="CH462">
        <v>0.1413693296235311</v>
      </c>
      <c r="CI462">
        <v>0.57328090080219707</v>
      </c>
      <c r="CJ462">
        <v>0.16840567905905679</v>
      </c>
      <c r="CK462">
        <v>0.14386506690014328</v>
      </c>
      <c r="CL462">
        <v>0.20775839142727506</v>
      </c>
      <c r="CM462">
        <v>0.14898949868956468</v>
      </c>
      <c r="CN462">
        <v>0.17440424030734322</v>
      </c>
      <c r="CO462">
        <v>0.11065041586454837</v>
      </c>
      <c r="CP462">
        <v>0.65942999957803661</v>
      </c>
      <c r="CQ462">
        <v>0.17137871664747947</v>
      </c>
      <c r="CR462">
        <v>0.12076854045275696</v>
      </c>
      <c r="CS462">
        <v>0.12076854045275696</v>
      </c>
      <c r="CT462">
        <v>0.14386506690014328</v>
      </c>
      <c r="CU462">
        <v>0.12952524767371265</v>
      </c>
    </row>
    <row r="463" spans="1:99" x14ac:dyDescent="0.25">
      <c r="A463" t="s">
        <v>146</v>
      </c>
      <c r="B463" t="s">
        <v>175</v>
      </c>
      <c r="C463" t="s">
        <v>168</v>
      </c>
      <c r="D463">
        <v>-1</v>
      </c>
      <c r="E463">
        <v>11</v>
      </c>
      <c r="F463">
        <v>-1</v>
      </c>
      <c r="G463">
        <v>-1</v>
      </c>
      <c r="H463">
        <v>-1</v>
      </c>
      <c r="I463">
        <v>6</v>
      </c>
      <c r="J463">
        <v>-1</v>
      </c>
      <c r="K463">
        <v>-1</v>
      </c>
      <c r="L463">
        <v>-1</v>
      </c>
      <c r="M463">
        <v>725.33333333333303</v>
      </c>
      <c r="N463">
        <v>258.32813513692599</v>
      </c>
      <c r="O463">
        <v>-1</v>
      </c>
      <c r="P463">
        <v>-1</v>
      </c>
      <c r="Q463">
        <v>-1</v>
      </c>
      <c r="R463">
        <v>1.069</v>
      </c>
      <c r="S463">
        <v>0.436</v>
      </c>
      <c r="T463">
        <v>0.78700000000000003</v>
      </c>
      <c r="U463">
        <v>0.51</v>
      </c>
      <c r="V463">
        <v>0.66100000000000003</v>
      </c>
      <c r="W463">
        <v>0.54800000000000004</v>
      </c>
      <c r="X463">
        <v>1.1259999999999999</v>
      </c>
      <c r="Y463">
        <v>0.67700000000000005</v>
      </c>
      <c r="Z463">
        <v>0.86</v>
      </c>
      <c r="AA463">
        <v>0.7</v>
      </c>
      <c r="AB463">
        <v>1.04</v>
      </c>
      <c r="AC463">
        <v>0.70499999999999996</v>
      </c>
      <c r="AD463">
        <v>0.52</v>
      </c>
      <c r="AE463">
        <v>0.754</v>
      </c>
      <c r="AF463">
        <v>0.71799999999999997</v>
      </c>
      <c r="AG463">
        <v>0.83499999999999996</v>
      </c>
      <c r="AH463">
        <v>1.0209999999999999</v>
      </c>
      <c r="AL463" t="s">
        <v>169</v>
      </c>
      <c r="AM463" t="s">
        <v>169</v>
      </c>
      <c r="AN463" t="s">
        <v>169</v>
      </c>
      <c r="AO463" t="s">
        <v>169</v>
      </c>
      <c r="AP463" t="s">
        <v>169</v>
      </c>
      <c r="AQ463" t="s">
        <v>169</v>
      </c>
      <c r="AR463" t="s">
        <v>169</v>
      </c>
      <c r="AS463" t="s">
        <v>169</v>
      </c>
      <c r="AT463" t="s">
        <v>169</v>
      </c>
      <c r="AU463" t="s">
        <v>169</v>
      </c>
      <c r="AV463" t="s">
        <v>169</v>
      </c>
      <c r="AW463" t="s">
        <v>169</v>
      </c>
      <c r="AX463" t="s">
        <v>169</v>
      </c>
      <c r="AY463" t="s">
        <v>169</v>
      </c>
      <c r="AZ463" t="s">
        <v>169</v>
      </c>
      <c r="BA463" t="s">
        <v>169</v>
      </c>
      <c r="BB463" t="s">
        <v>169</v>
      </c>
      <c r="BZ463">
        <v>2.7837974925809057</v>
      </c>
      <c r="CA463">
        <v>719.1332148572759</v>
      </c>
      <c r="CB463">
        <v>5.8288178345172197</v>
      </c>
      <c r="CC463">
        <v>0.57121319810948101</v>
      </c>
      <c r="CD463">
        <v>2.63695539147766</v>
      </c>
      <c r="CE463">
        <v>0.85730426108673596</v>
      </c>
      <c r="CF463">
        <v>1.67822430420118</v>
      </c>
      <c r="CG463">
        <v>1.0326897648953499</v>
      </c>
      <c r="CH463">
        <v>6.66826203807656</v>
      </c>
      <c r="CI463">
        <v>1.7854713183631301</v>
      </c>
      <c r="CJ463">
        <v>3.31802164610263</v>
      </c>
      <c r="CK463">
        <v>1.9468484685673999</v>
      </c>
      <c r="CL463">
        <v>5.4280591931750299</v>
      </c>
      <c r="CM463">
        <v>1.9830699757172801</v>
      </c>
      <c r="CN463">
        <v>0.90152315600597699</v>
      </c>
      <c r="CO463">
        <v>2.36004352243418</v>
      </c>
      <c r="CP463">
        <v>2.0791725691415301</v>
      </c>
      <c r="CQ463">
        <v>3.0739457434061399</v>
      </c>
      <c r="CR463">
        <v>5.1749349885979203</v>
      </c>
    </row>
    <row r="464" spans="1:99" x14ac:dyDescent="0.25">
      <c r="A464" t="s">
        <v>146</v>
      </c>
      <c r="B464" t="s">
        <v>160</v>
      </c>
      <c r="C464" t="s">
        <v>154</v>
      </c>
      <c r="D464">
        <v>-1</v>
      </c>
      <c r="E464">
        <v>0</v>
      </c>
      <c r="F464">
        <v>0</v>
      </c>
      <c r="G464">
        <v>-1</v>
      </c>
      <c r="H464">
        <v>-1</v>
      </c>
      <c r="I464">
        <v>1</v>
      </c>
      <c r="J464">
        <v>0</v>
      </c>
      <c r="K464">
        <v>1</v>
      </c>
      <c r="L464">
        <v>2</v>
      </c>
      <c r="M464">
        <v>73.142857142857096</v>
      </c>
      <c r="N464">
        <v>26.049895980194201</v>
      </c>
      <c r="O464">
        <v>-1</v>
      </c>
      <c r="P464">
        <v>-1</v>
      </c>
      <c r="Q464">
        <v>-1</v>
      </c>
      <c r="R464">
        <v>1.5720000000000001</v>
      </c>
      <c r="S464">
        <v>1.3360000000000001</v>
      </c>
      <c r="T464">
        <v>1.431</v>
      </c>
      <c r="U464">
        <v>1.716</v>
      </c>
      <c r="AL464" t="s">
        <v>159</v>
      </c>
      <c r="AM464" t="s">
        <v>156</v>
      </c>
      <c r="AN464" t="s">
        <v>155</v>
      </c>
      <c r="AO464" t="s">
        <v>156</v>
      </c>
      <c r="BZ464">
        <v>14.618168760830827</v>
      </c>
      <c r="CA464">
        <v>380.80177564056737</v>
      </c>
      <c r="CB464">
        <v>15.824875765501099</v>
      </c>
      <c r="CC464">
        <v>10.3840543560698</v>
      </c>
      <c r="CD464">
        <v>12.406088578368999</v>
      </c>
      <c r="CE464">
        <v>19.8576563433834</v>
      </c>
    </row>
    <row r="465" spans="1:99" x14ac:dyDescent="0.25">
      <c r="A465" t="s">
        <v>146</v>
      </c>
      <c r="B465" t="s">
        <v>200</v>
      </c>
      <c r="C465" t="s">
        <v>192</v>
      </c>
      <c r="D465">
        <v>-1</v>
      </c>
      <c r="E465">
        <v>-1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14720</v>
      </c>
      <c r="N465">
        <v>5242.5415660140898</v>
      </c>
      <c r="O465">
        <v>4</v>
      </c>
      <c r="P465">
        <v>6</v>
      </c>
      <c r="Q465">
        <v>10</v>
      </c>
      <c r="R465">
        <v>0.106</v>
      </c>
      <c r="S465">
        <v>0.105</v>
      </c>
      <c r="T465">
        <v>0.1</v>
      </c>
      <c r="U465">
        <v>0.106</v>
      </c>
      <c r="V465">
        <v>0.11799999999999999</v>
      </c>
      <c r="W465">
        <v>0.10199999999999999</v>
      </c>
      <c r="X465">
        <v>9.0999999999999998E-2</v>
      </c>
      <c r="Y465">
        <v>8.4000000000000005E-2</v>
      </c>
      <c r="Z465">
        <v>0.11700000000000001</v>
      </c>
      <c r="AA465">
        <v>9.6000000000000002E-2</v>
      </c>
      <c r="BZ465">
        <v>2.2153041999999998E-2</v>
      </c>
      <c r="CA465">
        <v>116.1382434986559</v>
      </c>
      <c r="CB465">
        <v>2.3820319999999999E-2</v>
      </c>
      <c r="CC465">
        <v>2.3152499999999999E-2</v>
      </c>
      <c r="CD465">
        <v>0.02</v>
      </c>
      <c r="CE465">
        <v>2.3820319999999999E-2</v>
      </c>
      <c r="CF465">
        <v>3.2860640000000003E-2</v>
      </c>
      <c r="CG465">
        <v>2.1224159999999999E-2</v>
      </c>
      <c r="CH465">
        <v>1.507142E-2</v>
      </c>
      <c r="CI465">
        <v>1.1854079999999999E-2</v>
      </c>
      <c r="CJ465">
        <v>3.203226E-2</v>
      </c>
      <c r="CK465">
        <v>1.7694720000000001E-2</v>
      </c>
    </row>
    <row r="466" spans="1:99" x14ac:dyDescent="0.25">
      <c r="A466" t="s">
        <v>146</v>
      </c>
      <c r="B466" t="s">
        <v>201</v>
      </c>
      <c r="C466" t="s">
        <v>192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11776</v>
      </c>
      <c r="N466">
        <v>4194.0332528112704</v>
      </c>
      <c r="O466">
        <v>3</v>
      </c>
      <c r="P466">
        <v>5</v>
      </c>
      <c r="Q466">
        <v>8</v>
      </c>
      <c r="R466">
        <v>0.122</v>
      </c>
      <c r="S466">
        <v>0.11799999999999999</v>
      </c>
      <c r="T466">
        <v>0.13900000000000001</v>
      </c>
      <c r="U466">
        <v>0.11799999999999999</v>
      </c>
      <c r="V466">
        <v>0.14499999999999999</v>
      </c>
      <c r="W466">
        <v>0.13100000000000001</v>
      </c>
      <c r="X466">
        <v>0.124</v>
      </c>
      <c r="Y466">
        <v>0.12</v>
      </c>
      <c r="BZ466">
        <v>6.3636202743749988E-3</v>
      </c>
      <c r="CA466">
        <v>26.689235038992724</v>
      </c>
      <c r="CB466">
        <v>5.5292571600000003E-3</v>
      </c>
      <c r="CC466">
        <v>5.0030324400000001E-3</v>
      </c>
      <c r="CD466">
        <v>8.1777098549999996E-3</v>
      </c>
      <c r="CE466">
        <v>5.0030324400000001E-3</v>
      </c>
      <c r="CF466">
        <v>9.2830631249999993E-3</v>
      </c>
      <c r="CG466">
        <v>6.8454370950000003E-3</v>
      </c>
      <c r="CH466">
        <v>5.8056700800000003E-3</v>
      </c>
      <c r="CI466">
        <v>5.2617599999999999E-3</v>
      </c>
    </row>
    <row r="467" spans="1:99" x14ac:dyDescent="0.25">
      <c r="A467" t="s">
        <v>146</v>
      </c>
      <c r="B467" t="s">
        <v>202</v>
      </c>
      <c r="C467" t="s">
        <v>192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63296</v>
      </c>
      <c r="N467">
        <v>22542.928733860601</v>
      </c>
      <c r="O467">
        <v>19</v>
      </c>
      <c r="P467">
        <v>24</v>
      </c>
      <c r="Q467">
        <v>43</v>
      </c>
      <c r="R467">
        <v>7.9000000000000001E-2</v>
      </c>
      <c r="S467">
        <v>6.4000000000000001E-2</v>
      </c>
      <c r="T467">
        <v>8.6999999999999994E-2</v>
      </c>
      <c r="U467">
        <v>0.121</v>
      </c>
      <c r="V467">
        <v>0.112</v>
      </c>
      <c r="W467">
        <v>9.7000000000000003E-2</v>
      </c>
      <c r="X467">
        <v>7.6999999999999999E-2</v>
      </c>
      <c r="Y467">
        <v>0.129</v>
      </c>
      <c r="Z467">
        <v>8.1000000000000003E-2</v>
      </c>
      <c r="AA467">
        <v>0.10100000000000001</v>
      </c>
      <c r="AB467">
        <v>8.3000000000000004E-2</v>
      </c>
      <c r="AC467">
        <v>0.105</v>
      </c>
      <c r="AD467">
        <v>0.113</v>
      </c>
      <c r="AE467">
        <v>8.5000000000000006E-2</v>
      </c>
      <c r="AF467">
        <v>9.2999999999999999E-2</v>
      </c>
      <c r="AG467">
        <v>8.6999999999999994E-2</v>
      </c>
      <c r="AH467">
        <v>9.0999999999999998E-2</v>
      </c>
      <c r="AI467">
        <v>0.104</v>
      </c>
      <c r="AJ467">
        <v>8.8999999999999996E-2</v>
      </c>
      <c r="AK467">
        <v>9.5000000000000001E-2</v>
      </c>
      <c r="BZ467">
        <v>1.8357885000000005E-3</v>
      </c>
      <c r="CA467">
        <v>41.384049325940865</v>
      </c>
      <c r="CB467">
        <v>9.8607800000000004E-4</v>
      </c>
      <c r="CC467">
        <v>5.2428800000000003E-4</v>
      </c>
      <c r="CD467">
        <v>1.3170059999999999E-3</v>
      </c>
      <c r="CE467">
        <v>3.5431220000000001E-3</v>
      </c>
      <c r="CF467">
        <v>2.8098559999999999E-3</v>
      </c>
      <c r="CG467">
        <v>1.825346E-3</v>
      </c>
      <c r="CH467">
        <v>9.1306600000000003E-4</v>
      </c>
      <c r="CI467">
        <v>4.2933779999999996E-3</v>
      </c>
      <c r="CJ467">
        <v>1.062882E-3</v>
      </c>
      <c r="CK467">
        <v>2.0606019999999999E-3</v>
      </c>
      <c r="CL467">
        <v>1.1435740000000001E-3</v>
      </c>
      <c r="CM467">
        <v>2.31525E-3</v>
      </c>
      <c r="CN467">
        <v>2.8857940000000001E-3</v>
      </c>
      <c r="CO467">
        <v>1.22825E-3</v>
      </c>
      <c r="CP467">
        <v>1.608714E-3</v>
      </c>
      <c r="CQ467">
        <v>1.3170059999999999E-3</v>
      </c>
      <c r="CR467">
        <v>1.5071419999999999E-3</v>
      </c>
      <c r="CS467">
        <v>2.2497279999999999E-3</v>
      </c>
      <c r="CT467">
        <v>1.4099379999999999E-3</v>
      </c>
      <c r="CU467">
        <v>1.7147499999999999E-3</v>
      </c>
    </row>
    <row r="468" spans="1:99" x14ac:dyDescent="0.25">
      <c r="A468" t="s">
        <v>146</v>
      </c>
      <c r="B468" t="s">
        <v>203</v>
      </c>
      <c r="C468" t="s">
        <v>192</v>
      </c>
      <c r="D468">
        <v>-1</v>
      </c>
      <c r="E468">
        <v>-1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1472</v>
      </c>
      <c r="N468">
        <v>524.25415660140902</v>
      </c>
      <c r="O468">
        <v>0</v>
      </c>
      <c r="P468">
        <v>1</v>
      </c>
      <c r="Q468">
        <v>1</v>
      </c>
      <c r="R468">
        <v>0.11700000000000001</v>
      </c>
      <c r="BZ468">
        <v>3.203226E-3</v>
      </c>
      <c r="CA468">
        <v>1.679304545033705</v>
      </c>
      <c r="CB468">
        <v>3.203226E-3</v>
      </c>
    </row>
    <row r="469" spans="1:99" x14ac:dyDescent="0.25">
      <c r="A469" t="s">
        <v>146</v>
      </c>
      <c r="B469" t="s">
        <v>204</v>
      </c>
      <c r="C469" t="s">
        <v>192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54464</v>
      </c>
      <c r="N469">
        <v>19397.403794252099</v>
      </c>
      <c r="O469">
        <v>19</v>
      </c>
      <c r="P469">
        <v>18</v>
      </c>
      <c r="Q469">
        <v>37</v>
      </c>
      <c r="R469">
        <v>0.114</v>
      </c>
      <c r="S469">
        <v>0.13300000000000001</v>
      </c>
      <c r="T469">
        <v>0.125</v>
      </c>
      <c r="U469">
        <v>0.13600000000000001</v>
      </c>
      <c r="V469">
        <v>0.13</v>
      </c>
      <c r="W469">
        <v>0.11899999999999999</v>
      </c>
      <c r="X469">
        <v>0.127</v>
      </c>
      <c r="Y469">
        <v>0.126</v>
      </c>
      <c r="Z469">
        <v>0.12</v>
      </c>
      <c r="AA469">
        <v>0.128</v>
      </c>
      <c r="AB469">
        <v>0.11700000000000001</v>
      </c>
      <c r="AC469">
        <v>0.121</v>
      </c>
      <c r="AD469">
        <v>0.122</v>
      </c>
      <c r="AE469">
        <v>0.126</v>
      </c>
      <c r="AF469">
        <v>0.13</v>
      </c>
      <c r="AG469">
        <v>0.129</v>
      </c>
      <c r="AH469">
        <v>0.13600000000000001</v>
      </c>
      <c r="AI469">
        <v>0.121</v>
      </c>
      <c r="AJ469">
        <v>0.155</v>
      </c>
      <c r="AK469">
        <v>0.115</v>
      </c>
      <c r="BZ469">
        <v>4.1123685999999993E-3</v>
      </c>
      <c r="CA469">
        <v>79.769274285003178</v>
      </c>
      <c r="CB469">
        <v>2.963088E-3</v>
      </c>
      <c r="CC469">
        <v>4.7052739999999997E-3</v>
      </c>
      <c r="CD469">
        <v>3.90625E-3</v>
      </c>
      <c r="CE469">
        <v>5.0309120000000002E-3</v>
      </c>
      <c r="CF469">
        <v>4.3940000000000003E-3</v>
      </c>
      <c r="CG469">
        <v>3.3703180000000002E-3</v>
      </c>
      <c r="CH469">
        <v>4.0967659999999999E-3</v>
      </c>
      <c r="CI469">
        <v>4.0007519999999998E-3</v>
      </c>
      <c r="CJ469">
        <v>3.4559999999999999E-3</v>
      </c>
      <c r="CK469">
        <v>4.1943040000000003E-3</v>
      </c>
      <c r="CL469">
        <v>3.203226E-3</v>
      </c>
      <c r="CM469">
        <v>3.5431220000000001E-3</v>
      </c>
      <c r="CN469">
        <v>3.6316959999999998E-3</v>
      </c>
      <c r="CO469">
        <v>4.0007519999999998E-3</v>
      </c>
      <c r="CP469">
        <v>4.3940000000000003E-3</v>
      </c>
      <c r="CQ469">
        <v>4.2933779999999996E-3</v>
      </c>
      <c r="CR469">
        <v>5.0309120000000002E-3</v>
      </c>
      <c r="CS469">
        <v>3.5431220000000001E-3</v>
      </c>
      <c r="CT469">
        <v>7.4477500000000004E-3</v>
      </c>
      <c r="CU469">
        <v>3.0417500000000002E-3</v>
      </c>
    </row>
    <row r="470" spans="1:99" x14ac:dyDescent="0.25">
      <c r="A470" t="s">
        <v>146</v>
      </c>
      <c r="B470" t="s">
        <v>205</v>
      </c>
      <c r="C470" t="s">
        <v>192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23552</v>
      </c>
      <c r="N470">
        <v>8388.0665056225407</v>
      </c>
      <c r="O470">
        <v>9</v>
      </c>
      <c r="P470">
        <v>7</v>
      </c>
      <c r="Q470">
        <v>16</v>
      </c>
      <c r="R470">
        <v>0.106</v>
      </c>
      <c r="S470">
        <v>0.109</v>
      </c>
      <c r="T470">
        <v>9.4E-2</v>
      </c>
      <c r="U470">
        <v>9.6000000000000002E-2</v>
      </c>
      <c r="V470">
        <v>9.5000000000000001E-2</v>
      </c>
      <c r="W470">
        <v>9.7000000000000003E-2</v>
      </c>
      <c r="X470">
        <v>7.8E-2</v>
      </c>
      <c r="Y470">
        <v>8.8999999999999996E-2</v>
      </c>
      <c r="Z470">
        <v>9.2999999999999999E-2</v>
      </c>
      <c r="AA470">
        <v>9.7000000000000003E-2</v>
      </c>
      <c r="AB470">
        <v>0.113</v>
      </c>
      <c r="AC470">
        <v>0.1</v>
      </c>
      <c r="AD470">
        <v>8.1000000000000003E-2</v>
      </c>
      <c r="AE470">
        <v>9.6000000000000002E-2</v>
      </c>
      <c r="AF470">
        <v>0.121</v>
      </c>
      <c r="AG470">
        <v>0.11799999999999999</v>
      </c>
      <c r="BZ470">
        <v>2.017703875E-3</v>
      </c>
      <c r="CA470">
        <v>16.924634292152309</v>
      </c>
      <c r="CB470">
        <v>2.3820320000000001E-3</v>
      </c>
      <c r="CC470">
        <v>2.5900580000000001E-3</v>
      </c>
      <c r="CD470">
        <v>1.661168E-3</v>
      </c>
      <c r="CE470">
        <v>1.769472E-3</v>
      </c>
      <c r="CF470">
        <v>1.7147499999999999E-3</v>
      </c>
      <c r="CG470">
        <v>1.825346E-3</v>
      </c>
      <c r="CH470">
        <v>9.4910399999999998E-4</v>
      </c>
      <c r="CI470">
        <v>1.4099379999999999E-3</v>
      </c>
      <c r="CJ470">
        <v>1.608714E-3</v>
      </c>
      <c r="CK470">
        <v>1.825346E-3</v>
      </c>
      <c r="CL470">
        <v>2.8857940000000001E-3</v>
      </c>
      <c r="CM470">
        <v>2E-3</v>
      </c>
      <c r="CN470">
        <v>1.062882E-3</v>
      </c>
      <c r="CO470">
        <v>1.769472E-3</v>
      </c>
      <c r="CP470">
        <v>3.5431220000000001E-3</v>
      </c>
      <c r="CQ470">
        <v>3.286064E-3</v>
      </c>
    </row>
    <row r="471" spans="1:99" x14ac:dyDescent="0.25">
      <c r="A471" t="s">
        <v>146</v>
      </c>
      <c r="B471" t="s">
        <v>161</v>
      </c>
      <c r="C471" t="s">
        <v>154</v>
      </c>
      <c r="D471">
        <v>-1</v>
      </c>
      <c r="E471">
        <v>19</v>
      </c>
      <c r="F471">
        <v>11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3840</v>
      </c>
      <c r="N471">
        <v>1367.6195389602001</v>
      </c>
      <c r="O471">
        <v>-1</v>
      </c>
      <c r="P471">
        <v>-1</v>
      </c>
      <c r="Q471">
        <v>-1</v>
      </c>
      <c r="R471">
        <v>1.028</v>
      </c>
      <c r="S471">
        <v>0.873</v>
      </c>
      <c r="T471">
        <v>0.66600000000000004</v>
      </c>
      <c r="U471">
        <v>0.91500000000000004</v>
      </c>
      <c r="V471">
        <v>0.95699999999999996</v>
      </c>
      <c r="W471">
        <v>0.82299999999999995</v>
      </c>
      <c r="X471">
        <v>0.95</v>
      </c>
      <c r="Y471">
        <v>0.92300000000000004</v>
      </c>
      <c r="Z471">
        <v>0.96199999999999997</v>
      </c>
      <c r="AA471">
        <v>0.84</v>
      </c>
      <c r="AB471">
        <v>0.91300000000000003</v>
      </c>
      <c r="AC471">
        <v>0.97199999999999998</v>
      </c>
      <c r="AD471">
        <v>0.99299999999999999</v>
      </c>
      <c r="AE471">
        <v>0.92500000000000004</v>
      </c>
      <c r="AF471">
        <v>0.95799999999999996</v>
      </c>
      <c r="AG471">
        <v>0.95899999999999996</v>
      </c>
      <c r="AH471">
        <v>1.0129999999999999</v>
      </c>
      <c r="AI471">
        <v>1.0549999999999999</v>
      </c>
      <c r="AJ471">
        <v>1.022</v>
      </c>
      <c r="AK471">
        <v>0.91</v>
      </c>
      <c r="AL471" t="s">
        <v>155</v>
      </c>
      <c r="AM471" t="s">
        <v>155</v>
      </c>
      <c r="AN471" t="s">
        <v>159</v>
      </c>
      <c r="AO471" t="s">
        <v>155</v>
      </c>
      <c r="AP471" t="s">
        <v>155</v>
      </c>
      <c r="AQ471" t="s">
        <v>155</v>
      </c>
      <c r="AR471" t="s">
        <v>155</v>
      </c>
      <c r="AS471" t="s">
        <v>155</v>
      </c>
      <c r="AT471" t="s">
        <v>156</v>
      </c>
      <c r="AU471" t="s">
        <v>156</v>
      </c>
      <c r="AV471" t="s">
        <v>156</v>
      </c>
      <c r="AW471" t="s">
        <v>155</v>
      </c>
      <c r="AX471" t="s">
        <v>155</v>
      </c>
      <c r="AY471" t="s">
        <v>156</v>
      </c>
      <c r="AZ471" t="s">
        <v>155</v>
      </c>
      <c r="BA471" t="s">
        <v>155</v>
      </c>
      <c r="BB471" t="s">
        <v>155</v>
      </c>
      <c r="BC471" t="s">
        <v>155</v>
      </c>
      <c r="BD471" t="s">
        <v>156</v>
      </c>
      <c r="BE471" t="s">
        <v>156</v>
      </c>
      <c r="BZ471">
        <v>4.1634956648745689</v>
      </c>
      <c r="CA471">
        <v>5694.0780216585499</v>
      </c>
      <c r="CB471">
        <v>5.2673283661506396</v>
      </c>
      <c r="CC471">
        <v>3.4494918041937002</v>
      </c>
      <c r="CD471">
        <v>1.71130129808076</v>
      </c>
      <c r="CE471">
        <v>3.8959094997746</v>
      </c>
      <c r="CF471">
        <v>4.3761292959926203</v>
      </c>
      <c r="CG471">
        <v>2.96083222877968</v>
      </c>
      <c r="CH471">
        <v>4.2937065927586904</v>
      </c>
      <c r="CI471">
        <v>3.9847458948394499</v>
      </c>
      <c r="CJ471">
        <v>4.4355927281215202</v>
      </c>
      <c r="CK471">
        <v>3.1218467298023902</v>
      </c>
      <c r="CL471">
        <v>3.8738922779251799</v>
      </c>
      <c r="CM471">
        <v>4.5560014369802397</v>
      </c>
      <c r="CN471">
        <v>4.8153380347994101</v>
      </c>
      <c r="CO471">
        <v>4.0071473638990396</v>
      </c>
      <c r="CP471">
        <v>4.3879825795333298</v>
      </c>
      <c r="CQ471">
        <v>4.3998555523957696</v>
      </c>
      <c r="CR471">
        <v>5.0705689155121503</v>
      </c>
      <c r="CS471">
        <v>5.6331601283618697</v>
      </c>
      <c r="CT471">
        <v>5.1880726182926997</v>
      </c>
      <c r="CU471">
        <v>3.8410099512976501</v>
      </c>
    </row>
    <row r="472" spans="1:99" x14ac:dyDescent="0.25">
      <c r="A472" t="s">
        <v>146</v>
      </c>
      <c r="B472" t="s">
        <v>165</v>
      </c>
      <c r="C472" t="s">
        <v>158</v>
      </c>
      <c r="D472">
        <v>-1</v>
      </c>
      <c r="E472">
        <v>22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2816</v>
      </c>
      <c r="N472">
        <v>1002.92099523748</v>
      </c>
      <c r="O472">
        <v>-1</v>
      </c>
      <c r="P472">
        <v>-1</v>
      </c>
      <c r="Q472">
        <v>-1</v>
      </c>
      <c r="R472">
        <v>3.7360000000000002</v>
      </c>
      <c r="S472">
        <v>1.143</v>
      </c>
      <c r="T472">
        <v>1.4139999999999999</v>
      </c>
      <c r="U472">
        <v>2.9940000000000002</v>
      </c>
      <c r="V472">
        <v>1.611</v>
      </c>
      <c r="W472">
        <v>2.8250000000000002</v>
      </c>
      <c r="X472">
        <v>2.9279999999999999</v>
      </c>
      <c r="Y472">
        <v>0.67400000000000004</v>
      </c>
      <c r="Z472">
        <v>1.958</v>
      </c>
      <c r="AA472">
        <v>3.2690000000000001</v>
      </c>
      <c r="AB472">
        <v>1.6060000000000001</v>
      </c>
      <c r="AC472">
        <v>2.2799999999999998</v>
      </c>
      <c r="AD472">
        <v>2.1880000000000002</v>
      </c>
      <c r="AE472">
        <v>4.17</v>
      </c>
      <c r="AF472">
        <v>1.706</v>
      </c>
      <c r="AG472">
        <v>3.2970000000000002</v>
      </c>
      <c r="AH472">
        <v>1.3839999999999999</v>
      </c>
      <c r="AI472">
        <v>3.3620000000000001</v>
      </c>
      <c r="AJ472">
        <v>3.2050000000000001</v>
      </c>
      <c r="AK472">
        <v>6.4829999999999997</v>
      </c>
      <c r="AL472" t="s">
        <v>159</v>
      </c>
      <c r="AM472" t="s">
        <v>159</v>
      </c>
      <c r="AN472" t="s">
        <v>159</v>
      </c>
      <c r="AO472" t="s">
        <v>159</v>
      </c>
      <c r="AP472" t="s">
        <v>159</v>
      </c>
      <c r="AQ472" t="s">
        <v>159</v>
      </c>
      <c r="AR472" t="s">
        <v>159</v>
      </c>
      <c r="AS472" t="s">
        <v>159</v>
      </c>
      <c r="AT472" t="s">
        <v>159</v>
      </c>
      <c r="AU472" t="s">
        <v>159</v>
      </c>
      <c r="AV472" t="s">
        <v>159</v>
      </c>
      <c r="AW472" t="s">
        <v>159</v>
      </c>
      <c r="AX472" t="s">
        <v>159</v>
      </c>
      <c r="AY472" t="s">
        <v>159</v>
      </c>
      <c r="AZ472" t="s">
        <v>159</v>
      </c>
      <c r="BA472" t="s">
        <v>159</v>
      </c>
      <c r="BB472" t="s">
        <v>159</v>
      </c>
      <c r="BC472" t="s">
        <v>159</v>
      </c>
      <c r="BD472" t="s">
        <v>159</v>
      </c>
      <c r="BE472" t="s">
        <v>159</v>
      </c>
      <c r="BZ472">
        <v>9.1239449017993728</v>
      </c>
      <c r="CA472">
        <v>9150.5959014045584</v>
      </c>
      <c r="CB472">
        <v>14.836664367267799</v>
      </c>
      <c r="CC472">
        <v>0.62804877235105705</v>
      </c>
      <c r="CD472">
        <v>1.1084340518456099</v>
      </c>
      <c r="CE472">
        <v>8.2148990557182398</v>
      </c>
      <c r="CF472">
        <v>1.57020020164227</v>
      </c>
      <c r="CG472">
        <v>7.0344347105944198</v>
      </c>
      <c r="CH472">
        <v>7.7402448509001802</v>
      </c>
      <c r="CI472">
        <v>0.153296365968143</v>
      </c>
      <c r="CJ472">
        <v>2.6433204227712501</v>
      </c>
      <c r="CK472">
        <v>10.3871827798363</v>
      </c>
      <c r="CL472">
        <v>1.5572219982470701</v>
      </c>
      <c r="CM472">
        <v>3.9691359759795799</v>
      </c>
      <c r="CN472">
        <v>3.5557913902599898</v>
      </c>
      <c r="CO472">
        <v>19.896340405834099</v>
      </c>
      <c r="CP472">
        <v>1.8297591918020999</v>
      </c>
      <c r="CQ472">
        <v>10.6264334018356</v>
      </c>
      <c r="CR472">
        <v>1.04675078798826</v>
      </c>
      <c r="CS472">
        <v>11.195044369937101</v>
      </c>
      <c r="CT472">
        <v>9.8530522600031993</v>
      </c>
      <c r="CU472">
        <v>64.632642675205204</v>
      </c>
    </row>
    <row r="473" spans="1:99" x14ac:dyDescent="0.25">
      <c r="A473" t="s">
        <v>146</v>
      </c>
      <c r="B473" t="s">
        <v>176</v>
      </c>
      <c r="C473" t="s">
        <v>168</v>
      </c>
      <c r="D473">
        <v>-1</v>
      </c>
      <c r="E473">
        <v>0</v>
      </c>
      <c r="F473">
        <v>-1</v>
      </c>
      <c r="G473">
        <v>-1</v>
      </c>
      <c r="H473">
        <v>-1</v>
      </c>
      <c r="I473">
        <v>1</v>
      </c>
      <c r="J473">
        <v>-1</v>
      </c>
      <c r="K473">
        <v>-1</v>
      </c>
      <c r="L473">
        <v>-1</v>
      </c>
      <c r="M473">
        <v>42.6666666666667</v>
      </c>
      <c r="N473">
        <v>15.1957726551133</v>
      </c>
      <c r="O473">
        <v>-1</v>
      </c>
      <c r="P473">
        <v>-1</v>
      </c>
      <c r="Q473">
        <v>-1</v>
      </c>
      <c r="R473">
        <v>0.51600000000000001</v>
      </c>
      <c r="AL473" t="s">
        <v>169</v>
      </c>
      <c r="BZ473">
        <v>0.38031911643132399</v>
      </c>
      <c r="CA473">
        <v>5.7792428296839642</v>
      </c>
      <c r="CB473">
        <v>0.38031911643132399</v>
      </c>
    </row>
    <row r="474" spans="1:99" x14ac:dyDescent="0.25">
      <c r="A474" t="s">
        <v>146</v>
      </c>
      <c r="B474" t="s">
        <v>212</v>
      </c>
      <c r="C474" t="s">
        <v>192</v>
      </c>
      <c r="D474">
        <v>-1</v>
      </c>
      <c r="E474">
        <v>-1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2944</v>
      </c>
      <c r="N474">
        <v>1048.5083132028201</v>
      </c>
      <c r="O474">
        <v>0</v>
      </c>
      <c r="P474">
        <v>2</v>
      </c>
      <c r="Q474">
        <v>2</v>
      </c>
      <c r="R474">
        <v>0.17699999999999999</v>
      </c>
      <c r="S474">
        <v>0.16900000000000001</v>
      </c>
      <c r="BZ474">
        <v>5.1860210000000004E-2</v>
      </c>
      <c r="CA474">
        <v>54.375861309444026</v>
      </c>
      <c r="CB474">
        <v>5.5452330000000001E-2</v>
      </c>
      <c r="CC474">
        <v>4.826809E-2</v>
      </c>
    </row>
    <row r="475" spans="1:99" x14ac:dyDescent="0.25">
      <c r="A475" t="s">
        <v>146</v>
      </c>
      <c r="B475" t="s">
        <v>207</v>
      </c>
      <c r="C475" t="s">
        <v>192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30912</v>
      </c>
      <c r="N475">
        <v>11009.3372886296</v>
      </c>
      <c r="O475">
        <v>16</v>
      </c>
      <c r="P475">
        <v>5</v>
      </c>
      <c r="Q475">
        <v>21</v>
      </c>
      <c r="R475">
        <v>0.13500000000000001</v>
      </c>
      <c r="S475">
        <v>0.15</v>
      </c>
      <c r="T475">
        <v>9.9000000000000005E-2</v>
      </c>
      <c r="U475">
        <v>0.127</v>
      </c>
      <c r="V475">
        <v>9.5000000000000001E-2</v>
      </c>
      <c r="W475">
        <v>0.154</v>
      </c>
      <c r="X475">
        <v>0.126</v>
      </c>
      <c r="Y475">
        <v>0.13400000000000001</v>
      </c>
      <c r="Z475">
        <v>0.14299999999999999</v>
      </c>
      <c r="AA475">
        <v>0.13400000000000001</v>
      </c>
      <c r="AB475">
        <v>0.14000000000000001</v>
      </c>
      <c r="AC475">
        <v>8.5000000000000006E-2</v>
      </c>
      <c r="AD475">
        <v>0.14000000000000001</v>
      </c>
      <c r="AE475">
        <v>0.13700000000000001</v>
      </c>
      <c r="AF475">
        <v>0.14699999999999999</v>
      </c>
      <c r="AG475">
        <v>0.09</v>
      </c>
      <c r="AH475">
        <v>0.1</v>
      </c>
      <c r="AI475">
        <v>0.129</v>
      </c>
      <c r="AJ475">
        <v>0.19600000000000001</v>
      </c>
      <c r="AK475">
        <v>0.10100000000000001</v>
      </c>
      <c r="BZ475">
        <v>2.3693007000000006E-2</v>
      </c>
      <c r="CA475">
        <v>260.84430544486219</v>
      </c>
      <c r="CB475">
        <v>2.4603750000000001E-2</v>
      </c>
      <c r="CC475">
        <v>3.3750000000000002E-2</v>
      </c>
      <c r="CD475">
        <v>9.7029899999999999E-3</v>
      </c>
      <c r="CE475">
        <v>2.0483830000000001E-2</v>
      </c>
      <c r="CF475">
        <v>8.5737499999999998E-3</v>
      </c>
      <c r="CG475">
        <v>3.6522640000000002E-2</v>
      </c>
      <c r="CH475">
        <v>2.0003759999999999E-2</v>
      </c>
      <c r="CI475">
        <v>2.4061039999999999E-2</v>
      </c>
      <c r="CJ475">
        <v>2.9242069999999998E-2</v>
      </c>
      <c r="CK475">
        <v>2.4061039999999999E-2</v>
      </c>
      <c r="CL475">
        <v>2.7439999999999999E-2</v>
      </c>
      <c r="CM475">
        <v>6.14125E-3</v>
      </c>
      <c r="CN475">
        <v>2.7439999999999999E-2</v>
      </c>
      <c r="CO475">
        <v>2.5713529999999998E-2</v>
      </c>
      <c r="CP475">
        <v>3.1765229999999998E-2</v>
      </c>
      <c r="CQ475">
        <v>7.2899999999999996E-3</v>
      </c>
      <c r="CR475">
        <v>0.01</v>
      </c>
      <c r="CS475">
        <v>2.1466889999999999E-2</v>
      </c>
      <c r="CT475">
        <v>7.5295360000000006E-2</v>
      </c>
      <c r="CU475">
        <v>1.030301E-2</v>
      </c>
    </row>
    <row r="476" spans="1:99" x14ac:dyDescent="0.25">
      <c r="A476" t="s">
        <v>146</v>
      </c>
      <c r="B476" t="s">
        <v>208</v>
      </c>
      <c r="C476" t="s">
        <v>192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45632</v>
      </c>
      <c r="N476">
        <v>16251.878854643701</v>
      </c>
      <c r="O476">
        <v>18</v>
      </c>
      <c r="P476">
        <v>13</v>
      </c>
      <c r="Q476">
        <v>31</v>
      </c>
      <c r="R476">
        <v>0.107</v>
      </c>
      <c r="S476">
        <v>9.5000000000000001E-2</v>
      </c>
      <c r="T476">
        <v>8.2000000000000003E-2</v>
      </c>
      <c r="U476">
        <v>0.123</v>
      </c>
      <c r="V476">
        <v>0.09</v>
      </c>
      <c r="W476">
        <v>9.8000000000000004E-2</v>
      </c>
      <c r="X476">
        <v>8.3000000000000004E-2</v>
      </c>
      <c r="Y476">
        <v>9.5000000000000001E-2</v>
      </c>
      <c r="Z476">
        <v>8.4000000000000005E-2</v>
      </c>
      <c r="AA476">
        <v>6.7000000000000004E-2</v>
      </c>
      <c r="AB476">
        <v>8.7999999999999995E-2</v>
      </c>
      <c r="AC476">
        <v>9.8000000000000004E-2</v>
      </c>
      <c r="AD476">
        <v>0.09</v>
      </c>
      <c r="AE476">
        <v>0.1</v>
      </c>
      <c r="AF476">
        <v>0.09</v>
      </c>
      <c r="AG476">
        <v>0.11799999999999999</v>
      </c>
      <c r="AH476">
        <v>0.105</v>
      </c>
      <c r="AI476">
        <v>0.11799999999999999</v>
      </c>
      <c r="AJ476">
        <v>0.12</v>
      </c>
      <c r="AK476">
        <v>8.6999999999999994E-2</v>
      </c>
      <c r="BZ476">
        <v>2.9873428199999996E-2</v>
      </c>
      <c r="CA476">
        <v>485.49933607929677</v>
      </c>
      <c r="CB476">
        <v>3.7731324400000002E-2</v>
      </c>
      <c r="CC476">
        <v>2.6407150000000001E-2</v>
      </c>
      <c r="CD476">
        <v>1.6982134400000001E-2</v>
      </c>
      <c r="CE476">
        <v>5.7314703600000003E-2</v>
      </c>
      <c r="CF476">
        <v>2.24532E-2</v>
      </c>
      <c r="CG476">
        <v>2.89887136E-2</v>
      </c>
      <c r="CH476">
        <v>1.76110396E-2</v>
      </c>
      <c r="CI476">
        <v>2.6407150000000001E-2</v>
      </c>
      <c r="CJ476">
        <v>1.82552832E-2</v>
      </c>
      <c r="CK476">
        <v>9.2635003999999993E-3</v>
      </c>
      <c r="CL476">
        <v>2.0989337600000001E-2</v>
      </c>
      <c r="CM476">
        <v>2.89887136E-2</v>
      </c>
      <c r="CN476">
        <v>2.24532E-2</v>
      </c>
      <c r="CO476">
        <v>3.0800000000000001E-2</v>
      </c>
      <c r="CP476">
        <v>2.24532E-2</v>
      </c>
      <c r="CQ476">
        <v>5.0605385599999997E-2</v>
      </c>
      <c r="CR476">
        <v>3.5654850000000002E-2</v>
      </c>
      <c r="CS476">
        <v>5.0605385599999997E-2</v>
      </c>
      <c r="CT476">
        <v>5.3222400000000003E-2</v>
      </c>
      <c r="CU476">
        <v>2.0281892400000001E-2</v>
      </c>
    </row>
    <row r="477" spans="1:99" x14ac:dyDescent="0.25">
      <c r="A477" t="s">
        <v>146</v>
      </c>
      <c r="B477" t="s">
        <v>209</v>
      </c>
      <c r="C477" t="s">
        <v>192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58880</v>
      </c>
      <c r="N477">
        <v>20970.166264056399</v>
      </c>
      <c r="O477">
        <v>24</v>
      </c>
      <c r="P477">
        <v>16</v>
      </c>
      <c r="Q477">
        <v>40</v>
      </c>
      <c r="R477">
        <v>7.4999999999999997E-2</v>
      </c>
      <c r="S477">
        <v>9.4E-2</v>
      </c>
      <c r="T477">
        <v>0.124</v>
      </c>
      <c r="U477">
        <v>0.108</v>
      </c>
      <c r="V477">
        <v>0.10100000000000001</v>
      </c>
      <c r="W477">
        <v>0.104</v>
      </c>
      <c r="X477">
        <v>0.109</v>
      </c>
      <c r="Y477">
        <v>9.6000000000000002E-2</v>
      </c>
      <c r="Z477">
        <v>9.7000000000000003E-2</v>
      </c>
      <c r="AA477">
        <v>0.105</v>
      </c>
      <c r="AB477">
        <v>9.5000000000000001E-2</v>
      </c>
      <c r="AC477">
        <v>0.11</v>
      </c>
      <c r="AD477">
        <v>0.108</v>
      </c>
      <c r="AE477">
        <v>8.7999999999999995E-2</v>
      </c>
      <c r="AF477">
        <v>0.11899999999999999</v>
      </c>
      <c r="AG477">
        <v>0.10199999999999999</v>
      </c>
      <c r="AH477">
        <v>0.10199999999999999</v>
      </c>
      <c r="AI477">
        <v>9.2999999999999999E-2</v>
      </c>
      <c r="AJ477">
        <v>0.104</v>
      </c>
      <c r="AK477">
        <v>0.112</v>
      </c>
      <c r="BZ477">
        <v>3.4026771240000003E-2</v>
      </c>
      <c r="CA477">
        <v>713.54705033181256</v>
      </c>
      <c r="CB477">
        <v>1.299375E-2</v>
      </c>
      <c r="CC477">
        <v>2.55819872E-2</v>
      </c>
      <c r="CD477">
        <v>5.8724019199999998E-2</v>
      </c>
      <c r="CE477">
        <v>3.8799129600000003E-2</v>
      </c>
      <c r="CF477">
        <v>3.1733270799999998E-2</v>
      </c>
      <c r="CG477">
        <v>3.4645811200000001E-2</v>
      </c>
      <c r="CH477">
        <v>3.9886893200000002E-2</v>
      </c>
      <c r="CI477">
        <v>2.72498688E-2</v>
      </c>
      <c r="CJ477">
        <v>2.8110328399999999E-2</v>
      </c>
      <c r="CK477">
        <v>3.5654850000000002E-2</v>
      </c>
      <c r="CL477">
        <v>2.6407150000000001E-2</v>
      </c>
      <c r="CM477">
        <v>4.0994799999999998E-2</v>
      </c>
      <c r="CN477">
        <v>3.8799129600000003E-2</v>
      </c>
      <c r="CO477">
        <v>2.0989337600000001E-2</v>
      </c>
      <c r="CP477">
        <v>5.1902897199999999E-2</v>
      </c>
      <c r="CQ477">
        <v>3.26852064E-2</v>
      </c>
      <c r="CR477">
        <v>3.26852064E-2</v>
      </c>
      <c r="CS477">
        <v>2.47741956E-2</v>
      </c>
      <c r="CT477">
        <v>3.4645811200000001E-2</v>
      </c>
      <c r="CU477">
        <v>4.32717824E-2</v>
      </c>
    </row>
    <row r="478" spans="1:99" x14ac:dyDescent="0.25">
      <c r="A478" t="s">
        <v>146</v>
      </c>
      <c r="B478" t="s">
        <v>153</v>
      </c>
      <c r="C478" t="s">
        <v>154</v>
      </c>
      <c r="D478">
        <v>-1</v>
      </c>
      <c r="E478">
        <v>3</v>
      </c>
      <c r="F478">
        <v>0</v>
      </c>
      <c r="G478">
        <v>-1</v>
      </c>
      <c r="H478">
        <v>-1</v>
      </c>
      <c r="I478">
        <v>8</v>
      </c>
      <c r="J478">
        <v>2</v>
      </c>
      <c r="K478">
        <v>-1</v>
      </c>
      <c r="L478">
        <v>-1</v>
      </c>
      <c r="M478">
        <v>554.66666666666697</v>
      </c>
      <c r="N478">
        <v>197.54504451647301</v>
      </c>
      <c r="O478">
        <v>-1</v>
      </c>
      <c r="P478">
        <v>-1</v>
      </c>
      <c r="Q478">
        <v>-1</v>
      </c>
      <c r="R478">
        <v>1.1990000000000001</v>
      </c>
      <c r="S478">
        <v>1.0720000000000001</v>
      </c>
      <c r="T478">
        <v>1.353</v>
      </c>
      <c r="U478">
        <v>1.002</v>
      </c>
      <c r="V478">
        <v>1.0129999999999999</v>
      </c>
      <c r="W478">
        <v>1.0580000000000001</v>
      </c>
      <c r="X478">
        <v>1.006</v>
      </c>
      <c r="Y478">
        <v>1.117</v>
      </c>
      <c r="Z478">
        <v>1.0880000000000001</v>
      </c>
      <c r="AA478">
        <v>1.0069999999999999</v>
      </c>
      <c r="AB478">
        <v>1.2509999999999999</v>
      </c>
      <c r="AC478">
        <v>0.91300000000000003</v>
      </c>
      <c r="AD478">
        <v>1.3180000000000001</v>
      </c>
      <c r="AL478" t="s">
        <v>155</v>
      </c>
      <c r="AM478" t="s">
        <v>155</v>
      </c>
      <c r="AN478" t="s">
        <v>155</v>
      </c>
      <c r="AO478" t="s">
        <v>155</v>
      </c>
      <c r="AP478" t="s">
        <v>155</v>
      </c>
      <c r="AQ478" t="s">
        <v>155</v>
      </c>
      <c r="AR478" t="s">
        <v>155</v>
      </c>
      <c r="AS478" t="s">
        <v>156</v>
      </c>
      <c r="AT478" t="s">
        <v>155</v>
      </c>
      <c r="AU478" t="s">
        <v>155</v>
      </c>
      <c r="AV478" t="s">
        <v>155</v>
      </c>
      <c r="AW478" t="s">
        <v>156</v>
      </c>
      <c r="AX478" t="s">
        <v>155</v>
      </c>
      <c r="BZ478">
        <v>6.5680988584684616</v>
      </c>
      <c r="CA478">
        <v>1297.4953813847478</v>
      </c>
      <c r="CB478">
        <v>7.8463903573914102</v>
      </c>
      <c r="CC478">
        <v>5.8712790269495203</v>
      </c>
      <c r="CD478">
        <v>10.7297479311827</v>
      </c>
      <c r="CE478">
        <v>4.9291907519150699</v>
      </c>
      <c r="CF478">
        <v>5.0705689155121503</v>
      </c>
      <c r="CG478">
        <v>5.6747417946910801</v>
      </c>
      <c r="CH478">
        <v>4.98031710964508</v>
      </c>
      <c r="CI478">
        <v>6.5310941522602404</v>
      </c>
      <c r="CJ478">
        <v>6.10094437300544</v>
      </c>
      <c r="CK478">
        <v>4.9931493331710497</v>
      </c>
      <c r="CL478">
        <v>8.7583976324413904</v>
      </c>
      <c r="CM478">
        <v>3.8738922779251799</v>
      </c>
      <c r="CN478">
        <v>10.0255715039997</v>
      </c>
    </row>
    <row r="479" spans="1:99" x14ac:dyDescent="0.25">
      <c r="A479" t="s">
        <v>146</v>
      </c>
      <c r="B479" t="s">
        <v>210</v>
      </c>
      <c r="C479" t="s">
        <v>192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7360</v>
      </c>
      <c r="N479">
        <v>2621.2707830070399</v>
      </c>
      <c r="O479">
        <v>3</v>
      </c>
      <c r="P479">
        <v>2</v>
      </c>
      <c r="Q479">
        <v>5</v>
      </c>
      <c r="R479">
        <v>0.17399999999999999</v>
      </c>
      <c r="S479">
        <v>0.16</v>
      </c>
      <c r="T479">
        <v>8.7999999999999995E-2</v>
      </c>
      <c r="U479">
        <v>0.183</v>
      </c>
      <c r="V479">
        <v>0.124</v>
      </c>
      <c r="BZ479">
        <v>3.6161214000000004E-2</v>
      </c>
      <c r="CA479">
        <v>94.788333736265145</v>
      </c>
      <c r="CB479">
        <v>5.2680240000000003E-2</v>
      </c>
      <c r="CC479">
        <v>4.0960000000000003E-2</v>
      </c>
      <c r="CD479">
        <v>6.8147199999999998E-3</v>
      </c>
      <c r="CE479">
        <v>6.1284869999999998E-2</v>
      </c>
      <c r="CF479">
        <v>1.9066240000000002E-2</v>
      </c>
    </row>
    <row r="480" spans="1:99" x14ac:dyDescent="0.25">
      <c r="A480" t="s">
        <v>146</v>
      </c>
      <c r="B480" t="s">
        <v>215</v>
      </c>
      <c r="C480" t="s">
        <v>192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5888</v>
      </c>
      <c r="N480">
        <v>2097.0166264056402</v>
      </c>
      <c r="O480">
        <v>2</v>
      </c>
      <c r="P480">
        <v>2</v>
      </c>
      <c r="Q480">
        <v>4</v>
      </c>
      <c r="R480">
        <v>0.39900000000000002</v>
      </c>
      <c r="S480">
        <v>0.36199999999999999</v>
      </c>
      <c r="T480">
        <v>8.7999999999999995E-2</v>
      </c>
      <c r="U480">
        <v>0.36299999999999999</v>
      </c>
      <c r="BF480">
        <v>9.7000000000000003E-2</v>
      </c>
      <c r="BG480">
        <v>6.8000000000000005E-2</v>
      </c>
      <c r="BH480">
        <v>3.2000000000000001E-2</v>
      </c>
      <c r="BI480">
        <v>7.8E-2</v>
      </c>
      <c r="BZ480">
        <v>0.101049560274</v>
      </c>
      <c r="CA480">
        <v>211.90260798555687</v>
      </c>
      <c r="CB480">
        <v>0.196389239592</v>
      </c>
      <c r="CC480">
        <v>8.7564429055999995E-2</v>
      </c>
      <c r="CD480">
        <v>4.7139389439999997E-3</v>
      </c>
      <c r="CE480">
        <v>0.115530633504</v>
      </c>
    </row>
    <row r="481" spans="1:99" x14ac:dyDescent="0.25">
      <c r="A481" t="s">
        <v>146</v>
      </c>
      <c r="B481" t="s">
        <v>211</v>
      </c>
      <c r="C481" t="s">
        <v>192</v>
      </c>
      <c r="D481">
        <v>-1</v>
      </c>
      <c r="E481">
        <v>-1</v>
      </c>
      <c r="F481">
        <v>-1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22080</v>
      </c>
      <c r="N481">
        <v>7863.8123490211301</v>
      </c>
      <c r="O481">
        <v>9</v>
      </c>
      <c r="P481">
        <v>6</v>
      </c>
      <c r="Q481">
        <v>15</v>
      </c>
      <c r="R481">
        <v>0.193</v>
      </c>
      <c r="S481">
        <v>0.20699999999999999</v>
      </c>
      <c r="T481">
        <v>0.19</v>
      </c>
      <c r="U481">
        <v>0.17399999999999999</v>
      </c>
      <c r="V481">
        <v>0.182</v>
      </c>
      <c r="W481">
        <v>0.16700000000000001</v>
      </c>
      <c r="X481">
        <v>0.153</v>
      </c>
      <c r="Y481">
        <v>0.189</v>
      </c>
      <c r="Z481">
        <v>0.13100000000000001</v>
      </c>
      <c r="AA481">
        <v>0.128</v>
      </c>
      <c r="AB481">
        <v>0.156</v>
      </c>
      <c r="AC481">
        <v>0.21099999999999999</v>
      </c>
      <c r="AD481">
        <v>0.128</v>
      </c>
      <c r="AE481">
        <v>0.189</v>
      </c>
      <c r="AF481">
        <v>0.14000000000000001</v>
      </c>
      <c r="BF481">
        <v>8.5000000000000006E-2</v>
      </c>
      <c r="BG481">
        <v>9.4E-2</v>
      </c>
      <c r="BH481">
        <v>8.5999999999999993E-2</v>
      </c>
      <c r="BI481">
        <v>9.7000000000000003E-2</v>
      </c>
      <c r="BJ481">
        <v>0.09</v>
      </c>
      <c r="BK481">
        <v>8.2000000000000003E-2</v>
      </c>
      <c r="BL481">
        <v>0.1</v>
      </c>
      <c r="BM481">
        <v>7.5999999999999998E-2</v>
      </c>
      <c r="BN481">
        <v>4.5172413793103501E-2</v>
      </c>
      <c r="BO481">
        <v>0.107</v>
      </c>
      <c r="BP481">
        <v>0.11600000000000001</v>
      </c>
      <c r="BQ481">
        <v>8.8999999999999996E-2</v>
      </c>
      <c r="BR481">
        <v>0.106</v>
      </c>
      <c r="BS481">
        <v>0.11</v>
      </c>
      <c r="BT481">
        <v>0.115</v>
      </c>
      <c r="BZ481">
        <v>7.8692989213664993E-2</v>
      </c>
      <c r="CA481">
        <v>618.82690035980534</v>
      </c>
      <c r="CB481">
        <v>7.2945160600000003E-2</v>
      </c>
      <c r="CC481">
        <v>9.5681368224000002E-2</v>
      </c>
      <c r="CD481">
        <v>7.351091488E-2</v>
      </c>
      <c r="CE481">
        <v>8.5643427792000001E-2</v>
      </c>
      <c r="CF481">
        <v>7.7118350399999994E-2</v>
      </c>
      <c r="CG481">
        <v>5.8741563295999999E-2</v>
      </c>
      <c r="CH481">
        <v>8.0037360000000002E-2</v>
      </c>
      <c r="CI481">
        <v>5.7107127168000003E-2</v>
      </c>
      <c r="CJ481">
        <v>1.3983607180974999E-2</v>
      </c>
      <c r="CK481">
        <v>7.6661771264000006E-2</v>
      </c>
      <c r="CL481">
        <v>0.109810002432</v>
      </c>
      <c r="CM481">
        <v>8.7430667271999996E-2</v>
      </c>
      <c r="CN481">
        <v>7.5235536896000002E-2</v>
      </c>
      <c r="CO481">
        <v>0.1196323128</v>
      </c>
      <c r="CP481">
        <v>9.6855668000000006E-2</v>
      </c>
    </row>
    <row r="482" spans="1:99" x14ac:dyDescent="0.25">
      <c r="A482" t="s">
        <v>146</v>
      </c>
      <c r="B482" t="s">
        <v>182</v>
      </c>
      <c r="C482" t="s">
        <v>154</v>
      </c>
      <c r="D482">
        <v>-1</v>
      </c>
      <c r="E482">
        <v>0</v>
      </c>
      <c r="F482">
        <v>1</v>
      </c>
      <c r="G482">
        <v>-1</v>
      </c>
      <c r="H482">
        <v>-1</v>
      </c>
      <c r="I482">
        <v>0</v>
      </c>
      <c r="J482">
        <v>1</v>
      </c>
      <c r="K482">
        <v>-1</v>
      </c>
      <c r="L482">
        <v>-1</v>
      </c>
      <c r="M482">
        <v>85.3333333333333</v>
      </c>
      <c r="N482">
        <v>30.391545310226601</v>
      </c>
      <c r="O482">
        <v>-1</v>
      </c>
      <c r="P482">
        <v>-1</v>
      </c>
      <c r="Q482">
        <v>-1</v>
      </c>
      <c r="R482">
        <v>0.443</v>
      </c>
      <c r="S482">
        <v>0.42699999999999999</v>
      </c>
      <c r="AL482" t="s">
        <v>156</v>
      </c>
      <c r="AM482" t="s">
        <v>156</v>
      </c>
      <c r="BZ482">
        <v>0.19346229890598499</v>
      </c>
      <c r="CA482">
        <v>5.8796182230218452</v>
      </c>
      <c r="CB482">
        <v>0.20756380959176099</v>
      </c>
      <c r="CC482">
        <v>0.17936078822020901</v>
      </c>
    </row>
    <row r="483" spans="1:99" x14ac:dyDescent="0.25">
      <c r="A483" t="s">
        <v>148</v>
      </c>
      <c r="B483" t="s">
        <v>191</v>
      </c>
      <c r="C483" t="s">
        <v>192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12992</v>
      </c>
      <c r="N483">
        <v>4131.3506906089297</v>
      </c>
      <c r="O483">
        <v>5</v>
      </c>
      <c r="P483">
        <v>2</v>
      </c>
      <c r="Q483">
        <v>7</v>
      </c>
      <c r="R483">
        <v>0.154</v>
      </c>
      <c r="S483">
        <v>9.9000000000000005E-2</v>
      </c>
      <c r="T483">
        <v>0.104</v>
      </c>
      <c r="U483">
        <v>0.10299999999999999</v>
      </c>
      <c r="V483">
        <v>9.5000000000000001E-2</v>
      </c>
      <c r="W483">
        <v>9.8000000000000004E-2</v>
      </c>
      <c r="X483">
        <v>0.10299999999999999</v>
      </c>
      <c r="BZ483">
        <v>1.6682482285714284E-2</v>
      </c>
      <c r="CA483">
        <v>68.921184712156943</v>
      </c>
      <c r="CB483">
        <v>4.3827168E-2</v>
      </c>
      <c r="CC483">
        <v>1.1643588E-2</v>
      </c>
      <c r="CD483">
        <v>1.3498368E-2</v>
      </c>
      <c r="CE483">
        <v>1.3112723999999999E-2</v>
      </c>
      <c r="CF483">
        <v>1.0288500000000001E-2</v>
      </c>
      <c r="CG483">
        <v>1.1294304E-2</v>
      </c>
      <c r="CH483">
        <v>1.3112723999999999E-2</v>
      </c>
    </row>
    <row r="484" spans="1:99" x14ac:dyDescent="0.25">
      <c r="A484" t="s">
        <v>148</v>
      </c>
      <c r="B484" t="s">
        <v>193</v>
      </c>
      <c r="C484" t="s">
        <v>192</v>
      </c>
      <c r="D484">
        <v>-1</v>
      </c>
      <c r="E484">
        <v>-1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1856</v>
      </c>
      <c r="N484">
        <v>590.19295580127505</v>
      </c>
      <c r="O484">
        <v>1</v>
      </c>
      <c r="P484">
        <v>0</v>
      </c>
      <c r="Q484">
        <v>1</v>
      </c>
      <c r="R484">
        <v>0.65600000000000003</v>
      </c>
      <c r="BZ484">
        <v>2.53223473152</v>
      </c>
      <c r="CA484">
        <v>1494.5071009784369</v>
      </c>
      <c r="CB484">
        <v>2.53223473152</v>
      </c>
    </row>
    <row r="485" spans="1:99" x14ac:dyDescent="0.25">
      <c r="A485" t="s">
        <v>148</v>
      </c>
      <c r="B485" t="s">
        <v>172</v>
      </c>
      <c r="C485" t="s">
        <v>158</v>
      </c>
      <c r="D485">
        <v>-1</v>
      </c>
      <c r="E485">
        <v>88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45056</v>
      </c>
      <c r="N485">
        <v>14327.442789106801</v>
      </c>
      <c r="O485">
        <v>-1</v>
      </c>
      <c r="P485">
        <v>-1</v>
      </c>
      <c r="Q485">
        <v>-1</v>
      </c>
      <c r="R485">
        <v>0.28499999999999998</v>
      </c>
      <c r="S485">
        <v>0.376</v>
      </c>
      <c r="T485">
        <v>0.47499999999999998</v>
      </c>
      <c r="U485">
        <v>0.23499999999999999</v>
      </c>
      <c r="V485">
        <v>0.32</v>
      </c>
      <c r="W485">
        <v>0.45400000000000001</v>
      </c>
      <c r="X485">
        <v>0.59099999999999997</v>
      </c>
      <c r="Y485">
        <v>0.52700000000000002</v>
      </c>
      <c r="Z485">
        <v>0.27900000000000003</v>
      </c>
      <c r="AA485">
        <v>0.4</v>
      </c>
      <c r="AB485">
        <v>0.47599999999999998</v>
      </c>
      <c r="AC485">
        <v>0.47299999999999998</v>
      </c>
      <c r="AD485">
        <v>0.245</v>
      </c>
      <c r="AE485">
        <v>0.47199999999999998</v>
      </c>
      <c r="AF485">
        <v>0.46</v>
      </c>
      <c r="AG485">
        <v>0.46300000000000002</v>
      </c>
      <c r="AH485">
        <v>0.42699999999999999</v>
      </c>
      <c r="AI485">
        <v>0.40799999999999997</v>
      </c>
      <c r="AJ485">
        <v>0.47499999999999998</v>
      </c>
      <c r="AK485">
        <v>0.23300000000000001</v>
      </c>
      <c r="AL485" t="s">
        <v>159</v>
      </c>
      <c r="AM485" t="s">
        <v>159</v>
      </c>
      <c r="AN485" t="s">
        <v>159</v>
      </c>
      <c r="AO485" t="s">
        <v>159</v>
      </c>
      <c r="AP485" t="s">
        <v>159</v>
      </c>
      <c r="AQ485" t="s">
        <v>159</v>
      </c>
      <c r="AR485" t="s">
        <v>159</v>
      </c>
      <c r="AS485" t="s">
        <v>159</v>
      </c>
      <c r="AT485" t="s">
        <v>159</v>
      </c>
      <c r="AU485" t="s">
        <v>159</v>
      </c>
      <c r="AV485" t="s">
        <v>159</v>
      </c>
      <c r="AW485" t="s">
        <v>159</v>
      </c>
      <c r="AX485" t="s">
        <v>159</v>
      </c>
      <c r="AY485" t="s">
        <v>159</v>
      </c>
      <c r="AZ485" t="s">
        <v>159</v>
      </c>
      <c r="BA485" t="s">
        <v>159</v>
      </c>
      <c r="BB485" t="s">
        <v>159</v>
      </c>
      <c r="BC485" t="s">
        <v>159</v>
      </c>
      <c r="BD485" t="s">
        <v>159</v>
      </c>
      <c r="BE485" t="s">
        <v>159</v>
      </c>
      <c r="BZ485">
        <v>1.6989732785975815</v>
      </c>
      <c r="CA485">
        <v>24341.94244932806</v>
      </c>
      <c r="CB485">
        <v>0.628874710985174</v>
      </c>
      <c r="CC485">
        <v>1.26774493060577</v>
      </c>
      <c r="CD485">
        <v>2.29003155828766</v>
      </c>
      <c r="CE485">
        <v>0.386018684580413</v>
      </c>
      <c r="CF485">
        <v>0.84301650990673405</v>
      </c>
      <c r="CG485">
        <v>2.0424806115949701</v>
      </c>
      <c r="CH485">
        <v>3.98036557547537</v>
      </c>
      <c r="CI485">
        <v>2.9784306431534202</v>
      </c>
      <c r="CJ485">
        <v>0.595916306080575</v>
      </c>
      <c r="CK485">
        <v>1.4825809414743101</v>
      </c>
      <c r="CL485">
        <v>2.3022486411234602</v>
      </c>
      <c r="CM485">
        <v>2.2657152144497799</v>
      </c>
      <c r="CN485">
        <v>0.428940277450781</v>
      </c>
      <c r="CO485">
        <v>2.2536158656852101</v>
      </c>
      <c r="CP485">
        <v>2.1114653023765402</v>
      </c>
      <c r="CQ485">
        <v>2.1464784971809499</v>
      </c>
      <c r="CR485">
        <v>1.7489973793128699</v>
      </c>
      <c r="CS485">
        <v>1.5587513676566001</v>
      </c>
      <c r="CT485">
        <v>2.29003155828766</v>
      </c>
      <c r="CU485">
        <v>0.377760996283382</v>
      </c>
    </row>
    <row r="486" spans="1:99" x14ac:dyDescent="0.25">
      <c r="A486" t="s">
        <v>148</v>
      </c>
      <c r="B486" t="s">
        <v>157</v>
      </c>
      <c r="C486" t="s">
        <v>158</v>
      </c>
      <c r="D486">
        <v>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1</v>
      </c>
      <c r="N486">
        <v>0.31799189428947999</v>
      </c>
      <c r="O486">
        <v>-1</v>
      </c>
      <c r="P486">
        <v>-1</v>
      </c>
      <c r="Q486">
        <v>-1</v>
      </c>
      <c r="R486">
        <v>1.581</v>
      </c>
      <c r="AL486" t="s">
        <v>159</v>
      </c>
      <c r="BZ486">
        <v>44.138847778588001</v>
      </c>
      <c r="CA486">
        <v>14.035795816868205</v>
      </c>
      <c r="CB486">
        <v>44.138847778588001</v>
      </c>
    </row>
    <row r="487" spans="1:99" x14ac:dyDescent="0.25">
      <c r="A487" t="s">
        <v>148</v>
      </c>
      <c r="B487" t="s">
        <v>171</v>
      </c>
      <c r="C487" t="s">
        <v>158</v>
      </c>
      <c r="D487">
        <v>338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338</v>
      </c>
      <c r="N487">
        <v>107.481260269844</v>
      </c>
      <c r="O487">
        <v>-1</v>
      </c>
      <c r="P487">
        <v>-1</v>
      </c>
      <c r="Q487">
        <v>-1</v>
      </c>
      <c r="R487">
        <v>1.111</v>
      </c>
      <c r="S487">
        <v>1.244</v>
      </c>
      <c r="T487">
        <v>1.149</v>
      </c>
      <c r="U487">
        <v>1.181</v>
      </c>
      <c r="V487">
        <v>1.004</v>
      </c>
      <c r="W487">
        <v>1.0609999999999999</v>
      </c>
      <c r="X487">
        <v>1.175</v>
      </c>
      <c r="Y487">
        <v>0.79700000000000004</v>
      </c>
      <c r="Z487">
        <v>0.88400000000000001</v>
      </c>
      <c r="AA487">
        <v>0.94499999999999995</v>
      </c>
      <c r="AB487">
        <v>0.91700000000000004</v>
      </c>
      <c r="AC487">
        <v>1.508</v>
      </c>
      <c r="AD487">
        <v>1.034</v>
      </c>
      <c r="AE487">
        <v>1.7989999999999999</v>
      </c>
      <c r="AF487">
        <v>0.68799999999999994</v>
      </c>
      <c r="AG487">
        <v>0.97099999999999997</v>
      </c>
      <c r="AH487">
        <v>1.359</v>
      </c>
      <c r="AI487">
        <v>1.3979999999999999</v>
      </c>
      <c r="AJ487">
        <v>0.95299999999999996</v>
      </c>
      <c r="AK487">
        <v>1.3009999999999999</v>
      </c>
      <c r="AL487" t="s">
        <v>159</v>
      </c>
      <c r="AM487" t="s">
        <v>159</v>
      </c>
      <c r="AN487" t="s">
        <v>159</v>
      </c>
      <c r="AO487" t="s">
        <v>159</v>
      </c>
      <c r="AP487" t="s">
        <v>159</v>
      </c>
      <c r="AQ487" t="s">
        <v>159</v>
      </c>
      <c r="AR487" t="s">
        <v>159</v>
      </c>
      <c r="AS487" t="s">
        <v>159</v>
      </c>
      <c r="AT487" t="s">
        <v>159</v>
      </c>
      <c r="AU487" t="s">
        <v>159</v>
      </c>
      <c r="AV487" t="s">
        <v>159</v>
      </c>
      <c r="AW487" t="s">
        <v>159</v>
      </c>
      <c r="AX487" t="s">
        <v>159</v>
      </c>
      <c r="AY487" t="s">
        <v>159</v>
      </c>
      <c r="AZ487" t="s">
        <v>159</v>
      </c>
      <c r="BA487" t="s">
        <v>159</v>
      </c>
      <c r="BB487" t="s">
        <v>159</v>
      </c>
      <c r="BC487" t="s">
        <v>159</v>
      </c>
      <c r="BD487" t="s">
        <v>159</v>
      </c>
      <c r="BE487" t="s">
        <v>159</v>
      </c>
      <c r="BZ487">
        <v>2.6757106879715407</v>
      </c>
      <c r="CA487">
        <v>287.5887568606725</v>
      </c>
      <c r="CB487">
        <v>2.2292747798709698</v>
      </c>
      <c r="CC487">
        <v>3.1224855742301698</v>
      </c>
      <c r="CD487">
        <v>2.4642762568693</v>
      </c>
      <c r="CE487">
        <v>2.6744864507825099</v>
      </c>
      <c r="CF487">
        <v>1.6485501808623599</v>
      </c>
      <c r="CG487">
        <v>1.9434239530961801</v>
      </c>
      <c r="CH487">
        <v>2.6341988126441902</v>
      </c>
      <c r="CI487">
        <v>0.82847900072699598</v>
      </c>
      <c r="CJ487">
        <v>1.12814119181714</v>
      </c>
      <c r="CK487">
        <v>1.3763297470658</v>
      </c>
      <c r="CL487">
        <v>1.2583351477564499</v>
      </c>
      <c r="CM487">
        <v>5.5407901855872002</v>
      </c>
      <c r="CN487">
        <v>1.7997281626313699</v>
      </c>
      <c r="CO487">
        <v>9.3740782385924408</v>
      </c>
      <c r="CP487">
        <v>0.53450189971880402</v>
      </c>
      <c r="CQ487">
        <v>1.4922755118356299</v>
      </c>
      <c r="CR487">
        <v>4.0637753179227003</v>
      </c>
      <c r="CS487">
        <v>4.4212704130515297</v>
      </c>
      <c r="CT487">
        <v>1.4113429268734901</v>
      </c>
      <c r="CU487">
        <v>3.5684700074955802</v>
      </c>
    </row>
    <row r="488" spans="1:99" x14ac:dyDescent="0.25">
      <c r="A488" t="s">
        <v>148</v>
      </c>
      <c r="B488" t="s">
        <v>183</v>
      </c>
      <c r="C488" t="s">
        <v>158</v>
      </c>
      <c r="D488">
        <v>-1</v>
      </c>
      <c r="E488">
        <v>0</v>
      </c>
      <c r="F488">
        <v>-1</v>
      </c>
      <c r="G488">
        <v>-1</v>
      </c>
      <c r="H488">
        <v>-1</v>
      </c>
      <c r="I488">
        <v>1</v>
      </c>
      <c r="J488">
        <v>-1</v>
      </c>
      <c r="K488">
        <v>-1</v>
      </c>
      <c r="L488">
        <v>-1</v>
      </c>
      <c r="M488">
        <v>170.666666666667</v>
      </c>
      <c r="N488">
        <v>54.2706166254046</v>
      </c>
      <c r="O488">
        <v>-1</v>
      </c>
      <c r="P488">
        <v>-1</v>
      </c>
      <c r="Q488">
        <v>-1</v>
      </c>
      <c r="R488">
        <v>0.38900000000000001</v>
      </c>
      <c r="AL488" t="s">
        <v>159</v>
      </c>
      <c r="BZ488">
        <v>0.865754241582811</v>
      </c>
      <c r="CA488">
        <v>46.98501653675865</v>
      </c>
      <c r="CB488">
        <v>0.865754241582811</v>
      </c>
    </row>
    <row r="489" spans="1:99" x14ac:dyDescent="0.25">
      <c r="A489" t="s">
        <v>148</v>
      </c>
      <c r="B489" t="s">
        <v>194</v>
      </c>
      <c r="C489" t="s">
        <v>192</v>
      </c>
      <c r="D489">
        <v>-1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7424</v>
      </c>
      <c r="N489">
        <v>2360.7718232051002</v>
      </c>
      <c r="O489">
        <v>3</v>
      </c>
      <c r="P489">
        <v>1</v>
      </c>
      <c r="Q489">
        <v>4</v>
      </c>
      <c r="BF489">
        <v>0.03</v>
      </c>
      <c r="BG489">
        <v>3.4000000000000002E-2</v>
      </c>
      <c r="BH489">
        <v>3.5999999999999997E-2</v>
      </c>
      <c r="BI489">
        <v>3.5000000000000003E-2</v>
      </c>
      <c r="BZ489">
        <v>7.0125750000000001E-3</v>
      </c>
      <c r="CA489">
        <v>16.555089468112506</v>
      </c>
      <c r="CB489">
        <v>4.8599999999999997E-3</v>
      </c>
      <c r="CC489">
        <v>7.0747199999999996E-3</v>
      </c>
      <c r="CD489">
        <v>8.3980800000000005E-3</v>
      </c>
      <c r="CE489">
        <v>7.7175000000000004E-3</v>
      </c>
    </row>
    <row r="490" spans="1:99" x14ac:dyDescent="0.25">
      <c r="A490" t="s">
        <v>148</v>
      </c>
      <c r="B490" t="s">
        <v>195</v>
      </c>
      <c r="C490" t="s">
        <v>192</v>
      </c>
      <c r="D490">
        <v>-1</v>
      </c>
      <c r="E490">
        <v>-1</v>
      </c>
      <c r="F490">
        <v>-1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46400</v>
      </c>
      <c r="N490">
        <v>14754.823895031899</v>
      </c>
      <c r="O490">
        <v>17</v>
      </c>
      <c r="P490">
        <v>8</v>
      </c>
      <c r="Q490">
        <v>25</v>
      </c>
      <c r="R490">
        <v>0.153</v>
      </c>
      <c r="S490">
        <v>7.9000000000000001E-2</v>
      </c>
      <c r="T490">
        <v>0.18</v>
      </c>
      <c r="U490">
        <v>0.127</v>
      </c>
      <c r="V490">
        <v>0.16200000000000001</v>
      </c>
      <c r="W490">
        <v>0.153</v>
      </c>
      <c r="X490">
        <v>0.188</v>
      </c>
      <c r="Y490">
        <v>0.106</v>
      </c>
      <c r="Z490">
        <v>0.123</v>
      </c>
      <c r="AA490">
        <v>0.14299999999999999</v>
      </c>
      <c r="AB490">
        <v>0.13300000000000001</v>
      </c>
      <c r="AC490">
        <v>0.12</v>
      </c>
      <c r="AD490">
        <v>0.14099999999999999</v>
      </c>
      <c r="AE490">
        <v>0.17499999999999999</v>
      </c>
      <c r="AF490">
        <v>0.17199999999999999</v>
      </c>
      <c r="AG490">
        <v>0.1</v>
      </c>
      <c r="AH490">
        <v>0.129</v>
      </c>
      <c r="AI490">
        <v>0.14299999999999999</v>
      </c>
      <c r="AJ490">
        <v>0.155</v>
      </c>
      <c r="AK490">
        <v>0.17299999999999999</v>
      </c>
      <c r="BF490">
        <v>6.2E-2</v>
      </c>
      <c r="BG490">
        <v>5.3999999999999999E-2</v>
      </c>
      <c r="BH490">
        <v>6.5000000000000002E-2</v>
      </c>
      <c r="BI490">
        <v>4.2999999999999997E-2</v>
      </c>
      <c r="BJ490">
        <v>7.5999999999999998E-2</v>
      </c>
      <c r="BK490">
        <v>0.05</v>
      </c>
      <c r="BL490">
        <v>6.6000000000000003E-2</v>
      </c>
      <c r="BM490">
        <v>6.6000000000000003E-2</v>
      </c>
      <c r="BN490">
        <v>8.1000000000000003E-2</v>
      </c>
      <c r="BO490">
        <v>6.4000000000000001E-2</v>
      </c>
      <c r="BP490">
        <v>6.5000000000000002E-2</v>
      </c>
      <c r="BQ490">
        <v>5.8999999999999997E-2</v>
      </c>
      <c r="BR490">
        <v>8.3000000000000004E-2</v>
      </c>
      <c r="BS490">
        <v>7.4999999999999997E-2</v>
      </c>
      <c r="BT490">
        <v>4.9000000000000002E-2</v>
      </c>
      <c r="BU490">
        <v>4.5999999999999999E-2</v>
      </c>
      <c r="BV490">
        <v>4.4999999999999998E-2</v>
      </c>
      <c r="BW490">
        <v>5.8999999999999997E-2</v>
      </c>
      <c r="BX490">
        <v>5.3999999999999999E-2</v>
      </c>
      <c r="BY490">
        <v>6.4000000000000001E-2</v>
      </c>
      <c r="BZ490">
        <v>1.4670451899999996E-2</v>
      </c>
      <c r="CA490">
        <v>216.45993424503607</v>
      </c>
      <c r="CB490">
        <v>1.5291432000000001E-2</v>
      </c>
      <c r="CC490">
        <v>5.9894639999999999E-3</v>
      </c>
      <c r="CD490">
        <v>1.9772999999999999E-2</v>
      </c>
      <c r="CE490">
        <v>6.1053979999999997E-3</v>
      </c>
      <c r="CF490">
        <v>2.4328512E-2</v>
      </c>
      <c r="CG490">
        <v>9.9450000000000007E-3</v>
      </c>
      <c r="CH490">
        <v>2.1292128E-2</v>
      </c>
      <c r="CI490">
        <v>1.2005136E-2</v>
      </c>
      <c r="CJ490">
        <v>2.0982078000000001E-2</v>
      </c>
      <c r="CK490">
        <v>1.5228927999999999E-2</v>
      </c>
      <c r="CL490">
        <v>1.4610049999999999E-2</v>
      </c>
      <c r="CM490">
        <v>1.0860720000000001E-2</v>
      </c>
      <c r="CN490">
        <v>2.5255073999999999E-2</v>
      </c>
      <c r="CO490">
        <v>2.5593749999999998E-2</v>
      </c>
      <c r="CP490">
        <v>1.0737272000000001E-2</v>
      </c>
      <c r="CQ490">
        <v>5.5015999999999997E-3</v>
      </c>
      <c r="CR490">
        <v>6.7918500000000003E-3</v>
      </c>
      <c r="CS490">
        <v>1.2942357999999999E-2</v>
      </c>
      <c r="CT490">
        <v>1.175148E-2</v>
      </c>
      <c r="CU490">
        <v>1.8423808E-2</v>
      </c>
    </row>
    <row r="491" spans="1:99" x14ac:dyDescent="0.25">
      <c r="A491" t="s">
        <v>148</v>
      </c>
      <c r="B491" t="s">
        <v>196</v>
      </c>
      <c r="C491" t="s">
        <v>197</v>
      </c>
      <c r="D491">
        <v>-1</v>
      </c>
      <c r="E491">
        <v>-1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222720</v>
      </c>
      <c r="N491">
        <v>70823.154696152997</v>
      </c>
      <c r="O491">
        <v>66</v>
      </c>
      <c r="P491">
        <v>54</v>
      </c>
      <c r="Q491">
        <v>120</v>
      </c>
      <c r="R491">
        <v>0.115</v>
      </c>
      <c r="S491">
        <v>0.14499999999999999</v>
      </c>
      <c r="T491">
        <v>0.17599999999999999</v>
      </c>
      <c r="U491">
        <v>0.127</v>
      </c>
      <c r="V491">
        <v>0.13</v>
      </c>
      <c r="W491">
        <v>0.16700000000000001</v>
      </c>
      <c r="X491">
        <v>0.22700000000000001</v>
      </c>
      <c r="Y491">
        <v>0.125</v>
      </c>
      <c r="Z491">
        <v>0.113</v>
      </c>
      <c r="AA491">
        <v>0.16800000000000001</v>
      </c>
      <c r="AB491">
        <v>0.126</v>
      </c>
      <c r="AC491">
        <v>0.121</v>
      </c>
      <c r="AD491">
        <v>0.20599999999999999</v>
      </c>
      <c r="AE491">
        <v>0.157</v>
      </c>
      <c r="AF491">
        <v>0.14199999999999999</v>
      </c>
      <c r="AG491">
        <v>0.155</v>
      </c>
      <c r="AH491">
        <v>0.19900000000000001</v>
      </c>
      <c r="AI491">
        <v>0.126</v>
      </c>
      <c r="AJ491">
        <v>0.20599999999999999</v>
      </c>
      <c r="AK491">
        <v>0.182</v>
      </c>
      <c r="BZ491">
        <v>8.760195880778282E-2</v>
      </c>
      <c r="CA491">
        <v>6204.2470803296255</v>
      </c>
      <c r="CB491">
        <v>3.9251109741472279E-2</v>
      </c>
      <c r="CC491">
        <v>6.8463694073402304E-2</v>
      </c>
      <c r="CD491">
        <v>0.10899523847033353</v>
      </c>
      <c r="CE491">
        <v>4.9808797095077323E-2</v>
      </c>
      <c r="CF491">
        <v>5.2679442313682365E-2</v>
      </c>
      <c r="CG491">
        <v>9.6094084578295394E-2</v>
      </c>
      <c r="CH491">
        <v>0.20074243157728705</v>
      </c>
      <c r="CI491">
        <v>4.7946968582758688E-2</v>
      </c>
      <c r="CJ491">
        <v>3.7632700791829184E-2</v>
      </c>
      <c r="CK491">
        <v>9.7480870620755999E-2</v>
      </c>
      <c r="CL491">
        <v>4.8872711129969722E-2</v>
      </c>
      <c r="CM491">
        <v>4.4346771885494372E-2</v>
      </c>
      <c r="CN491">
        <v>0.1590224543410409</v>
      </c>
      <c r="CO491">
        <v>8.2858351567382138E-2</v>
      </c>
      <c r="CP491">
        <v>6.5113216540746796E-2</v>
      </c>
      <c r="CQ491">
        <v>8.0347653641320488E-2</v>
      </c>
      <c r="CR491">
        <v>0.14636070964468748</v>
      </c>
      <c r="CS491">
        <v>4.8872711129969722E-2</v>
      </c>
      <c r="CT491">
        <v>0.1590224543410409</v>
      </c>
      <c r="CU491">
        <v>0.1181268040891094</v>
      </c>
    </row>
    <row r="492" spans="1:99" x14ac:dyDescent="0.25">
      <c r="A492" t="s">
        <v>148</v>
      </c>
      <c r="B492" t="s">
        <v>173</v>
      </c>
      <c r="C492" t="s">
        <v>168</v>
      </c>
      <c r="D492">
        <v>-1</v>
      </c>
      <c r="E492">
        <v>118</v>
      </c>
      <c r="F492">
        <v>-1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60416</v>
      </c>
      <c r="N492">
        <v>19211.798285393201</v>
      </c>
      <c r="O492">
        <v>-1</v>
      </c>
      <c r="P492">
        <v>-1</v>
      </c>
      <c r="Q492">
        <v>-1</v>
      </c>
      <c r="R492">
        <v>0.38600000000000001</v>
      </c>
      <c r="S492">
        <v>0.55100000000000005</v>
      </c>
      <c r="T492">
        <v>0.72699999999999998</v>
      </c>
      <c r="U492">
        <v>0.373</v>
      </c>
      <c r="V492">
        <v>0.47099999999999997</v>
      </c>
      <c r="W492">
        <v>0.71</v>
      </c>
      <c r="X492">
        <v>0.55600000000000005</v>
      </c>
      <c r="Y492">
        <v>0.53100000000000003</v>
      </c>
      <c r="Z492">
        <v>0.57499999999999996</v>
      </c>
      <c r="AA492">
        <v>0.38100000000000001</v>
      </c>
      <c r="AB492">
        <v>0.51500000000000001</v>
      </c>
      <c r="AC492">
        <v>0.49</v>
      </c>
      <c r="AD492">
        <v>0.54200000000000004</v>
      </c>
      <c r="AE492">
        <v>0.438</v>
      </c>
      <c r="AF492">
        <v>0.56299999999999994</v>
      </c>
      <c r="AG492">
        <v>0.83599999999999997</v>
      </c>
      <c r="AH492">
        <v>0.90400000000000003</v>
      </c>
      <c r="AI492">
        <v>0.438</v>
      </c>
      <c r="AJ492">
        <v>0.503</v>
      </c>
      <c r="AK492">
        <v>0.59799999999999998</v>
      </c>
      <c r="AL492" t="s">
        <v>169</v>
      </c>
      <c r="AM492" t="s">
        <v>169</v>
      </c>
      <c r="AN492" t="s">
        <v>169</v>
      </c>
      <c r="AO492" t="s">
        <v>169</v>
      </c>
      <c r="AP492" t="s">
        <v>169</v>
      </c>
      <c r="AQ492" t="s">
        <v>169</v>
      </c>
      <c r="AR492" t="s">
        <v>169</v>
      </c>
      <c r="AS492" t="s">
        <v>169</v>
      </c>
      <c r="AT492" t="s">
        <v>169</v>
      </c>
      <c r="AU492" t="s">
        <v>169</v>
      </c>
      <c r="AV492" t="s">
        <v>169</v>
      </c>
      <c r="AW492" t="s">
        <v>169</v>
      </c>
      <c r="AX492" t="s">
        <v>169</v>
      </c>
      <c r="AY492" t="s">
        <v>169</v>
      </c>
      <c r="AZ492" t="s">
        <v>169</v>
      </c>
      <c r="BA492" t="s">
        <v>169</v>
      </c>
      <c r="BB492" t="s">
        <v>169</v>
      </c>
      <c r="BC492" t="s">
        <v>169</v>
      </c>
      <c r="BD492" t="s">
        <v>169</v>
      </c>
      <c r="BE492" t="s">
        <v>169</v>
      </c>
      <c r="BZ492">
        <v>0.73347340781222548</v>
      </c>
      <c r="CA492">
        <v>14091.343158588421</v>
      </c>
      <c r="CB492">
        <v>0.120138011552454</v>
      </c>
      <c r="CC492">
        <v>0.493515375176036</v>
      </c>
      <c r="CD492">
        <v>1.48327081324704</v>
      </c>
      <c r="CE492">
        <v>0.104860736147531</v>
      </c>
      <c r="CF492">
        <v>0.26474138787200902</v>
      </c>
      <c r="CG492">
        <v>1.35028201884497</v>
      </c>
      <c r="CH492">
        <v>0.51153548102200497</v>
      </c>
      <c r="CI492">
        <v>0.42614175355962097</v>
      </c>
      <c r="CJ492">
        <v>0.58453454641834102</v>
      </c>
      <c r="CK492">
        <v>0.114077762229817</v>
      </c>
      <c r="CL492">
        <v>0.377401428130962</v>
      </c>
      <c r="CM492">
        <v>0.30974712045328301</v>
      </c>
      <c r="CN492">
        <v>0.46228096109554601</v>
      </c>
      <c r="CO492">
        <v>0.198417995848234</v>
      </c>
      <c r="CP492">
        <v>0.53758503123565704</v>
      </c>
      <c r="CQ492">
        <v>2.5827820615271002</v>
      </c>
      <c r="CR492">
        <v>3.5230394713450499</v>
      </c>
      <c r="CS492">
        <v>0.198417995848234</v>
      </c>
      <c r="CT492">
        <v>0.34367958924716602</v>
      </c>
      <c r="CU492">
        <v>0.68301861544345399</v>
      </c>
    </row>
    <row r="493" spans="1:99" x14ac:dyDescent="0.25">
      <c r="A493" t="s">
        <v>148</v>
      </c>
      <c r="B493" t="s">
        <v>170</v>
      </c>
      <c r="C493" t="s">
        <v>158</v>
      </c>
      <c r="D493">
        <v>-1</v>
      </c>
      <c r="E493">
        <v>20</v>
      </c>
      <c r="F493">
        <v>-1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10240</v>
      </c>
      <c r="N493">
        <v>3256.23699752428</v>
      </c>
      <c r="O493">
        <v>-1</v>
      </c>
      <c r="P493">
        <v>-1</v>
      </c>
      <c r="Q493">
        <v>-1</v>
      </c>
      <c r="R493">
        <v>0.66100000000000003</v>
      </c>
      <c r="S493">
        <v>0.61299999999999999</v>
      </c>
      <c r="T493">
        <v>0.49399999999999999</v>
      </c>
      <c r="U493">
        <v>0.56999999999999995</v>
      </c>
      <c r="V493">
        <v>0.68799999999999994</v>
      </c>
      <c r="W493">
        <v>0.64100000000000001</v>
      </c>
      <c r="X493">
        <v>0.67200000000000004</v>
      </c>
      <c r="Y493">
        <v>0.59</v>
      </c>
      <c r="Z493">
        <v>0.56899999999999995</v>
      </c>
      <c r="AA493">
        <v>0.64200000000000002</v>
      </c>
      <c r="AB493">
        <v>0.76800000000000002</v>
      </c>
      <c r="AC493">
        <v>1.18</v>
      </c>
      <c r="AD493">
        <v>0.69199999999999995</v>
      </c>
      <c r="AE493">
        <v>0.65700000000000003</v>
      </c>
      <c r="AF493">
        <v>1.222</v>
      </c>
      <c r="AG493">
        <v>0.92500000000000004</v>
      </c>
      <c r="AH493">
        <v>0.77900000000000003</v>
      </c>
      <c r="AI493">
        <v>0.59299999999999997</v>
      </c>
      <c r="AJ493">
        <v>0.76500000000000001</v>
      </c>
      <c r="AK493">
        <v>0.58099999999999996</v>
      </c>
      <c r="AL493" t="s">
        <v>159</v>
      </c>
      <c r="AM493" t="s">
        <v>159</v>
      </c>
      <c r="AN493" t="s">
        <v>159</v>
      </c>
      <c r="AO493" t="s">
        <v>159</v>
      </c>
      <c r="AP493" t="s">
        <v>159</v>
      </c>
      <c r="AQ493" t="s">
        <v>159</v>
      </c>
      <c r="AR493" t="s">
        <v>159</v>
      </c>
      <c r="AS493" t="s">
        <v>159</v>
      </c>
      <c r="AT493" t="s">
        <v>159</v>
      </c>
      <c r="AU493" t="s">
        <v>159</v>
      </c>
      <c r="AV493" t="s">
        <v>159</v>
      </c>
      <c r="AW493" t="s">
        <v>159</v>
      </c>
      <c r="AX493" t="s">
        <v>159</v>
      </c>
      <c r="AY493" t="s">
        <v>159</v>
      </c>
      <c r="AZ493" t="s">
        <v>159</v>
      </c>
      <c r="BA493" t="s">
        <v>159</v>
      </c>
      <c r="BB493" t="s">
        <v>159</v>
      </c>
      <c r="BC493" t="s">
        <v>159</v>
      </c>
      <c r="BD493" t="s">
        <v>159</v>
      </c>
      <c r="BE493" t="s">
        <v>159</v>
      </c>
      <c r="BZ493">
        <v>2.2982204245754869</v>
      </c>
      <c r="CA493">
        <v>7483.5503749686595</v>
      </c>
      <c r="CB493">
        <v>1.53301427686458</v>
      </c>
      <c r="CC493">
        <v>1.2375472861358701</v>
      </c>
      <c r="CD493">
        <v>0.67043794995014605</v>
      </c>
      <c r="CE493">
        <v>1.0066039832084499</v>
      </c>
      <c r="CF493">
        <v>1.7176126069537201</v>
      </c>
      <c r="CG493">
        <v>1.40491761681181</v>
      </c>
      <c r="CH493">
        <v>1.60658160456568</v>
      </c>
      <c r="CI493">
        <v>1.1101809415957</v>
      </c>
      <c r="CJ493">
        <v>1.0015967140019999</v>
      </c>
      <c r="CK493">
        <v>1.4111511506049299</v>
      </c>
      <c r="CL493">
        <v>2.3474692895716802</v>
      </c>
      <c r="CM493">
        <v>7.9491182079566203</v>
      </c>
      <c r="CN493">
        <v>1.7461251302248499</v>
      </c>
      <c r="CO493">
        <v>1.5068141991726001</v>
      </c>
      <c r="CP493">
        <v>8.7792270154461303</v>
      </c>
      <c r="CQ493">
        <v>3.9812236517275199</v>
      </c>
      <c r="CR493">
        <v>2.4442207927558202</v>
      </c>
      <c r="CS493">
        <v>1.1262878098651301</v>
      </c>
      <c r="CT493">
        <v>2.3215205390519702</v>
      </c>
      <c r="CU493">
        <v>1.0627577250445299</v>
      </c>
    </row>
    <row r="494" spans="1:99" x14ac:dyDescent="0.25">
      <c r="A494" t="s">
        <v>148</v>
      </c>
      <c r="B494" t="s">
        <v>179</v>
      </c>
      <c r="C494" t="s">
        <v>158</v>
      </c>
      <c r="D494">
        <v>-1</v>
      </c>
      <c r="E494">
        <v>20</v>
      </c>
      <c r="F494">
        <v>-1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10240</v>
      </c>
      <c r="N494">
        <v>3256.23699752428</v>
      </c>
      <c r="O494">
        <v>-1</v>
      </c>
      <c r="P494">
        <v>-1</v>
      </c>
      <c r="Q494">
        <v>-1</v>
      </c>
      <c r="R494">
        <v>0.81200000000000006</v>
      </c>
      <c r="S494">
        <v>0.86199999999999999</v>
      </c>
      <c r="T494">
        <v>0.63100000000000001</v>
      </c>
      <c r="U494">
        <v>0.66600000000000004</v>
      </c>
      <c r="V494">
        <v>0.97899999999999998</v>
      </c>
      <c r="W494">
        <v>0.6</v>
      </c>
      <c r="X494">
        <v>0.93200000000000005</v>
      </c>
      <c r="Y494">
        <v>0.76300000000000001</v>
      </c>
      <c r="Z494">
        <v>0.59499999999999997</v>
      </c>
      <c r="AA494">
        <v>1.0189999999999999</v>
      </c>
      <c r="AB494">
        <v>0.44500000000000001</v>
      </c>
      <c r="AC494">
        <v>1.0369999999999999</v>
      </c>
      <c r="AD494">
        <v>0.56200000000000006</v>
      </c>
      <c r="AE494">
        <v>0.64800000000000002</v>
      </c>
      <c r="AF494">
        <v>0.77300000000000002</v>
      </c>
      <c r="AG494">
        <v>0.76600000000000001</v>
      </c>
      <c r="AH494">
        <v>0.69</v>
      </c>
      <c r="AI494">
        <v>0.41099999999999998</v>
      </c>
      <c r="AJ494">
        <v>1.0580000000000001</v>
      </c>
      <c r="AK494">
        <v>0.70199999999999996</v>
      </c>
      <c r="AL494" t="s">
        <v>159</v>
      </c>
      <c r="AM494" t="s">
        <v>159</v>
      </c>
      <c r="AN494" t="s">
        <v>159</v>
      </c>
      <c r="AO494" t="s">
        <v>159</v>
      </c>
      <c r="AP494" t="s">
        <v>159</v>
      </c>
      <c r="AQ494" t="s">
        <v>159</v>
      </c>
      <c r="AR494" t="s">
        <v>159</v>
      </c>
      <c r="AS494" t="s">
        <v>159</v>
      </c>
      <c r="AT494" t="s">
        <v>159</v>
      </c>
      <c r="AU494" t="s">
        <v>159</v>
      </c>
      <c r="AV494" t="s">
        <v>159</v>
      </c>
      <c r="AW494" t="s">
        <v>159</v>
      </c>
      <c r="AX494" t="s">
        <v>159</v>
      </c>
      <c r="AY494" t="s">
        <v>159</v>
      </c>
      <c r="AZ494" t="s">
        <v>159</v>
      </c>
      <c r="BA494" t="s">
        <v>159</v>
      </c>
      <c r="BB494" t="s">
        <v>159</v>
      </c>
      <c r="BC494" t="s">
        <v>159</v>
      </c>
      <c r="BD494" t="s">
        <v>159</v>
      </c>
      <c r="BE494" t="s">
        <v>159</v>
      </c>
      <c r="BZ494">
        <v>2.5215812312365649</v>
      </c>
      <c r="CA494">
        <v>8210.8660974153299</v>
      </c>
      <c r="CB494">
        <v>2.7498764234730499</v>
      </c>
      <c r="CC494">
        <v>3.2584772218133802</v>
      </c>
      <c r="CD494">
        <v>1.34356114170409</v>
      </c>
      <c r="CE494">
        <v>1.5661770846110701</v>
      </c>
      <c r="CF494">
        <v>4.6773180175036702</v>
      </c>
      <c r="CG494">
        <v>1.1644574012292099</v>
      </c>
      <c r="CH494">
        <v>4.0673846525694302</v>
      </c>
      <c r="CI494">
        <v>2.3043250567441298</v>
      </c>
      <c r="CJ494">
        <v>1.1371093672316099</v>
      </c>
      <c r="CK494">
        <v>5.2406932124914203</v>
      </c>
      <c r="CL494">
        <v>0.49832937203178701</v>
      </c>
      <c r="CM494">
        <v>5.5078958898485002</v>
      </c>
      <c r="CN494">
        <v>0.966997142439596</v>
      </c>
      <c r="CO494">
        <v>1.44892888771238</v>
      </c>
      <c r="CP494">
        <v>2.3911334626566698</v>
      </c>
      <c r="CQ494">
        <v>2.3301493628582102</v>
      </c>
      <c r="CR494">
        <v>1.7318308519774399</v>
      </c>
      <c r="CS494">
        <v>0.39763520548390102</v>
      </c>
      <c r="CT494">
        <v>5.8306013756699198</v>
      </c>
      <c r="CU494">
        <v>1.8187434946818399</v>
      </c>
    </row>
    <row r="495" spans="1:99" x14ac:dyDescent="0.25">
      <c r="A495" t="s">
        <v>148</v>
      </c>
      <c r="B495" t="s">
        <v>167</v>
      </c>
      <c r="C495" t="s">
        <v>168</v>
      </c>
      <c r="D495">
        <v>-1</v>
      </c>
      <c r="E495">
        <v>19</v>
      </c>
      <c r="F495">
        <v>-1</v>
      </c>
      <c r="G495">
        <v>-1</v>
      </c>
      <c r="H495">
        <v>-1</v>
      </c>
      <c r="I495">
        <v>18</v>
      </c>
      <c r="J495">
        <v>-1</v>
      </c>
      <c r="K495">
        <v>-1</v>
      </c>
      <c r="L495">
        <v>-1</v>
      </c>
      <c r="M495">
        <v>6314.6666666666697</v>
      </c>
      <c r="N495">
        <v>2008.0128151399699</v>
      </c>
      <c r="O495">
        <v>-1</v>
      </c>
      <c r="P495">
        <v>-1</v>
      </c>
      <c r="Q495">
        <v>-1</v>
      </c>
      <c r="R495">
        <v>1.196</v>
      </c>
      <c r="S495">
        <v>0.74</v>
      </c>
      <c r="T495">
        <v>0.627</v>
      </c>
      <c r="U495">
        <v>0.65700000000000003</v>
      </c>
      <c r="V495">
        <v>0.49199999999999999</v>
      </c>
      <c r="W495">
        <v>0.44800000000000001</v>
      </c>
      <c r="X495">
        <v>0.67300000000000004</v>
      </c>
      <c r="Y495">
        <v>0.68600000000000005</v>
      </c>
      <c r="Z495">
        <v>0.77200000000000002</v>
      </c>
      <c r="AA495">
        <v>0.98</v>
      </c>
      <c r="AB495">
        <v>1.109</v>
      </c>
      <c r="AC495">
        <v>0.56599999999999995</v>
      </c>
      <c r="AD495">
        <v>0.53500000000000003</v>
      </c>
      <c r="AE495">
        <v>0.70099999999999996</v>
      </c>
      <c r="AF495">
        <v>0.54700000000000004</v>
      </c>
      <c r="AG495">
        <v>0.72499999999999998</v>
      </c>
      <c r="AH495">
        <v>0.45400000000000001</v>
      </c>
      <c r="AI495">
        <v>0.503</v>
      </c>
      <c r="AJ495">
        <v>0.53900000000000003</v>
      </c>
      <c r="AK495">
        <v>0.39</v>
      </c>
      <c r="AL495" t="s">
        <v>169</v>
      </c>
      <c r="AM495" t="s">
        <v>169</v>
      </c>
      <c r="AN495" t="s">
        <v>169</v>
      </c>
      <c r="AO495" t="s">
        <v>169</v>
      </c>
      <c r="AP495" t="s">
        <v>169</v>
      </c>
      <c r="AQ495" t="s">
        <v>169</v>
      </c>
      <c r="AR495" t="s">
        <v>169</v>
      </c>
      <c r="AS495" t="s">
        <v>169</v>
      </c>
      <c r="AT495" t="s">
        <v>169</v>
      </c>
      <c r="AU495" t="s">
        <v>169</v>
      </c>
      <c r="AV495" t="s">
        <v>169</v>
      </c>
      <c r="AW495" t="s">
        <v>169</v>
      </c>
      <c r="AX495" t="s">
        <v>169</v>
      </c>
      <c r="AY495" t="s">
        <v>169</v>
      </c>
      <c r="AZ495" t="s">
        <v>169</v>
      </c>
      <c r="BA495" t="s">
        <v>169</v>
      </c>
      <c r="BB495" t="s">
        <v>169</v>
      </c>
      <c r="BC495" t="s">
        <v>169</v>
      </c>
      <c r="BD495" t="s">
        <v>169</v>
      </c>
      <c r="BE495" t="s">
        <v>169</v>
      </c>
      <c r="BZ495">
        <v>2.0909278485508471</v>
      </c>
      <c r="CA495">
        <v>4198.609915423147</v>
      </c>
      <c r="CB495">
        <v>7.7956437011095696</v>
      </c>
      <c r="CC495">
        <v>2.2482177915250299</v>
      </c>
      <c r="CD495">
        <v>1.46369691330551</v>
      </c>
      <c r="CE495">
        <v>1.65204751255448</v>
      </c>
      <c r="CF495">
        <v>0.78112015226286602</v>
      </c>
      <c r="CG495">
        <v>0.61282755207478401</v>
      </c>
      <c r="CH495">
        <v>1.75827678716059</v>
      </c>
      <c r="CI495">
        <v>1.8475988612727301</v>
      </c>
      <c r="CJ495">
        <v>2.5087479701010098</v>
      </c>
      <c r="CK495">
        <v>4.65375764073237</v>
      </c>
      <c r="CL495">
        <v>6.4106332350568396</v>
      </c>
      <c r="CM495">
        <v>1.1228526880388501</v>
      </c>
      <c r="CN495">
        <v>0.97043068768626195</v>
      </c>
      <c r="CO495">
        <v>1.9540599911345999</v>
      </c>
      <c r="CP495">
        <v>1.02781606477645</v>
      </c>
      <c r="CQ495">
        <v>2.1320808196955898</v>
      </c>
      <c r="CR495">
        <v>0.63431193808593</v>
      </c>
      <c r="CS495">
        <v>0.82715958666094402</v>
      </c>
      <c r="CT495">
        <v>0.989334440846659</v>
      </c>
      <c r="CU495">
        <v>0.42794263693587298</v>
      </c>
    </row>
    <row r="496" spans="1:99" x14ac:dyDescent="0.25">
      <c r="A496" t="s">
        <v>148</v>
      </c>
      <c r="B496" t="s">
        <v>166</v>
      </c>
      <c r="C496" t="s">
        <v>154</v>
      </c>
      <c r="D496">
        <v>-1</v>
      </c>
      <c r="E496">
        <v>9</v>
      </c>
      <c r="F496">
        <v>20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14848</v>
      </c>
      <c r="N496">
        <v>4721.5436464102004</v>
      </c>
      <c r="O496">
        <v>-1</v>
      </c>
      <c r="P496">
        <v>-1</v>
      </c>
      <c r="Q496">
        <v>-1</v>
      </c>
      <c r="R496">
        <v>0.83599999999999997</v>
      </c>
      <c r="S496">
        <v>0.89800000000000002</v>
      </c>
      <c r="T496">
        <v>0.749</v>
      </c>
      <c r="U496">
        <v>0.84899999999999998</v>
      </c>
      <c r="V496">
        <v>0.86399999999999999</v>
      </c>
      <c r="W496">
        <v>0.83599999999999997</v>
      </c>
      <c r="X496">
        <v>0.96799999999999997</v>
      </c>
      <c r="Y496">
        <v>0.877</v>
      </c>
      <c r="Z496">
        <v>0.72099999999999997</v>
      </c>
      <c r="AA496">
        <v>1.0529999999999999</v>
      </c>
      <c r="AB496">
        <v>0.89400000000000002</v>
      </c>
      <c r="AC496">
        <v>0.88900000000000001</v>
      </c>
      <c r="AD496">
        <v>0.67600000000000005</v>
      </c>
      <c r="AE496">
        <v>0.83</v>
      </c>
      <c r="AF496">
        <v>0.79900000000000004</v>
      </c>
      <c r="AG496">
        <v>0.85199999999999998</v>
      </c>
      <c r="AH496">
        <v>0.86</v>
      </c>
      <c r="AI496">
        <v>0.65500000000000003</v>
      </c>
      <c r="AJ496">
        <v>1.06</v>
      </c>
      <c r="AK496">
        <v>0.82199999999999995</v>
      </c>
      <c r="AL496" t="s">
        <v>156</v>
      </c>
      <c r="AM496" t="s">
        <v>155</v>
      </c>
      <c r="AN496" t="s">
        <v>156</v>
      </c>
      <c r="AO496" t="s">
        <v>156</v>
      </c>
      <c r="AP496" t="s">
        <v>156</v>
      </c>
      <c r="AQ496" t="s">
        <v>156</v>
      </c>
      <c r="AR496" t="s">
        <v>155</v>
      </c>
      <c r="AS496" t="s">
        <v>156</v>
      </c>
      <c r="AT496" t="s">
        <v>156</v>
      </c>
      <c r="AU496" t="s">
        <v>155</v>
      </c>
      <c r="AV496" t="s">
        <v>155</v>
      </c>
      <c r="AW496" t="s">
        <v>156</v>
      </c>
      <c r="AX496" t="s">
        <v>156</v>
      </c>
      <c r="AY496" t="s">
        <v>156</v>
      </c>
      <c r="AZ496" t="s">
        <v>156</v>
      </c>
      <c r="BA496" t="s">
        <v>156</v>
      </c>
      <c r="BB496" t="s">
        <v>156</v>
      </c>
      <c r="BC496" t="s">
        <v>156</v>
      </c>
      <c r="BD496" t="s">
        <v>155</v>
      </c>
      <c r="BE496" t="s">
        <v>156</v>
      </c>
      <c r="BZ496">
        <v>2.9869060251336603</v>
      </c>
      <c r="CA496">
        <v>14102.807165394181</v>
      </c>
      <c r="CB496">
        <v>2.5827820615271002</v>
      </c>
      <c r="CC496">
        <v>3.43111991459967</v>
      </c>
      <c r="CD496">
        <v>1.66963544635729</v>
      </c>
      <c r="CE496">
        <v>2.7459483887317799</v>
      </c>
      <c r="CF496">
        <v>2.9436650911415101</v>
      </c>
      <c r="CG496">
        <v>2.5827820615271002</v>
      </c>
      <c r="CH496">
        <v>4.62225614482601</v>
      </c>
      <c r="CI496">
        <v>3.1234691843475599</v>
      </c>
      <c r="CJ496">
        <v>1.43526416225078</v>
      </c>
      <c r="CK496">
        <v>6.4560884777953698</v>
      </c>
      <c r="CL496">
        <v>3.37084505092071</v>
      </c>
      <c r="CM496">
        <v>3.2966195591682199</v>
      </c>
      <c r="CN496">
        <v>1.1112639423694799</v>
      </c>
      <c r="CO496">
        <v>2.5099719419613802</v>
      </c>
      <c r="CP496">
        <v>2.1579409369893798</v>
      </c>
      <c r="CQ496">
        <v>2.7846718922278502</v>
      </c>
      <c r="CR496">
        <v>2.8899324488583402</v>
      </c>
      <c r="CS496">
        <v>0.98040789739012901</v>
      </c>
      <c r="CT496">
        <v>6.6281621605628596</v>
      </c>
      <c r="CU496">
        <v>2.4152937391206901</v>
      </c>
    </row>
    <row r="497" spans="1:99" x14ac:dyDescent="0.25">
      <c r="A497" t="s">
        <v>148</v>
      </c>
      <c r="B497" t="s">
        <v>198</v>
      </c>
      <c r="C497" t="s">
        <v>199</v>
      </c>
      <c r="D497">
        <v>-1</v>
      </c>
      <c r="E497">
        <v>-1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228288</v>
      </c>
      <c r="N497">
        <v>72593.733563556903</v>
      </c>
      <c r="O497">
        <v>59</v>
      </c>
      <c r="P497">
        <v>64</v>
      </c>
      <c r="Q497">
        <v>123</v>
      </c>
      <c r="R497">
        <v>0.11</v>
      </c>
      <c r="S497">
        <v>0.106</v>
      </c>
      <c r="T497">
        <v>0.115</v>
      </c>
      <c r="U497">
        <v>0.108</v>
      </c>
      <c r="V497">
        <v>0.11</v>
      </c>
      <c r="W497">
        <v>9.9000000000000005E-2</v>
      </c>
      <c r="X497">
        <v>0.105</v>
      </c>
      <c r="Y497">
        <v>0.108</v>
      </c>
      <c r="Z497">
        <v>0.114</v>
      </c>
      <c r="AA497">
        <v>0.104</v>
      </c>
      <c r="AB497">
        <v>9.2999999999999999E-2</v>
      </c>
      <c r="AC497">
        <v>0.11</v>
      </c>
      <c r="AD497">
        <v>0.122</v>
      </c>
      <c r="AE497">
        <v>8.8999999999999996E-2</v>
      </c>
      <c r="AF497">
        <v>9.6000000000000002E-2</v>
      </c>
      <c r="AG497">
        <v>0.10199999999999999</v>
      </c>
      <c r="AH497">
        <v>0.11</v>
      </c>
      <c r="AI497">
        <v>0.112</v>
      </c>
      <c r="AJ497">
        <v>9.6000000000000002E-2</v>
      </c>
      <c r="BZ497">
        <v>0.16062870523494416</v>
      </c>
      <c r="CA497">
        <v>11660.637430484654</v>
      </c>
      <c r="CB497">
        <v>0.17137871664747947</v>
      </c>
      <c r="CC497">
        <v>0.15979245626552249</v>
      </c>
      <c r="CD497">
        <v>0.18704997457505201</v>
      </c>
      <c r="CE497">
        <v>0.16548421702607694</v>
      </c>
      <c r="CF497">
        <v>0.17137871664747947</v>
      </c>
      <c r="CG497">
        <v>0.1413693296235311</v>
      </c>
      <c r="CH497">
        <v>0.15702041439172909</v>
      </c>
      <c r="CI497">
        <v>0.16548421702607694</v>
      </c>
      <c r="CJ497">
        <v>0.18380507569726992</v>
      </c>
      <c r="CK497">
        <v>0.15429646124708882</v>
      </c>
      <c r="CL497">
        <v>0.12727827420164603</v>
      </c>
      <c r="CM497">
        <v>0.17137871664747947</v>
      </c>
      <c r="CN497">
        <v>0.21142616267153885</v>
      </c>
      <c r="CO497">
        <v>0.11867347627390945</v>
      </c>
      <c r="CP497">
        <v>0.13413889927804937</v>
      </c>
      <c r="CQ497">
        <v>0.14898949868956468</v>
      </c>
      <c r="CR497">
        <v>0.17137871664747947</v>
      </c>
      <c r="CS497">
        <v>0.17748317662891583</v>
      </c>
      <c r="CT497">
        <v>0.13413889927804937</v>
      </c>
      <c r="CU497" t="s">
        <v>239</v>
      </c>
    </row>
    <row r="498" spans="1:99" x14ac:dyDescent="0.25">
      <c r="A498" t="s">
        <v>148</v>
      </c>
      <c r="B498" t="s">
        <v>200</v>
      </c>
      <c r="C498" t="s">
        <v>192</v>
      </c>
      <c r="D498">
        <v>-1</v>
      </c>
      <c r="E498">
        <v>-1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1856</v>
      </c>
      <c r="N498">
        <v>590.19295580127505</v>
      </c>
      <c r="O498">
        <v>1</v>
      </c>
      <c r="P498">
        <v>0</v>
      </c>
      <c r="Q498">
        <v>1</v>
      </c>
      <c r="R498">
        <v>0.10299999999999999</v>
      </c>
      <c r="BZ498">
        <v>2.1854539999999999E-2</v>
      </c>
      <c r="CA498">
        <v>12.898395560277196</v>
      </c>
      <c r="CB498">
        <v>2.1854539999999999E-2</v>
      </c>
    </row>
    <row r="499" spans="1:99" x14ac:dyDescent="0.25">
      <c r="A499" t="s">
        <v>148</v>
      </c>
      <c r="B499" t="s">
        <v>163</v>
      </c>
      <c r="C499" t="s">
        <v>158</v>
      </c>
      <c r="D499">
        <v>-1</v>
      </c>
      <c r="E499">
        <v>20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10240</v>
      </c>
      <c r="N499">
        <v>3256.23699752428</v>
      </c>
      <c r="O499">
        <v>-1</v>
      </c>
      <c r="P499">
        <v>-1</v>
      </c>
      <c r="Q499">
        <v>-1</v>
      </c>
      <c r="R499">
        <v>0.628</v>
      </c>
      <c r="S499">
        <v>0.46800000000000003</v>
      </c>
      <c r="T499">
        <v>0.34799999999999998</v>
      </c>
      <c r="U499">
        <v>0.67900000000000005</v>
      </c>
      <c r="V499">
        <v>0.25900000000000001</v>
      </c>
      <c r="W499">
        <v>0.53400000000000003</v>
      </c>
      <c r="X499">
        <v>0.499</v>
      </c>
      <c r="Y499">
        <v>0.91500000000000004</v>
      </c>
      <c r="Z499">
        <v>0.59299999999999997</v>
      </c>
      <c r="AA499">
        <v>0.46</v>
      </c>
      <c r="AB499">
        <v>0.53300000000000003</v>
      </c>
      <c r="AC499">
        <v>0.64900000000000002</v>
      </c>
      <c r="AD499">
        <v>0.42599999999999999</v>
      </c>
      <c r="AE499">
        <v>0.35099999999999998</v>
      </c>
      <c r="AF499">
        <v>0.34200000000000003</v>
      </c>
      <c r="AG499">
        <v>0.42599999999999999</v>
      </c>
      <c r="AH499">
        <v>0.496</v>
      </c>
      <c r="AI499">
        <v>0.59199999999999997</v>
      </c>
      <c r="AJ499">
        <v>0.42599999999999999</v>
      </c>
      <c r="AK499">
        <v>0.625</v>
      </c>
      <c r="AL499" t="s">
        <v>159</v>
      </c>
      <c r="AM499" t="s">
        <v>159</v>
      </c>
      <c r="AN499" t="s">
        <v>159</v>
      </c>
      <c r="AO499" t="s">
        <v>159</v>
      </c>
      <c r="AP499" t="s">
        <v>159</v>
      </c>
      <c r="AQ499" t="s">
        <v>159</v>
      </c>
      <c r="AR499" t="s">
        <v>159</v>
      </c>
      <c r="AS499" t="s">
        <v>159</v>
      </c>
      <c r="AT499" t="s">
        <v>159</v>
      </c>
      <c r="AU499" t="s">
        <v>159</v>
      </c>
      <c r="AV499" t="s">
        <v>159</v>
      </c>
      <c r="AW499" t="s">
        <v>159</v>
      </c>
      <c r="AX499" t="s">
        <v>159</v>
      </c>
      <c r="AY499" t="s">
        <v>159</v>
      </c>
      <c r="AZ499" t="s">
        <v>159</v>
      </c>
      <c r="BA499" t="s">
        <v>159</v>
      </c>
      <c r="BB499" t="s">
        <v>159</v>
      </c>
      <c r="BC499" t="s">
        <v>159</v>
      </c>
      <c r="BD499" t="s">
        <v>159</v>
      </c>
      <c r="BE499" t="s">
        <v>159</v>
      </c>
      <c r="BZ499">
        <v>1.2295119145157867</v>
      </c>
      <c r="CA499">
        <v>4003.5821849432145</v>
      </c>
      <c r="CB499">
        <v>1.80212007467405</v>
      </c>
      <c r="CC499">
        <v>0.705304625931365</v>
      </c>
      <c r="CD499">
        <v>0.274113389070681</v>
      </c>
      <c r="CE499">
        <v>2.3118360992265501</v>
      </c>
      <c r="CF499">
        <v>0.10683626788851899</v>
      </c>
      <c r="CG499">
        <v>1.0743581208150099</v>
      </c>
      <c r="CH499">
        <v>0.86543250216612</v>
      </c>
      <c r="CI499">
        <v>5.98722736862105</v>
      </c>
      <c r="CJ499">
        <v>1.5008487671570201</v>
      </c>
      <c r="CK499">
        <v>0.66755944365915698</v>
      </c>
      <c r="CL499">
        <v>1.0679532894762001</v>
      </c>
      <c r="CM499">
        <v>2.0014882449899201</v>
      </c>
      <c r="CN499">
        <v>0.52252741618424003</v>
      </c>
      <c r="CO499">
        <v>0.28172290793110799</v>
      </c>
      <c r="CP499">
        <v>0.25931983661601299</v>
      </c>
      <c r="CQ499">
        <v>0.52252741618424003</v>
      </c>
      <c r="CR499">
        <v>0.84894393301715798</v>
      </c>
      <c r="CS499">
        <v>1.49278995978344</v>
      </c>
      <c r="CT499">
        <v>0.52252741618424003</v>
      </c>
      <c r="CU499">
        <v>1.77480121073966</v>
      </c>
    </row>
    <row r="500" spans="1:99" x14ac:dyDescent="0.25">
      <c r="A500" t="s">
        <v>148</v>
      </c>
      <c r="B500" t="s">
        <v>201</v>
      </c>
      <c r="C500" t="s">
        <v>192</v>
      </c>
      <c r="D500">
        <v>-1</v>
      </c>
      <c r="E500">
        <v>-1</v>
      </c>
      <c r="F500">
        <v>-1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50112</v>
      </c>
      <c r="N500">
        <v>15935.209806634401</v>
      </c>
      <c r="O500">
        <v>9</v>
      </c>
      <c r="P500">
        <v>18</v>
      </c>
      <c r="Q500">
        <v>27</v>
      </c>
      <c r="R500">
        <v>0.13900000000000001</v>
      </c>
      <c r="S500">
        <v>0.14499999999999999</v>
      </c>
      <c r="T500">
        <v>0.13</v>
      </c>
      <c r="U500">
        <v>0.13</v>
      </c>
      <c r="V500">
        <v>0.159</v>
      </c>
      <c r="W500">
        <v>0.14099999999999999</v>
      </c>
      <c r="X500">
        <v>0.13400000000000001</v>
      </c>
      <c r="Y500">
        <v>0.13400000000000001</v>
      </c>
      <c r="Z500">
        <v>0.154</v>
      </c>
      <c r="AA500">
        <v>0.16400000000000001</v>
      </c>
      <c r="AB500">
        <v>0.122</v>
      </c>
      <c r="AC500">
        <v>0.122</v>
      </c>
      <c r="AD500">
        <v>0.14299999999999999</v>
      </c>
      <c r="AE500">
        <v>0.13300000000000001</v>
      </c>
      <c r="AF500">
        <v>0.151</v>
      </c>
      <c r="AG500">
        <v>0.14399999999999999</v>
      </c>
      <c r="AH500">
        <v>0.156</v>
      </c>
      <c r="AI500">
        <v>0.157</v>
      </c>
      <c r="AJ500">
        <v>0.125</v>
      </c>
      <c r="AK500">
        <v>0.14799999999999999</v>
      </c>
      <c r="BZ500">
        <v>8.8343459872499992E-3</v>
      </c>
      <c r="CA500">
        <v>140.77715681122746</v>
      </c>
      <c r="CB500">
        <v>8.1777098549999996E-3</v>
      </c>
      <c r="CC500">
        <v>9.2830631249999993E-3</v>
      </c>
      <c r="CD500">
        <v>6.6898649999999997E-3</v>
      </c>
      <c r="CE500">
        <v>6.6898649999999997E-3</v>
      </c>
      <c r="CF500">
        <v>1.2239922554999999E-2</v>
      </c>
      <c r="CG500">
        <v>8.5358079449999995E-3</v>
      </c>
      <c r="CH500">
        <v>7.3265866800000003E-3</v>
      </c>
      <c r="CI500">
        <v>7.3265866800000003E-3</v>
      </c>
      <c r="CJ500">
        <v>1.112114388E-2</v>
      </c>
      <c r="CK500">
        <v>1.343132448E-2</v>
      </c>
      <c r="CL500">
        <v>5.5292571600000003E-3</v>
      </c>
      <c r="CM500">
        <v>5.5292571600000003E-3</v>
      </c>
      <c r="CN500">
        <v>8.9042103149999993E-3</v>
      </c>
      <c r="CO500">
        <v>7.1637796649999998E-3</v>
      </c>
      <c r="CP500">
        <v>1.0483785795000001E-2</v>
      </c>
      <c r="CQ500">
        <v>9.0923212799999993E-3</v>
      </c>
      <c r="CR500">
        <v>1.156008672E-2</v>
      </c>
      <c r="CS500">
        <v>1.1783824185E-2</v>
      </c>
      <c r="CT500">
        <v>5.9472656249999999E-3</v>
      </c>
      <c r="CU500">
        <v>9.8712566399999993E-3</v>
      </c>
    </row>
    <row r="501" spans="1:99" x14ac:dyDescent="0.25">
      <c r="A501" t="s">
        <v>148</v>
      </c>
      <c r="B501" t="s">
        <v>202</v>
      </c>
      <c r="C501" t="s">
        <v>192</v>
      </c>
      <c r="D501">
        <v>-1</v>
      </c>
      <c r="E501">
        <v>-1</v>
      </c>
      <c r="F501">
        <v>-1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193024</v>
      </c>
      <c r="N501">
        <v>61380.067403332599</v>
      </c>
      <c r="O501">
        <v>44</v>
      </c>
      <c r="P501">
        <v>60</v>
      </c>
      <c r="Q501">
        <v>104</v>
      </c>
      <c r="R501">
        <v>8.8999999999999996E-2</v>
      </c>
      <c r="S501">
        <v>9.1999999999999998E-2</v>
      </c>
      <c r="T501">
        <v>8.5999999999999993E-2</v>
      </c>
      <c r="U501">
        <v>9.8000000000000004E-2</v>
      </c>
      <c r="V501">
        <v>0.108</v>
      </c>
      <c r="W501">
        <v>9.7000000000000003E-2</v>
      </c>
      <c r="X501">
        <v>9.7000000000000003E-2</v>
      </c>
      <c r="Y501">
        <v>8.5999999999999993E-2</v>
      </c>
      <c r="Z501">
        <v>0.107</v>
      </c>
      <c r="AA501">
        <v>0.106</v>
      </c>
      <c r="AB501">
        <v>9.2999999999999999E-2</v>
      </c>
      <c r="AC501">
        <v>9.5000000000000001E-2</v>
      </c>
      <c r="AD501">
        <v>9.4E-2</v>
      </c>
      <c r="AE501">
        <v>0.106</v>
      </c>
      <c r="AF501">
        <v>8.5999999999999993E-2</v>
      </c>
      <c r="AG501">
        <v>8.4000000000000005E-2</v>
      </c>
      <c r="AH501">
        <v>5.8000000000000003E-2</v>
      </c>
      <c r="AI501">
        <v>8.6999999999999994E-2</v>
      </c>
      <c r="AJ501">
        <v>8.6999999999999994E-2</v>
      </c>
      <c r="AK501">
        <v>0.10100000000000001</v>
      </c>
      <c r="BZ501">
        <v>1.6652588999999998E-3</v>
      </c>
      <c r="CA501">
        <v>102.21370352599949</v>
      </c>
      <c r="CB501">
        <v>1.4099379999999999E-3</v>
      </c>
      <c r="CC501">
        <v>1.5573760000000001E-3</v>
      </c>
      <c r="CD501">
        <v>1.2721119999999999E-3</v>
      </c>
      <c r="CE501">
        <v>1.882384E-3</v>
      </c>
      <c r="CF501">
        <v>2.5194240000000001E-3</v>
      </c>
      <c r="CG501">
        <v>1.825346E-3</v>
      </c>
      <c r="CH501">
        <v>1.825346E-3</v>
      </c>
      <c r="CI501">
        <v>1.2721119999999999E-3</v>
      </c>
      <c r="CJ501">
        <v>2.4500860000000002E-3</v>
      </c>
      <c r="CK501">
        <v>2.3820320000000001E-3</v>
      </c>
      <c r="CL501">
        <v>1.608714E-3</v>
      </c>
      <c r="CM501">
        <v>1.7147499999999999E-3</v>
      </c>
      <c r="CN501">
        <v>1.661168E-3</v>
      </c>
      <c r="CO501">
        <v>2.3820320000000001E-3</v>
      </c>
      <c r="CP501">
        <v>1.2721119999999999E-3</v>
      </c>
      <c r="CQ501">
        <v>1.185408E-3</v>
      </c>
      <c r="CR501">
        <v>3.90224E-4</v>
      </c>
      <c r="CS501">
        <v>1.3170059999999999E-3</v>
      </c>
      <c r="CT501">
        <v>1.3170059999999999E-3</v>
      </c>
      <c r="CU501">
        <v>2.0606019999999999E-3</v>
      </c>
    </row>
    <row r="502" spans="1:99" x14ac:dyDescent="0.25">
      <c r="A502" t="s">
        <v>148</v>
      </c>
      <c r="B502" t="s">
        <v>203</v>
      </c>
      <c r="C502" t="s">
        <v>192</v>
      </c>
      <c r="D502">
        <v>-1</v>
      </c>
      <c r="E502">
        <v>-1</v>
      </c>
      <c r="F502">
        <v>-1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27840</v>
      </c>
      <c r="N502">
        <v>8852.89433701913</v>
      </c>
      <c r="O502">
        <v>10</v>
      </c>
      <c r="P502">
        <v>5</v>
      </c>
      <c r="Q502">
        <v>15</v>
      </c>
      <c r="R502">
        <v>9.5000000000000001E-2</v>
      </c>
      <c r="S502">
        <v>0.10299999999999999</v>
      </c>
      <c r="T502">
        <v>0.10100000000000001</v>
      </c>
      <c r="U502">
        <v>0.10100000000000001</v>
      </c>
      <c r="V502">
        <v>0.09</v>
      </c>
      <c r="W502">
        <v>0.106</v>
      </c>
      <c r="X502">
        <v>9.9000000000000005E-2</v>
      </c>
      <c r="Y502">
        <v>0.106</v>
      </c>
      <c r="Z502">
        <v>0.104</v>
      </c>
      <c r="AA502">
        <v>9.8000000000000004E-2</v>
      </c>
      <c r="AB502">
        <v>0.10199999999999999</v>
      </c>
      <c r="AC502">
        <v>9.9000000000000005E-2</v>
      </c>
      <c r="AD502">
        <v>9.8000000000000004E-2</v>
      </c>
      <c r="AE502">
        <v>9.9000000000000005E-2</v>
      </c>
      <c r="AF502">
        <v>0.105</v>
      </c>
      <c r="BZ502">
        <v>2.0344952000000004E-3</v>
      </c>
      <c r="CA502">
        <v>18.011171034772605</v>
      </c>
      <c r="CB502">
        <v>1.7147499999999999E-3</v>
      </c>
      <c r="CC502">
        <v>2.1854539999999999E-3</v>
      </c>
      <c r="CD502">
        <v>2.0606019999999999E-3</v>
      </c>
      <c r="CE502">
        <v>2.0606019999999999E-3</v>
      </c>
      <c r="CF502">
        <v>1.4580000000000001E-3</v>
      </c>
      <c r="CG502">
        <v>2.3820320000000001E-3</v>
      </c>
      <c r="CH502">
        <v>1.940598E-3</v>
      </c>
      <c r="CI502">
        <v>2.3820320000000001E-3</v>
      </c>
      <c r="CJ502">
        <v>2.2497279999999999E-3</v>
      </c>
      <c r="CK502">
        <v>1.882384E-3</v>
      </c>
      <c r="CL502">
        <v>2.1224159999999998E-3</v>
      </c>
      <c r="CM502">
        <v>1.940598E-3</v>
      </c>
      <c r="CN502">
        <v>1.882384E-3</v>
      </c>
      <c r="CO502">
        <v>1.940598E-3</v>
      </c>
      <c r="CP502">
        <v>2.31525E-3</v>
      </c>
    </row>
    <row r="503" spans="1:99" x14ac:dyDescent="0.25">
      <c r="A503" t="s">
        <v>148</v>
      </c>
      <c r="B503" t="s">
        <v>204</v>
      </c>
      <c r="C503" t="s">
        <v>192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22272</v>
      </c>
      <c r="N503">
        <v>7082.3154696152997</v>
      </c>
      <c r="O503">
        <v>8</v>
      </c>
      <c r="P503">
        <v>4</v>
      </c>
      <c r="Q503">
        <v>12</v>
      </c>
      <c r="R503">
        <v>0.121</v>
      </c>
      <c r="S503">
        <v>0.125</v>
      </c>
      <c r="T503">
        <v>0.11700000000000001</v>
      </c>
      <c r="U503">
        <v>0.121</v>
      </c>
      <c r="V503">
        <v>0.12</v>
      </c>
      <c r="W503">
        <v>0.13100000000000001</v>
      </c>
      <c r="X503">
        <v>0.10299999999999999</v>
      </c>
      <c r="Y503">
        <v>0.12</v>
      </c>
      <c r="Z503">
        <v>0.14000000000000001</v>
      </c>
      <c r="AA503">
        <v>0.123</v>
      </c>
      <c r="AB503">
        <v>0.107</v>
      </c>
      <c r="AC503">
        <v>0.1</v>
      </c>
      <c r="BZ503">
        <v>3.4540979999999992E-3</v>
      </c>
      <c r="CA503">
        <v>24.463011698967261</v>
      </c>
      <c r="CB503">
        <v>3.5431220000000001E-3</v>
      </c>
      <c r="CC503">
        <v>3.90625E-3</v>
      </c>
      <c r="CD503">
        <v>3.203226E-3</v>
      </c>
      <c r="CE503">
        <v>3.5431220000000001E-3</v>
      </c>
      <c r="CF503">
        <v>3.4559999999999999E-3</v>
      </c>
      <c r="CG503">
        <v>4.4961819999999996E-3</v>
      </c>
      <c r="CH503">
        <v>2.1854539999999999E-3</v>
      </c>
      <c r="CI503">
        <v>3.4559999999999999E-3</v>
      </c>
      <c r="CJ503">
        <v>5.4879999999999998E-3</v>
      </c>
      <c r="CK503">
        <v>3.721734E-3</v>
      </c>
      <c r="CL503">
        <v>2.4500860000000002E-3</v>
      </c>
      <c r="CM503">
        <v>2E-3</v>
      </c>
    </row>
    <row r="504" spans="1:99" x14ac:dyDescent="0.25">
      <c r="A504" t="s">
        <v>148</v>
      </c>
      <c r="B504" t="s">
        <v>216</v>
      </c>
      <c r="C504" t="s">
        <v>192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1856</v>
      </c>
      <c r="N504">
        <v>590.19295580127505</v>
      </c>
      <c r="O504">
        <v>1</v>
      </c>
      <c r="P504">
        <v>0</v>
      </c>
      <c r="Q504">
        <v>1</v>
      </c>
      <c r="R504">
        <v>0.158</v>
      </c>
      <c r="BZ504">
        <v>9.1113607200000002E-2</v>
      </c>
      <c r="CA504">
        <v>53.774609147084334</v>
      </c>
      <c r="CB504">
        <v>9.1113607200000002E-2</v>
      </c>
    </row>
    <row r="505" spans="1:99" x14ac:dyDescent="0.25">
      <c r="A505" t="s">
        <v>148</v>
      </c>
      <c r="B505" t="s">
        <v>161</v>
      </c>
      <c r="C505" t="s">
        <v>154</v>
      </c>
      <c r="D505">
        <v>-1</v>
      </c>
      <c r="E505">
        <v>2</v>
      </c>
      <c r="F505">
        <v>0</v>
      </c>
      <c r="G505">
        <v>-1</v>
      </c>
      <c r="H505">
        <v>-1</v>
      </c>
      <c r="I505">
        <v>0</v>
      </c>
      <c r="J505">
        <v>2</v>
      </c>
      <c r="K505">
        <v>-1</v>
      </c>
      <c r="L505">
        <v>-1</v>
      </c>
      <c r="M505">
        <v>682.66666666666697</v>
      </c>
      <c r="N505">
        <v>217.082466501619</v>
      </c>
      <c r="O505">
        <v>-1</v>
      </c>
      <c r="P505">
        <v>-1</v>
      </c>
      <c r="Q505">
        <v>-1</v>
      </c>
      <c r="R505">
        <v>0.77200000000000002</v>
      </c>
      <c r="S505">
        <v>1.0229999999999999</v>
      </c>
      <c r="T505">
        <v>0.9</v>
      </c>
      <c r="U505">
        <v>0.95099999999999996</v>
      </c>
      <c r="AL505" t="s">
        <v>155</v>
      </c>
      <c r="AM505" t="s">
        <v>155</v>
      </c>
      <c r="AN505" t="s">
        <v>156</v>
      </c>
      <c r="AO505" t="s">
        <v>156</v>
      </c>
      <c r="BZ505">
        <v>3.9370107385283974</v>
      </c>
      <c r="CA505">
        <v>854.65600176310511</v>
      </c>
      <c r="CB505">
        <v>2.5087479701010098</v>
      </c>
      <c r="CC505">
        <v>5.2012307030652298</v>
      </c>
      <c r="CD505">
        <v>3.7326418900079599</v>
      </c>
      <c r="CE505">
        <v>4.3054223909393903</v>
      </c>
    </row>
    <row r="506" spans="1:99" x14ac:dyDescent="0.25">
      <c r="A506" t="s">
        <v>148</v>
      </c>
      <c r="B506" t="s">
        <v>165</v>
      </c>
      <c r="C506" t="s">
        <v>158</v>
      </c>
      <c r="D506">
        <v>-1</v>
      </c>
      <c r="E506">
        <v>0</v>
      </c>
      <c r="F506">
        <v>-1</v>
      </c>
      <c r="G506">
        <v>-1</v>
      </c>
      <c r="H506">
        <v>-1</v>
      </c>
      <c r="I506">
        <v>2</v>
      </c>
      <c r="J506">
        <v>-1</v>
      </c>
      <c r="K506">
        <v>2</v>
      </c>
      <c r="L506">
        <v>-1</v>
      </c>
      <c r="M506">
        <v>292.57142857142901</v>
      </c>
      <c r="N506">
        <v>93.035342786407895</v>
      </c>
      <c r="O506">
        <v>-1</v>
      </c>
      <c r="P506">
        <v>-1</v>
      </c>
      <c r="Q506">
        <v>-1</v>
      </c>
      <c r="R506">
        <v>1.595</v>
      </c>
      <c r="S506">
        <v>2.5289999999999999</v>
      </c>
      <c r="T506">
        <v>4.2130000000000001</v>
      </c>
      <c r="U506">
        <v>1.7390000000000001</v>
      </c>
      <c r="AL506" t="s">
        <v>159</v>
      </c>
      <c r="AM506" t="s">
        <v>159</v>
      </c>
      <c r="AN506" t="s">
        <v>159</v>
      </c>
      <c r="AO506" t="s">
        <v>159</v>
      </c>
      <c r="BZ506">
        <v>7.2845399337771806</v>
      </c>
      <c r="CA506">
        <v>677.71966978023704</v>
      </c>
      <c r="CB506">
        <v>1.5289066555728099</v>
      </c>
      <c r="CC506">
        <v>5.2345977025885402</v>
      </c>
      <c r="CD506">
        <v>20.4488614189051</v>
      </c>
      <c r="CE506">
        <v>1.92579395804227</v>
      </c>
    </row>
    <row r="507" spans="1:99" x14ac:dyDescent="0.25">
      <c r="A507" t="s">
        <v>148</v>
      </c>
      <c r="B507" t="s">
        <v>212</v>
      </c>
      <c r="C507" t="s">
        <v>192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1856</v>
      </c>
      <c r="N507">
        <v>590.19295580127505</v>
      </c>
      <c r="O507">
        <v>0</v>
      </c>
      <c r="P507">
        <v>1</v>
      </c>
      <c r="Q507">
        <v>1</v>
      </c>
      <c r="R507">
        <v>0.29499999999999998</v>
      </c>
      <c r="BZ507">
        <v>0.25672374999999997</v>
      </c>
      <c r="CA507">
        <v>151.51654883688758</v>
      </c>
      <c r="CB507">
        <v>0.25672374999999997</v>
      </c>
    </row>
    <row r="508" spans="1:99" x14ac:dyDescent="0.25">
      <c r="A508" t="s">
        <v>148</v>
      </c>
      <c r="B508" t="s">
        <v>207</v>
      </c>
      <c r="C508" t="s">
        <v>192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1856</v>
      </c>
      <c r="N508">
        <v>590.19295580127505</v>
      </c>
      <c r="O508">
        <v>1</v>
      </c>
      <c r="P508">
        <v>0</v>
      </c>
      <c r="Q508">
        <v>1</v>
      </c>
      <c r="R508">
        <v>0.104</v>
      </c>
      <c r="BZ508">
        <v>1.1248640000000001E-2</v>
      </c>
      <c r="CA508">
        <v>6.638868090344455</v>
      </c>
      <c r="CB508">
        <v>1.1248640000000001E-2</v>
      </c>
    </row>
    <row r="509" spans="1:99" x14ac:dyDescent="0.25">
      <c r="A509" t="s">
        <v>148</v>
      </c>
      <c r="B509" t="s">
        <v>209</v>
      </c>
      <c r="C509" t="s">
        <v>192</v>
      </c>
      <c r="D509">
        <v>-1</v>
      </c>
      <c r="E509">
        <v>-1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1856</v>
      </c>
      <c r="N509">
        <v>590.19295580127505</v>
      </c>
      <c r="O509">
        <v>1</v>
      </c>
      <c r="P509">
        <v>0</v>
      </c>
      <c r="Q509">
        <v>1</v>
      </c>
      <c r="R509">
        <v>0.125</v>
      </c>
      <c r="BZ509">
        <v>6.0156250000000001E-2</v>
      </c>
      <c r="CA509">
        <v>35.503794997420449</v>
      </c>
      <c r="CB509">
        <v>6.0156250000000001E-2</v>
      </c>
    </row>
    <row r="510" spans="1:99" x14ac:dyDescent="0.25">
      <c r="A510" t="s">
        <v>148</v>
      </c>
      <c r="B510" t="s">
        <v>178</v>
      </c>
      <c r="C510" t="s">
        <v>158</v>
      </c>
      <c r="D510">
        <v>-1</v>
      </c>
      <c r="E510">
        <v>4</v>
      </c>
      <c r="F510">
        <v>-1</v>
      </c>
      <c r="G510">
        <v>-1</v>
      </c>
      <c r="H510">
        <v>-1</v>
      </c>
      <c r="I510">
        <v>6</v>
      </c>
      <c r="J510">
        <v>-1</v>
      </c>
      <c r="K510">
        <v>4</v>
      </c>
      <c r="L510">
        <v>-1</v>
      </c>
      <c r="M510">
        <v>1024</v>
      </c>
      <c r="N510">
        <v>325.62369975242802</v>
      </c>
      <c r="O510">
        <v>-1</v>
      </c>
      <c r="P510">
        <v>-1</v>
      </c>
      <c r="Q510">
        <v>-1</v>
      </c>
      <c r="R510">
        <v>0.53700000000000003</v>
      </c>
      <c r="S510">
        <v>0.56899999999999995</v>
      </c>
      <c r="T510">
        <v>0.437</v>
      </c>
      <c r="U510">
        <v>0.52700000000000002</v>
      </c>
      <c r="V510">
        <v>0.54300000000000004</v>
      </c>
      <c r="W510">
        <v>0.36899999999999999</v>
      </c>
      <c r="X510">
        <v>0.624</v>
      </c>
      <c r="Y510">
        <v>0.56499999999999995</v>
      </c>
      <c r="Z510">
        <v>0.503</v>
      </c>
      <c r="AA510">
        <v>0.498</v>
      </c>
      <c r="AB510">
        <v>0.70199999999999996</v>
      </c>
      <c r="AC510">
        <v>0.46700000000000003</v>
      </c>
      <c r="AD510">
        <v>0.79100000000000004</v>
      </c>
      <c r="AE510">
        <v>0.90200000000000002</v>
      </c>
      <c r="AL510" t="s">
        <v>159</v>
      </c>
      <c r="AM510" t="s">
        <v>159</v>
      </c>
      <c r="AN510" t="s">
        <v>159</v>
      </c>
      <c r="AO510" t="s">
        <v>159</v>
      </c>
      <c r="AP510" t="s">
        <v>159</v>
      </c>
      <c r="AQ510" t="s">
        <v>159</v>
      </c>
      <c r="AR510" t="s">
        <v>159</v>
      </c>
      <c r="AS510" t="s">
        <v>159</v>
      </c>
      <c r="AT510" t="s">
        <v>159</v>
      </c>
      <c r="AU510" t="s">
        <v>159</v>
      </c>
      <c r="AV510" t="s">
        <v>159</v>
      </c>
      <c r="AW510" t="s">
        <v>159</v>
      </c>
      <c r="AX510" t="s">
        <v>159</v>
      </c>
      <c r="AY510" t="s">
        <v>159</v>
      </c>
      <c r="BZ510">
        <v>5.224138898011323</v>
      </c>
      <c r="CA510">
        <v>1701.1034359910193</v>
      </c>
      <c r="CB510">
        <v>4.2300848560228097</v>
      </c>
      <c r="CC510">
        <v>4.7906642855950397</v>
      </c>
      <c r="CD510">
        <v>2.7160605944932699</v>
      </c>
      <c r="CE510">
        <v>4.0625356766111</v>
      </c>
      <c r="CF510">
        <v>4.3323546273023199</v>
      </c>
      <c r="CG510">
        <v>1.88803939759447</v>
      </c>
      <c r="CH510">
        <v>5.8418611853137001</v>
      </c>
      <c r="CI510">
        <v>4.7185496373428704</v>
      </c>
      <c r="CJ510">
        <v>3.6751539241232098</v>
      </c>
      <c r="CK510">
        <v>3.5970580958964402</v>
      </c>
      <c r="CL510">
        <v>7.5253925007584002</v>
      </c>
      <c r="CM510">
        <v>3.1328215563148301</v>
      </c>
      <c r="CN510">
        <v>9.7271094974704599</v>
      </c>
      <c r="CO510">
        <v>12.9002587373196</v>
      </c>
    </row>
    <row r="511" spans="1:99" x14ac:dyDescent="0.25">
      <c r="A511" t="s">
        <v>148</v>
      </c>
      <c r="B511" t="s">
        <v>153</v>
      </c>
      <c r="C511" t="s">
        <v>154</v>
      </c>
      <c r="D511">
        <v>-1</v>
      </c>
      <c r="E511">
        <v>2</v>
      </c>
      <c r="F511">
        <v>0</v>
      </c>
      <c r="G511">
        <v>-1</v>
      </c>
      <c r="H511">
        <v>-1</v>
      </c>
      <c r="I511">
        <v>0</v>
      </c>
      <c r="J511">
        <v>0</v>
      </c>
      <c r="K511">
        <v>-1</v>
      </c>
      <c r="L511">
        <v>-1</v>
      </c>
      <c r="M511">
        <v>341.33333333333297</v>
      </c>
      <c r="N511">
        <v>108.541233250809</v>
      </c>
      <c r="O511">
        <v>-1</v>
      </c>
      <c r="P511">
        <v>-1</v>
      </c>
      <c r="Q511">
        <v>-1</v>
      </c>
      <c r="R511">
        <v>1.3220000000000001</v>
      </c>
      <c r="S511">
        <v>1.0660000000000001</v>
      </c>
      <c r="AL511" t="s">
        <v>155</v>
      </c>
      <c r="AM511" t="s">
        <v>155</v>
      </c>
      <c r="BZ511">
        <v>7.9455561940196704</v>
      </c>
      <c r="CA511">
        <v>862.42046816249922</v>
      </c>
      <c r="CB511">
        <v>10.104566701300101</v>
      </c>
      <c r="CC511">
        <v>5.78654568673924</v>
      </c>
    </row>
    <row r="512" spans="1:99" x14ac:dyDescent="0.25">
      <c r="A512" t="s">
        <v>148</v>
      </c>
      <c r="B512" t="s">
        <v>210</v>
      </c>
      <c r="C512" t="s">
        <v>192</v>
      </c>
      <c r="D512">
        <v>-1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1856</v>
      </c>
      <c r="N512">
        <v>590.19295580127505</v>
      </c>
      <c r="O512">
        <v>0</v>
      </c>
      <c r="P512">
        <v>1</v>
      </c>
      <c r="Q512">
        <v>1</v>
      </c>
      <c r="R512">
        <v>0.16200000000000001</v>
      </c>
      <c r="BZ512">
        <v>4.2515280000000003E-2</v>
      </c>
      <c r="CA512">
        <v>25.092218769918833</v>
      </c>
      <c r="CB512">
        <v>4.2515280000000003E-2</v>
      </c>
    </row>
    <row r="513" spans="1:99" x14ac:dyDescent="0.25">
      <c r="A513" t="s">
        <v>148</v>
      </c>
      <c r="B513" t="s">
        <v>214</v>
      </c>
      <c r="C513" t="s">
        <v>192</v>
      </c>
      <c r="D513">
        <v>-1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9280</v>
      </c>
      <c r="N513">
        <v>2950.96477900638</v>
      </c>
      <c r="O513">
        <v>2</v>
      </c>
      <c r="P513">
        <v>3</v>
      </c>
      <c r="Q513">
        <v>5</v>
      </c>
      <c r="R513">
        <v>0.19600000000000001</v>
      </c>
      <c r="S513">
        <v>0.16400000000000001</v>
      </c>
      <c r="T513">
        <v>0.14499999999999999</v>
      </c>
      <c r="U513">
        <v>0.16800000000000001</v>
      </c>
      <c r="V513">
        <v>0.15</v>
      </c>
      <c r="BF513">
        <v>5.7647058823529398E-2</v>
      </c>
      <c r="BG513">
        <v>4.8235294117647098E-2</v>
      </c>
      <c r="BH513">
        <v>4.2647058823529399E-2</v>
      </c>
      <c r="BI513">
        <v>4.9411764705882398E-2</v>
      </c>
      <c r="BJ513">
        <v>4.4117647058823498E-2</v>
      </c>
      <c r="BZ513">
        <v>2.0911891244705862E-2</v>
      </c>
      <c r="CA513">
        <v>61.710254525538886</v>
      </c>
      <c r="CB513">
        <v>3.4073104431833902E-2</v>
      </c>
      <c r="CC513">
        <v>1.9960666308650499E-2</v>
      </c>
      <c r="CD513">
        <v>1.37958192906574E-2</v>
      </c>
      <c r="CE513">
        <v>2.1457115327335598E-2</v>
      </c>
      <c r="CF513">
        <v>1.52727508650519E-2</v>
      </c>
    </row>
    <row r="514" spans="1:99" x14ac:dyDescent="0.25">
      <c r="A514" t="s">
        <v>150</v>
      </c>
      <c r="B514" t="s">
        <v>191</v>
      </c>
      <c r="C514" t="s">
        <v>192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1088</v>
      </c>
      <c r="N514">
        <v>387.49220270538899</v>
      </c>
      <c r="O514">
        <v>0</v>
      </c>
      <c r="P514">
        <v>2</v>
      </c>
      <c r="Q514">
        <v>2</v>
      </c>
      <c r="R514">
        <v>9.6000000000000002E-2</v>
      </c>
      <c r="S514">
        <v>9.6000000000000002E-2</v>
      </c>
      <c r="BZ514">
        <v>1.0616832E-2</v>
      </c>
      <c r="CA514">
        <v>4.1139396174330605</v>
      </c>
      <c r="CB514">
        <v>1.0616832E-2</v>
      </c>
      <c r="CC514">
        <v>1.0616832E-2</v>
      </c>
    </row>
    <row r="515" spans="1:99" x14ac:dyDescent="0.25">
      <c r="A515" t="s">
        <v>150</v>
      </c>
      <c r="B515" t="s">
        <v>193</v>
      </c>
      <c r="C515" t="s">
        <v>192</v>
      </c>
      <c r="D515">
        <v>-1</v>
      </c>
      <c r="E515">
        <v>-1</v>
      </c>
      <c r="F515">
        <v>-1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1088</v>
      </c>
      <c r="N515">
        <v>387.49220270538899</v>
      </c>
      <c r="O515">
        <v>1</v>
      </c>
      <c r="P515">
        <v>1</v>
      </c>
      <c r="Q515">
        <v>2</v>
      </c>
      <c r="R515">
        <v>0.75</v>
      </c>
      <c r="S515">
        <v>0.77500000000000002</v>
      </c>
      <c r="BZ515">
        <v>3.9798067968750002</v>
      </c>
      <c r="CA515">
        <v>1542.1441020629725</v>
      </c>
      <c r="CB515">
        <v>3.78421875</v>
      </c>
      <c r="CC515">
        <v>4.1753948437500004</v>
      </c>
    </row>
    <row r="516" spans="1:99" x14ac:dyDescent="0.25">
      <c r="A516" t="s">
        <v>150</v>
      </c>
      <c r="B516" t="s">
        <v>172</v>
      </c>
      <c r="C516" t="s">
        <v>158</v>
      </c>
      <c r="D516">
        <v>-1</v>
      </c>
      <c r="E516">
        <v>22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5632</v>
      </c>
      <c r="N516">
        <v>2005.8419904749601</v>
      </c>
      <c r="O516">
        <v>-1</v>
      </c>
      <c r="P516">
        <v>-1</v>
      </c>
      <c r="Q516">
        <v>-1</v>
      </c>
      <c r="R516">
        <v>0.30299999999999999</v>
      </c>
      <c r="S516">
        <v>0.42899999999999999</v>
      </c>
      <c r="T516">
        <v>0.42</v>
      </c>
      <c r="U516">
        <v>0.25</v>
      </c>
      <c r="V516">
        <v>0.23400000000000001</v>
      </c>
      <c r="W516">
        <v>0.3</v>
      </c>
      <c r="X516">
        <v>0.28100000000000003</v>
      </c>
      <c r="Y516">
        <v>0.19700000000000001</v>
      </c>
      <c r="Z516">
        <v>0.28699999999999998</v>
      </c>
      <c r="AA516">
        <v>0.28999999999999998</v>
      </c>
      <c r="AB516">
        <v>0.43</v>
      </c>
      <c r="AC516">
        <v>0.39100000000000001</v>
      </c>
      <c r="AD516">
        <v>0.22</v>
      </c>
      <c r="AE516">
        <v>0.24399999999999999</v>
      </c>
      <c r="AF516">
        <v>0.55000000000000004</v>
      </c>
      <c r="AG516">
        <v>0.36199999999999999</v>
      </c>
      <c r="AH516">
        <v>0.32900000000000001</v>
      </c>
      <c r="AI516">
        <v>0.27</v>
      </c>
      <c r="AJ516">
        <v>0.249</v>
      </c>
      <c r="AK516">
        <v>0.32400000000000001</v>
      </c>
      <c r="AL516" t="s">
        <v>159</v>
      </c>
      <c r="AM516" t="s">
        <v>159</v>
      </c>
      <c r="AN516" t="s">
        <v>159</v>
      </c>
      <c r="AO516" t="s">
        <v>159</v>
      </c>
      <c r="AP516" t="s">
        <v>159</v>
      </c>
      <c r="AQ516" t="s">
        <v>159</v>
      </c>
      <c r="AR516" t="s">
        <v>159</v>
      </c>
      <c r="AS516" t="s">
        <v>159</v>
      </c>
      <c r="AT516" t="s">
        <v>159</v>
      </c>
      <c r="AU516" t="s">
        <v>159</v>
      </c>
      <c r="AV516" t="s">
        <v>159</v>
      </c>
      <c r="AW516" t="s">
        <v>159</v>
      </c>
      <c r="AX516" t="s">
        <v>159</v>
      </c>
      <c r="AY516" t="s">
        <v>159</v>
      </c>
      <c r="AZ516" t="s">
        <v>159</v>
      </c>
      <c r="BA516" t="s">
        <v>159</v>
      </c>
      <c r="BB516" t="s">
        <v>159</v>
      </c>
      <c r="BC516" t="s">
        <v>159</v>
      </c>
      <c r="BD516" t="s">
        <v>159</v>
      </c>
      <c r="BE516" t="s">
        <v>159</v>
      </c>
      <c r="BZ516">
        <v>0.9526311346128532</v>
      </c>
      <c r="CA516">
        <v>1910.8275312402652</v>
      </c>
      <c r="CB516">
        <v>0.734271184165047</v>
      </c>
      <c r="CC516">
        <v>1.7697975279662601</v>
      </c>
      <c r="CD516">
        <v>1.6773640841286701</v>
      </c>
      <c r="CE516">
        <v>0.45143461511491501</v>
      </c>
      <c r="CF516">
        <v>0.38187634232599998</v>
      </c>
      <c r="CG516">
        <v>0.716017124831829</v>
      </c>
      <c r="CH516">
        <v>0.60678330661388602</v>
      </c>
      <c r="CI516">
        <v>0.24706213331197199</v>
      </c>
      <c r="CJ516">
        <v>0.64010000952546497</v>
      </c>
      <c r="CK516">
        <v>0.65716370524932799</v>
      </c>
      <c r="CL516">
        <v>1.7802534150118901</v>
      </c>
      <c r="CM516">
        <v>1.39963189644516</v>
      </c>
      <c r="CN516">
        <v>0.32669013277068698</v>
      </c>
      <c r="CO516">
        <v>0.42452463334503399</v>
      </c>
      <c r="CP516">
        <v>3.3183656515362099</v>
      </c>
      <c r="CQ516">
        <v>1.15169987147221</v>
      </c>
      <c r="CR516">
        <v>0.90429942924878204</v>
      </c>
      <c r="CS516">
        <v>0.54847515335258601</v>
      </c>
      <c r="CT516">
        <v>0.44688006659235302</v>
      </c>
      <c r="CU516">
        <v>0.86993240924878301</v>
      </c>
    </row>
    <row r="517" spans="1:99" x14ac:dyDescent="0.25">
      <c r="A517" t="s">
        <v>150</v>
      </c>
      <c r="B517" t="s">
        <v>157</v>
      </c>
      <c r="C517" t="s">
        <v>158</v>
      </c>
      <c r="D517">
        <v>38</v>
      </c>
      <c r="E517">
        <v>-1</v>
      </c>
      <c r="F517">
        <v>-1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38</v>
      </c>
      <c r="N517">
        <v>13.5337350209603</v>
      </c>
      <c r="O517">
        <v>-1</v>
      </c>
      <c r="P517">
        <v>-1</v>
      </c>
      <c r="Q517">
        <v>-1</v>
      </c>
      <c r="R517">
        <v>3.2719999999999998</v>
      </c>
      <c r="S517">
        <v>2.4489999999999998</v>
      </c>
      <c r="T517">
        <v>2.4329999999999998</v>
      </c>
      <c r="U517">
        <v>1.9039999999999999</v>
      </c>
      <c r="V517">
        <v>2.9049999999999998</v>
      </c>
      <c r="W517">
        <v>2.5539999999999998</v>
      </c>
      <c r="X517">
        <v>2.0230000000000001</v>
      </c>
      <c r="Y517">
        <v>2.6589999999999998</v>
      </c>
      <c r="Z517">
        <v>1.8380000000000001</v>
      </c>
      <c r="AA517">
        <v>2.3639999999999999</v>
      </c>
      <c r="AB517">
        <v>1.833</v>
      </c>
      <c r="AC517">
        <v>1.768</v>
      </c>
      <c r="AD517">
        <v>2.883</v>
      </c>
      <c r="AE517">
        <v>2.7480000000000002</v>
      </c>
      <c r="AF517">
        <v>2.2189999999999999</v>
      </c>
      <c r="AG517">
        <v>2.6890000000000001</v>
      </c>
      <c r="AH517">
        <v>2.6259999999999999</v>
      </c>
      <c r="AI517">
        <v>2.41</v>
      </c>
      <c r="AJ517">
        <v>2.7290000000000001</v>
      </c>
      <c r="AK517">
        <v>3.2210000000000001</v>
      </c>
      <c r="AL517" t="s">
        <v>159</v>
      </c>
      <c r="AM517" t="s">
        <v>159</v>
      </c>
      <c r="AN517" t="s">
        <v>159</v>
      </c>
      <c r="AO517" t="s">
        <v>159</v>
      </c>
      <c r="AP517" t="s">
        <v>159</v>
      </c>
      <c r="AQ517" t="s">
        <v>159</v>
      </c>
      <c r="AR517" t="s">
        <v>159</v>
      </c>
      <c r="AS517" t="s">
        <v>159</v>
      </c>
      <c r="AT517" t="s">
        <v>159</v>
      </c>
      <c r="AU517" t="s">
        <v>159</v>
      </c>
      <c r="AV517" t="s">
        <v>159</v>
      </c>
      <c r="AW517" t="s">
        <v>159</v>
      </c>
      <c r="AX517" t="s">
        <v>159</v>
      </c>
      <c r="AY517" t="s">
        <v>159</v>
      </c>
      <c r="AZ517" t="s">
        <v>159</v>
      </c>
      <c r="BA517" t="s">
        <v>159</v>
      </c>
      <c r="BB517" t="s">
        <v>159</v>
      </c>
      <c r="BC517" t="s">
        <v>159</v>
      </c>
      <c r="BD517" t="s">
        <v>159</v>
      </c>
      <c r="BE517" t="s">
        <v>159</v>
      </c>
      <c r="BZ517">
        <v>116.64744861071844</v>
      </c>
      <c r="CA517">
        <v>1578.6756603685471</v>
      </c>
      <c r="CB517">
        <v>201.84275732173899</v>
      </c>
      <c r="CC517">
        <v>110.164062945035</v>
      </c>
      <c r="CD517">
        <v>108.665176927109</v>
      </c>
      <c r="CE517">
        <v>65.096448748453099</v>
      </c>
      <c r="CF517">
        <v>157.40872803291401</v>
      </c>
      <c r="CG517">
        <v>120.26660459528399</v>
      </c>
      <c r="CH517">
        <v>73.889848954760595</v>
      </c>
      <c r="CI517">
        <v>130.83221943235</v>
      </c>
      <c r="CJ517">
        <v>60.469376904359201</v>
      </c>
      <c r="CK517">
        <v>102.32378598944899</v>
      </c>
      <c r="CL517">
        <v>60.126086257306703</v>
      </c>
      <c r="CM517">
        <v>55.755961380210401</v>
      </c>
      <c r="CN517">
        <v>154.927561883202</v>
      </c>
      <c r="CO517">
        <v>140.15169229369201</v>
      </c>
      <c r="CP517">
        <v>89.644189595746695</v>
      </c>
      <c r="CQ517">
        <v>133.936257775022</v>
      </c>
      <c r="CR517">
        <v>127.461596026424</v>
      </c>
      <c r="CS517">
        <v>106.52928269941199</v>
      </c>
      <c r="CT517">
        <v>138.134058940052</v>
      </c>
      <c r="CU517">
        <v>195.32327551184801</v>
      </c>
    </row>
    <row r="518" spans="1:99" x14ac:dyDescent="0.25">
      <c r="A518" t="s">
        <v>150</v>
      </c>
      <c r="B518" t="s">
        <v>171</v>
      </c>
      <c r="C518" t="s">
        <v>158</v>
      </c>
      <c r="D518">
        <v>11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11</v>
      </c>
      <c r="N518">
        <v>3.9176601376464002</v>
      </c>
      <c r="O518">
        <v>-1</v>
      </c>
      <c r="P518">
        <v>-1</v>
      </c>
      <c r="Q518">
        <v>-1</v>
      </c>
      <c r="R518">
        <v>0.73899999999999999</v>
      </c>
      <c r="S518">
        <v>1.119</v>
      </c>
      <c r="T518">
        <v>1.486</v>
      </c>
      <c r="U518">
        <v>1.44</v>
      </c>
      <c r="V518">
        <v>0.96899999999999997</v>
      </c>
      <c r="W518">
        <v>1.5980000000000001</v>
      </c>
      <c r="X518">
        <v>0.86499999999999999</v>
      </c>
      <c r="Y518">
        <v>1.321</v>
      </c>
      <c r="Z518">
        <v>1.4039999999999999</v>
      </c>
      <c r="AA518">
        <v>1.6559999999999999</v>
      </c>
      <c r="AB518">
        <v>1.2050000000000001</v>
      </c>
      <c r="AL518" t="s">
        <v>159</v>
      </c>
      <c r="AM518" t="s">
        <v>159</v>
      </c>
      <c r="AN518" t="s">
        <v>159</v>
      </c>
      <c r="AO518" t="s">
        <v>159</v>
      </c>
      <c r="AP518" t="s">
        <v>159</v>
      </c>
      <c r="AQ518" t="s">
        <v>159</v>
      </c>
      <c r="AR518" t="s">
        <v>159</v>
      </c>
      <c r="AS518" t="s">
        <v>159</v>
      </c>
      <c r="AT518" t="s">
        <v>159</v>
      </c>
      <c r="AU518" t="s">
        <v>159</v>
      </c>
      <c r="AV518" t="s">
        <v>159</v>
      </c>
      <c r="BZ518">
        <v>3.6884913138328206</v>
      </c>
      <c r="CA518">
        <v>14.450255388257839</v>
      </c>
      <c r="CB518">
        <v>0.66144864874675202</v>
      </c>
      <c r="CC518">
        <v>2.2774526951099601</v>
      </c>
      <c r="CD518">
        <v>5.3033679444803203</v>
      </c>
      <c r="CE518">
        <v>4.8289858587798298</v>
      </c>
      <c r="CF518">
        <v>1.4831345867430801</v>
      </c>
      <c r="CG518">
        <v>6.5855870781950498</v>
      </c>
      <c r="CH518">
        <v>1.0574107162439601</v>
      </c>
      <c r="CI518">
        <v>3.7344453097488102</v>
      </c>
      <c r="CJ518">
        <v>4.4780577330866702</v>
      </c>
      <c r="CK518">
        <v>7.3237835054498399</v>
      </c>
      <c r="CL518">
        <v>2.8397303755767598</v>
      </c>
    </row>
    <row r="519" spans="1:99" x14ac:dyDescent="0.25">
      <c r="A519" t="s">
        <v>150</v>
      </c>
      <c r="B519" t="s">
        <v>183</v>
      </c>
      <c r="C519" t="s">
        <v>158</v>
      </c>
      <c r="D519">
        <v>-1</v>
      </c>
      <c r="E519">
        <v>0</v>
      </c>
      <c r="F519">
        <v>-1</v>
      </c>
      <c r="G519">
        <v>-1</v>
      </c>
      <c r="H519">
        <v>-1</v>
      </c>
      <c r="I519">
        <v>1</v>
      </c>
      <c r="J519">
        <v>-1</v>
      </c>
      <c r="K519">
        <v>-1</v>
      </c>
      <c r="L519">
        <v>-1</v>
      </c>
      <c r="M519">
        <v>85.3333333333333</v>
      </c>
      <c r="N519">
        <v>30.391545310226601</v>
      </c>
      <c r="O519">
        <v>-1</v>
      </c>
      <c r="P519">
        <v>-1</v>
      </c>
      <c r="Q519">
        <v>-1</v>
      </c>
      <c r="R519">
        <v>0.41099999999999998</v>
      </c>
      <c r="AL519" t="s">
        <v>159</v>
      </c>
      <c r="BZ519">
        <v>1.0295682059997999</v>
      </c>
      <c r="CA519">
        <v>31.290168782611634</v>
      </c>
      <c r="CB519">
        <v>1.0295682059997999</v>
      </c>
    </row>
    <row r="520" spans="1:99" x14ac:dyDescent="0.25">
      <c r="A520" t="s">
        <v>150</v>
      </c>
      <c r="B520" t="s">
        <v>194</v>
      </c>
      <c r="C520" t="s">
        <v>192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6528</v>
      </c>
      <c r="N520">
        <v>2324.9532162323299</v>
      </c>
      <c r="O520">
        <v>8</v>
      </c>
      <c r="P520">
        <v>4</v>
      </c>
      <c r="Q520">
        <v>12</v>
      </c>
      <c r="BF520">
        <v>2.5000000000000001E-2</v>
      </c>
      <c r="BG520">
        <v>3.5000000000000003E-2</v>
      </c>
      <c r="BH520">
        <v>5.3999999999999999E-2</v>
      </c>
      <c r="BI520">
        <v>3.6999999999999998E-2</v>
      </c>
      <c r="BJ520">
        <v>3.5000000000000003E-2</v>
      </c>
      <c r="BK520">
        <v>0.03</v>
      </c>
      <c r="BL520">
        <v>0.04</v>
      </c>
      <c r="BM520">
        <v>3.7999999999999999E-2</v>
      </c>
      <c r="BN520">
        <v>3.1E-2</v>
      </c>
      <c r="BO520">
        <v>3.7999999999999999E-2</v>
      </c>
      <c r="BP520">
        <v>3.2000000000000001E-2</v>
      </c>
      <c r="BQ520">
        <v>3.4000000000000002E-2</v>
      </c>
      <c r="BZ520">
        <v>9.1814850000000014E-3</v>
      </c>
      <c r="CA520">
        <v>21.346523080538898</v>
      </c>
      <c r="CB520">
        <v>2.8124999999999999E-3</v>
      </c>
      <c r="CC520">
        <v>7.7175000000000004E-3</v>
      </c>
      <c r="CD520">
        <v>2.8343520000000001E-2</v>
      </c>
      <c r="CE520">
        <v>9.1175400000000004E-3</v>
      </c>
      <c r="CF520">
        <v>7.7175000000000004E-3</v>
      </c>
      <c r="CG520">
        <v>4.8599999999999997E-3</v>
      </c>
      <c r="CH520">
        <v>1.1520000000000001E-2</v>
      </c>
      <c r="CI520">
        <v>9.8769600000000006E-3</v>
      </c>
      <c r="CJ520">
        <v>5.3623799999999999E-3</v>
      </c>
      <c r="CK520">
        <v>9.8769600000000006E-3</v>
      </c>
      <c r="CL520">
        <v>5.8982399999999999E-3</v>
      </c>
      <c r="CM520">
        <v>7.0747199999999996E-3</v>
      </c>
    </row>
    <row r="521" spans="1:99" x14ac:dyDescent="0.25">
      <c r="A521" t="s">
        <v>150</v>
      </c>
      <c r="B521" t="s">
        <v>195</v>
      </c>
      <c r="C521" t="s">
        <v>192</v>
      </c>
      <c r="D521">
        <v>-1</v>
      </c>
      <c r="E521">
        <v>-1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70176</v>
      </c>
      <c r="N521">
        <v>24993.247074497602</v>
      </c>
      <c r="O521">
        <v>84</v>
      </c>
      <c r="P521">
        <v>45</v>
      </c>
      <c r="Q521">
        <v>129</v>
      </c>
      <c r="R521">
        <v>0.17199999999999999</v>
      </c>
      <c r="S521">
        <v>0.161</v>
      </c>
      <c r="T521">
        <v>0.161</v>
      </c>
      <c r="U521">
        <v>0.153</v>
      </c>
      <c r="V521">
        <v>0.17</v>
      </c>
      <c r="W521">
        <v>0.19500000000000001</v>
      </c>
      <c r="X521">
        <v>0.14399999999999999</v>
      </c>
      <c r="Y521">
        <v>0.109</v>
      </c>
      <c r="Z521">
        <v>0.14599999999999999</v>
      </c>
      <c r="AA521">
        <v>0.16800000000000001</v>
      </c>
      <c r="AB521">
        <v>0.15</v>
      </c>
      <c r="AC521">
        <v>0.17499999999999999</v>
      </c>
      <c r="AD521">
        <v>0.17799999999999999</v>
      </c>
      <c r="AE521">
        <v>0.16200000000000001</v>
      </c>
      <c r="AF521">
        <v>0.187</v>
      </c>
      <c r="AG521">
        <v>0.185</v>
      </c>
      <c r="AH521">
        <v>0.16200000000000001</v>
      </c>
      <c r="AI521">
        <v>0.183</v>
      </c>
      <c r="AJ521">
        <v>0.13400000000000001</v>
      </c>
      <c r="AK521">
        <v>0.17</v>
      </c>
      <c r="BF521">
        <v>6.6000000000000003E-2</v>
      </c>
      <c r="BG521">
        <v>6.7000000000000004E-2</v>
      </c>
      <c r="BH521">
        <v>7.4999999999999997E-2</v>
      </c>
      <c r="BI521">
        <v>7.2999999999999995E-2</v>
      </c>
      <c r="BJ521">
        <v>8.1000000000000003E-2</v>
      </c>
      <c r="BK521">
        <v>0.05</v>
      </c>
      <c r="BL521">
        <v>5.8000000000000003E-2</v>
      </c>
      <c r="BM521">
        <v>7.3999999999999996E-2</v>
      </c>
      <c r="BN521">
        <v>7.1999999999999995E-2</v>
      </c>
      <c r="BO521">
        <v>7.4999999999999997E-2</v>
      </c>
      <c r="BP521">
        <v>6.8000000000000005E-2</v>
      </c>
      <c r="BQ521">
        <v>0.04</v>
      </c>
      <c r="BR521">
        <v>4.2999999999999997E-2</v>
      </c>
      <c r="BS521">
        <v>6.9000000000000006E-2</v>
      </c>
      <c r="BT521">
        <v>6.7000000000000004E-2</v>
      </c>
      <c r="BU521">
        <v>6.0999999999999999E-2</v>
      </c>
      <c r="BV521">
        <v>8.5000000000000006E-2</v>
      </c>
      <c r="BW521">
        <v>5.5E-2</v>
      </c>
      <c r="BX521">
        <v>5.8999999999999997E-2</v>
      </c>
      <c r="BY521">
        <v>4.2999999999999997E-2</v>
      </c>
      <c r="BZ521">
        <v>1.7791277400000003E-2</v>
      </c>
      <c r="CA521">
        <v>444.66179182912538</v>
      </c>
      <c r="CB521">
        <v>1.9480032000000001E-2</v>
      </c>
      <c r="CC521">
        <v>1.8790953999999999E-2</v>
      </c>
      <c r="CD521">
        <v>2.3546250000000001E-2</v>
      </c>
      <c r="CE521">
        <v>2.1198761999999999E-2</v>
      </c>
      <c r="CF521">
        <v>2.899962E-2</v>
      </c>
      <c r="CG521">
        <v>1.2675000000000001E-2</v>
      </c>
      <c r="CH521">
        <v>1.2594816E-2</v>
      </c>
      <c r="CI521">
        <v>1.5518984E-2</v>
      </c>
      <c r="CJ521">
        <v>1.9678464E-2</v>
      </c>
      <c r="CK521">
        <v>2.4570000000000002E-2</v>
      </c>
      <c r="CL521">
        <v>1.80336E-2</v>
      </c>
      <c r="CM521">
        <v>7.28E-3</v>
      </c>
      <c r="CN521">
        <v>8.557172E-3</v>
      </c>
      <c r="CO521">
        <v>2.0053332E-2</v>
      </c>
      <c r="CP521">
        <v>2.1825517999999999E-2</v>
      </c>
      <c r="CQ521">
        <v>1.7898009999999999E-2</v>
      </c>
      <c r="CR521">
        <v>3.0431699999999999E-2</v>
      </c>
      <c r="CS521">
        <v>1.439295E-2</v>
      </c>
      <c r="CT521">
        <v>1.2127804000000001E-2</v>
      </c>
      <c r="CU521">
        <v>8.1725800000000005E-3</v>
      </c>
    </row>
    <row r="522" spans="1:99" x14ac:dyDescent="0.25">
      <c r="A522" t="s">
        <v>150</v>
      </c>
      <c r="B522" t="s">
        <v>196</v>
      </c>
      <c r="C522" t="s">
        <v>197</v>
      </c>
      <c r="D522">
        <v>-1</v>
      </c>
      <c r="E522">
        <v>-1</v>
      </c>
      <c r="F522">
        <v>-1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17408</v>
      </c>
      <c r="N522">
        <v>6199.8752432862302</v>
      </c>
      <c r="O522">
        <v>14</v>
      </c>
      <c r="P522">
        <v>18</v>
      </c>
      <c r="Q522">
        <v>32</v>
      </c>
      <c r="R522">
        <v>0.127</v>
      </c>
      <c r="S522">
        <v>0.221</v>
      </c>
      <c r="T522">
        <v>0.125</v>
      </c>
      <c r="U522">
        <v>0.29099999999999998</v>
      </c>
      <c r="V522">
        <v>0.152</v>
      </c>
      <c r="W522">
        <v>0.13100000000000001</v>
      </c>
      <c r="X522">
        <v>0.27700000000000002</v>
      </c>
      <c r="Y522">
        <v>0.105</v>
      </c>
      <c r="Z522">
        <v>0.221</v>
      </c>
      <c r="AA522">
        <v>0.14399999999999999</v>
      </c>
      <c r="AB522">
        <v>0.123</v>
      </c>
      <c r="AC522">
        <v>0.13300000000000001</v>
      </c>
      <c r="AD522">
        <v>0.189</v>
      </c>
      <c r="AE522">
        <v>0.193</v>
      </c>
      <c r="AF522">
        <v>0.25700000000000001</v>
      </c>
      <c r="AG522">
        <v>0.14499999999999999</v>
      </c>
      <c r="AH522">
        <v>0.32</v>
      </c>
      <c r="AI522">
        <v>0.127</v>
      </c>
      <c r="AJ522">
        <v>0.16</v>
      </c>
      <c r="AK522">
        <v>0.32300000000000001</v>
      </c>
      <c r="BZ522">
        <v>0.15798214854539833</v>
      </c>
      <c r="CA522">
        <v>979.46961164778281</v>
      </c>
      <c r="CB522">
        <v>4.9808797095077323E-2</v>
      </c>
      <c r="CC522">
        <v>0.18824288925176821</v>
      </c>
      <c r="CD522">
        <v>4.7946968582758688E-2</v>
      </c>
      <c r="CE522">
        <v>0.36435127760291086</v>
      </c>
      <c r="CF522">
        <v>7.666581101018384E-2</v>
      </c>
      <c r="CG522">
        <v>5.3657228001919549E-2</v>
      </c>
      <c r="CH522">
        <v>0.32368946805528009</v>
      </c>
      <c r="CI522">
        <v>3.1552330394801202E-2</v>
      </c>
      <c r="CJ522">
        <v>0.18824288925176821</v>
      </c>
      <c r="CK522">
        <v>6.7335967442926234E-2</v>
      </c>
      <c r="CL522">
        <v>4.6126381923769305E-2</v>
      </c>
      <c r="CM522">
        <v>5.564434844158727E-2</v>
      </c>
      <c r="CN522">
        <v>0.12932588325119743</v>
      </c>
      <c r="CO522">
        <v>0.1359924082921504</v>
      </c>
      <c r="CP522">
        <v>0.27040618384958715</v>
      </c>
      <c r="CQ522">
        <v>6.8463694073402304E-2</v>
      </c>
      <c r="CR522">
        <v>0.45765379828160435</v>
      </c>
      <c r="CS522">
        <v>4.9808797095077323E-2</v>
      </c>
      <c r="CT522">
        <v>8.6709180472729408E-2</v>
      </c>
      <c r="CU522">
        <v>0.46801866853746771</v>
      </c>
    </row>
    <row r="523" spans="1:99" x14ac:dyDescent="0.25">
      <c r="A523" t="s">
        <v>150</v>
      </c>
      <c r="B523" t="s">
        <v>173</v>
      </c>
      <c r="C523" t="s">
        <v>168</v>
      </c>
      <c r="D523">
        <v>-1</v>
      </c>
      <c r="E523">
        <v>42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10752</v>
      </c>
      <c r="N523">
        <v>3829.33470908855</v>
      </c>
      <c r="O523">
        <v>-1</v>
      </c>
      <c r="P523">
        <v>-1</v>
      </c>
      <c r="Q523">
        <v>-1</v>
      </c>
      <c r="R523">
        <v>0.68600000000000005</v>
      </c>
      <c r="S523">
        <v>0.39600000000000002</v>
      </c>
      <c r="T523">
        <v>0.45300000000000001</v>
      </c>
      <c r="U523">
        <v>0.64400000000000002</v>
      </c>
      <c r="V523">
        <v>0.44600000000000001</v>
      </c>
      <c r="W523">
        <v>0.55600000000000005</v>
      </c>
      <c r="X523">
        <v>0.54500000000000004</v>
      </c>
      <c r="Y523">
        <v>0.55800000000000005</v>
      </c>
      <c r="Z523">
        <v>0.48499999999999999</v>
      </c>
      <c r="AA523">
        <v>0.66500000000000004</v>
      </c>
      <c r="AB523">
        <v>0.35799999999999998</v>
      </c>
      <c r="AC523">
        <v>0.53600000000000003</v>
      </c>
      <c r="AD523">
        <v>0.47699999999999998</v>
      </c>
      <c r="AE523">
        <v>0.48399999999999999</v>
      </c>
      <c r="AF523">
        <v>0.47499999999999998</v>
      </c>
      <c r="AG523">
        <v>0.52500000000000002</v>
      </c>
      <c r="AH523">
        <v>0.629</v>
      </c>
      <c r="AI523">
        <v>0.46300000000000002</v>
      </c>
      <c r="AJ523">
        <v>0.70699999999999996</v>
      </c>
      <c r="AK523">
        <v>0.83899999999999997</v>
      </c>
      <c r="AL523" t="s">
        <v>169</v>
      </c>
      <c r="AM523" t="s">
        <v>169</v>
      </c>
      <c r="AN523" t="s">
        <v>169</v>
      </c>
      <c r="AO523" t="s">
        <v>169</v>
      </c>
      <c r="AP523" t="s">
        <v>169</v>
      </c>
      <c r="AQ523" t="s">
        <v>169</v>
      </c>
      <c r="AR523" t="s">
        <v>169</v>
      </c>
      <c r="AS523" t="s">
        <v>169</v>
      </c>
      <c r="AT523" t="s">
        <v>169</v>
      </c>
      <c r="AU523" t="s">
        <v>169</v>
      </c>
      <c r="AV523" t="s">
        <v>169</v>
      </c>
      <c r="AW523" t="s">
        <v>169</v>
      </c>
      <c r="AX523" t="s">
        <v>169</v>
      </c>
      <c r="AY523" t="s">
        <v>169</v>
      </c>
      <c r="AZ523" t="s">
        <v>169</v>
      </c>
      <c r="BA523" t="s">
        <v>169</v>
      </c>
      <c r="BB523" t="s">
        <v>169</v>
      </c>
      <c r="BC523" t="s">
        <v>169</v>
      </c>
      <c r="BD523" t="s">
        <v>169</v>
      </c>
      <c r="BE523" t="s">
        <v>169</v>
      </c>
      <c r="BZ523">
        <v>0.61623222935721145</v>
      </c>
      <c r="CA523">
        <v>2359.7594647365859</v>
      </c>
      <c r="CB523">
        <v>1.1779736593702099</v>
      </c>
      <c r="CC523">
        <v>0.132977672754543</v>
      </c>
      <c r="CD523">
        <v>0.22679772923014199</v>
      </c>
      <c r="CE523">
        <v>0.916654623638538</v>
      </c>
      <c r="CF523">
        <v>0.213200504996995</v>
      </c>
      <c r="CG523">
        <v>0.51153548102200497</v>
      </c>
      <c r="CH523">
        <v>0.47252300153019799</v>
      </c>
      <c r="CI523">
        <v>0.51887961577876396</v>
      </c>
      <c r="CJ523">
        <v>0.29738806986544702</v>
      </c>
      <c r="CK523">
        <v>1.0411918783659599</v>
      </c>
      <c r="CL523">
        <v>8.9093179028574901E-2</v>
      </c>
      <c r="CM523">
        <v>0.44229604408642698</v>
      </c>
      <c r="CN523">
        <v>0.27838562429336899</v>
      </c>
      <c r="CO523">
        <v>0.29496122324949597</v>
      </c>
      <c r="CP523">
        <v>0.27378047344082901</v>
      </c>
      <c r="CQ523">
        <v>0.40734395381202099</v>
      </c>
      <c r="CR523">
        <v>0.83477974409152</v>
      </c>
      <c r="CS523">
        <v>0.247334884525341</v>
      </c>
      <c r="CT523">
        <v>1.32777324343637</v>
      </c>
      <c r="CU523">
        <v>2.61977398062748</v>
      </c>
    </row>
    <row r="524" spans="1:99" x14ac:dyDescent="0.25">
      <c r="A524" t="s">
        <v>150</v>
      </c>
      <c r="B524" t="s">
        <v>170</v>
      </c>
      <c r="C524" t="s">
        <v>158</v>
      </c>
      <c r="D524">
        <v>-1</v>
      </c>
      <c r="E524">
        <v>14</v>
      </c>
      <c r="F524">
        <v>-1</v>
      </c>
      <c r="G524">
        <v>-1</v>
      </c>
      <c r="H524">
        <v>-1</v>
      </c>
      <c r="I524">
        <v>47</v>
      </c>
      <c r="J524">
        <v>-1</v>
      </c>
      <c r="K524">
        <v>-1</v>
      </c>
      <c r="L524">
        <v>-1</v>
      </c>
      <c r="M524">
        <v>5205.3333333333303</v>
      </c>
      <c r="N524">
        <v>1853.8842639238201</v>
      </c>
      <c r="O524">
        <v>-1</v>
      </c>
      <c r="P524">
        <v>-1</v>
      </c>
      <c r="Q524">
        <v>-1</v>
      </c>
      <c r="R524">
        <v>0.626</v>
      </c>
      <c r="S524">
        <v>0.92800000000000005</v>
      </c>
      <c r="T524">
        <v>0.63200000000000001</v>
      </c>
      <c r="U524">
        <v>1.0369999999999999</v>
      </c>
      <c r="V524">
        <v>0.80300000000000005</v>
      </c>
      <c r="W524">
        <v>0.81499999999999995</v>
      </c>
      <c r="X524">
        <v>0.67500000000000004</v>
      </c>
      <c r="Y524">
        <v>0.874</v>
      </c>
      <c r="Z524">
        <v>0.57699999999999996</v>
      </c>
      <c r="AA524">
        <v>0.97399999999999998</v>
      </c>
      <c r="AB524">
        <v>0.94499999999999995</v>
      </c>
      <c r="AC524">
        <v>0.66200000000000003</v>
      </c>
      <c r="AD524">
        <v>0.70399999999999996</v>
      </c>
      <c r="AE524">
        <v>1.216</v>
      </c>
      <c r="AF524">
        <v>0.51</v>
      </c>
      <c r="AG524">
        <v>0.90200000000000002</v>
      </c>
      <c r="AH524">
        <v>1.099</v>
      </c>
      <c r="AI524">
        <v>1.702</v>
      </c>
      <c r="AJ524">
        <v>1.077</v>
      </c>
      <c r="AK524">
        <v>0.51400000000000001</v>
      </c>
      <c r="AL524" t="s">
        <v>159</v>
      </c>
      <c r="AM524" t="s">
        <v>159</v>
      </c>
      <c r="AN524" t="s">
        <v>159</v>
      </c>
      <c r="AO524" t="s">
        <v>159</v>
      </c>
      <c r="AP524" t="s">
        <v>159</v>
      </c>
      <c r="AQ524" t="s">
        <v>159</v>
      </c>
      <c r="AR524" t="s">
        <v>159</v>
      </c>
      <c r="AS524" t="s">
        <v>159</v>
      </c>
      <c r="AT524" t="s">
        <v>159</v>
      </c>
      <c r="AU524" t="s">
        <v>159</v>
      </c>
      <c r="AV524" t="s">
        <v>159</v>
      </c>
      <c r="AW524" t="s">
        <v>159</v>
      </c>
      <c r="AX524" t="s">
        <v>159</v>
      </c>
      <c r="AY524" t="s">
        <v>159</v>
      </c>
      <c r="AZ524" t="s">
        <v>159</v>
      </c>
      <c r="BA524" t="s">
        <v>159</v>
      </c>
      <c r="BB524" t="s">
        <v>159</v>
      </c>
      <c r="BC524" t="s">
        <v>159</v>
      </c>
      <c r="BD524" t="s">
        <v>159</v>
      </c>
      <c r="BE524" t="s">
        <v>159</v>
      </c>
      <c r="BZ524">
        <v>4.2437957651678788</v>
      </c>
      <c r="CA524">
        <v>7867.5061883512781</v>
      </c>
      <c r="CB524">
        <v>1.3135456205801199</v>
      </c>
      <c r="CC524">
        <v>4.0180034651680803</v>
      </c>
      <c r="CD524">
        <v>1.3496170520583499</v>
      </c>
      <c r="CE524">
        <v>5.5078958898485002</v>
      </c>
      <c r="CF524">
        <v>2.66419619116731</v>
      </c>
      <c r="CG524">
        <v>2.7788279811512999</v>
      </c>
      <c r="CH524">
        <v>1.62703452779863</v>
      </c>
      <c r="CI524">
        <v>3.38896062658115</v>
      </c>
      <c r="CJ524">
        <v>1.04210952125005</v>
      </c>
      <c r="CK524">
        <v>4.6097937210695603</v>
      </c>
      <c r="CL524">
        <v>4.2305846632653399</v>
      </c>
      <c r="CM524">
        <v>1.53961007536686</v>
      </c>
      <c r="CN524">
        <v>1.8334978559986299</v>
      </c>
      <c r="CO524">
        <v>8.6573586066087902</v>
      </c>
      <c r="CP524">
        <v>0.73396162682141997</v>
      </c>
      <c r="CQ524">
        <v>3.7064711248241702</v>
      </c>
      <c r="CR524">
        <v>6.4954239299779699</v>
      </c>
      <c r="CS524">
        <v>22.495683483531501</v>
      </c>
      <c r="CT524">
        <v>6.1329108524088296</v>
      </c>
      <c r="CU524">
        <v>0.75042848788102801</v>
      </c>
    </row>
    <row r="525" spans="1:99" x14ac:dyDescent="0.25">
      <c r="A525" t="s">
        <v>150</v>
      </c>
      <c r="B525" t="s">
        <v>167</v>
      </c>
      <c r="C525" t="s">
        <v>168</v>
      </c>
      <c r="D525">
        <v>-1</v>
      </c>
      <c r="E525">
        <v>52</v>
      </c>
      <c r="F525">
        <v>-1</v>
      </c>
      <c r="G525">
        <v>-1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13312</v>
      </c>
      <c r="N525">
        <v>4741.0810683953496</v>
      </c>
      <c r="O525">
        <v>-1</v>
      </c>
      <c r="P525">
        <v>-1</v>
      </c>
      <c r="Q525">
        <v>-1</v>
      </c>
      <c r="R525">
        <v>0.437</v>
      </c>
      <c r="S525">
        <v>0.56999999999999995</v>
      </c>
      <c r="T525">
        <v>0.753</v>
      </c>
      <c r="U525">
        <v>0.48899999999999999</v>
      </c>
      <c r="V525">
        <v>0.61699999999999999</v>
      </c>
      <c r="W525">
        <v>0.441</v>
      </c>
      <c r="X525">
        <v>0.748</v>
      </c>
      <c r="Y525">
        <v>0.34499999999999997</v>
      </c>
      <c r="Z525">
        <v>0.35</v>
      </c>
      <c r="AA525">
        <v>0.42399999999999999</v>
      </c>
      <c r="AB525">
        <v>0.38600000000000001</v>
      </c>
      <c r="AC525">
        <v>0.46500000000000002</v>
      </c>
      <c r="AD525">
        <v>0.53100000000000003</v>
      </c>
      <c r="AE525">
        <v>0.94</v>
      </c>
      <c r="AF525">
        <v>0.47599999999999998</v>
      </c>
      <c r="AG525">
        <v>0.53900000000000003</v>
      </c>
      <c r="AH525">
        <v>0.58099999999999996</v>
      </c>
      <c r="AI525">
        <v>0.435</v>
      </c>
      <c r="AJ525">
        <v>0.80800000000000005</v>
      </c>
      <c r="AK525">
        <v>0.54600000000000004</v>
      </c>
      <c r="AL525" t="s">
        <v>169</v>
      </c>
      <c r="AM525" t="s">
        <v>169</v>
      </c>
      <c r="AN525" t="s">
        <v>169</v>
      </c>
      <c r="AO525" t="s">
        <v>169</v>
      </c>
      <c r="AP525" t="s">
        <v>169</v>
      </c>
      <c r="AQ525" t="s">
        <v>169</v>
      </c>
      <c r="AR525" t="s">
        <v>169</v>
      </c>
      <c r="AS525" t="s">
        <v>169</v>
      </c>
      <c r="AT525" t="s">
        <v>169</v>
      </c>
      <c r="AU525" t="s">
        <v>169</v>
      </c>
      <c r="AV525" t="s">
        <v>169</v>
      </c>
      <c r="AW525" t="s">
        <v>169</v>
      </c>
      <c r="AX525" t="s">
        <v>169</v>
      </c>
      <c r="AY525" t="s">
        <v>169</v>
      </c>
      <c r="AZ525" t="s">
        <v>169</v>
      </c>
      <c r="BA525" t="s">
        <v>169</v>
      </c>
      <c r="BB525" t="s">
        <v>169</v>
      </c>
      <c r="BC525" t="s">
        <v>169</v>
      </c>
      <c r="BD525" t="s">
        <v>169</v>
      </c>
      <c r="BE525" t="s">
        <v>169</v>
      </c>
      <c r="BZ525">
        <v>1.1925955386713953</v>
      </c>
      <c r="CA525">
        <v>5654.1921306477061</v>
      </c>
      <c r="CB525">
        <v>0.57461260408737302</v>
      </c>
      <c r="CC525">
        <v>1.1435208890789099</v>
      </c>
      <c r="CD525">
        <v>2.3519452870049702</v>
      </c>
      <c r="CE525">
        <v>0.76884389704409295</v>
      </c>
      <c r="CF525">
        <v>1.40399900842198</v>
      </c>
      <c r="CG525">
        <v>0.58833430592352998</v>
      </c>
      <c r="CH525">
        <v>2.31171006928958</v>
      </c>
      <c r="CI525">
        <v>0.31151551567251101</v>
      </c>
      <c r="CJ525">
        <v>0.32334374279762701</v>
      </c>
      <c r="CK525">
        <v>0.53138072229671396</v>
      </c>
      <c r="CL525">
        <v>0.41666722987707999</v>
      </c>
      <c r="CM525">
        <v>0.67488748419023703</v>
      </c>
      <c r="CN525">
        <v>0.95175032946965499</v>
      </c>
      <c r="CO525">
        <v>4.1776241691879799</v>
      </c>
      <c r="CP525">
        <v>0.71701828966870895</v>
      </c>
      <c r="CQ525">
        <v>0.989334440846659</v>
      </c>
      <c r="CR525">
        <v>1.2015570864093501</v>
      </c>
      <c r="CS525">
        <v>0.56782616647308803</v>
      </c>
      <c r="CT525">
        <v>2.8230830249015</v>
      </c>
      <c r="CU525">
        <v>1.0229565107863601</v>
      </c>
    </row>
    <row r="526" spans="1:99" x14ac:dyDescent="0.25">
      <c r="A526" t="s">
        <v>150</v>
      </c>
      <c r="B526" t="s">
        <v>174</v>
      </c>
      <c r="C526" t="s">
        <v>158</v>
      </c>
      <c r="D526">
        <v>-1</v>
      </c>
      <c r="E526">
        <v>1</v>
      </c>
      <c r="F526">
        <v>-1</v>
      </c>
      <c r="G526">
        <v>-1</v>
      </c>
      <c r="H526">
        <v>-1</v>
      </c>
      <c r="I526">
        <v>0</v>
      </c>
      <c r="J526">
        <v>-1</v>
      </c>
      <c r="K526">
        <v>-1</v>
      </c>
      <c r="L526">
        <v>-1</v>
      </c>
      <c r="M526">
        <v>85.3333333333333</v>
      </c>
      <c r="N526">
        <v>30.391545310226601</v>
      </c>
      <c r="O526">
        <v>-1</v>
      </c>
      <c r="P526">
        <v>-1</v>
      </c>
      <c r="Q526">
        <v>-1</v>
      </c>
      <c r="R526">
        <v>0.76600000000000001</v>
      </c>
      <c r="AL526" t="s">
        <v>159</v>
      </c>
      <c r="BZ526">
        <v>1.6138421231075599</v>
      </c>
      <c r="CA526">
        <v>49.047156007975701</v>
      </c>
      <c r="CB526">
        <v>1.6138421231075599</v>
      </c>
    </row>
    <row r="527" spans="1:99" x14ac:dyDescent="0.25">
      <c r="A527" t="s">
        <v>150</v>
      </c>
      <c r="B527" t="s">
        <v>166</v>
      </c>
      <c r="C527" t="s">
        <v>154</v>
      </c>
      <c r="D527">
        <v>-1</v>
      </c>
      <c r="E527">
        <v>4</v>
      </c>
      <c r="F527">
        <v>6</v>
      </c>
      <c r="G527">
        <v>-1</v>
      </c>
      <c r="H527">
        <v>-1</v>
      </c>
      <c r="I527">
        <v>12</v>
      </c>
      <c r="J527">
        <v>8</v>
      </c>
      <c r="K527">
        <v>-1</v>
      </c>
      <c r="L527">
        <v>-1</v>
      </c>
      <c r="M527">
        <v>2560</v>
      </c>
      <c r="N527">
        <v>911.74635930679801</v>
      </c>
      <c r="O527">
        <v>-1</v>
      </c>
      <c r="P527">
        <v>-1</v>
      </c>
      <c r="Q527">
        <v>-1</v>
      </c>
      <c r="R527">
        <v>0.93799999999999994</v>
      </c>
      <c r="S527">
        <v>0.75800000000000001</v>
      </c>
      <c r="T527">
        <v>0.79500000000000004</v>
      </c>
      <c r="U527">
        <v>0.95899999999999996</v>
      </c>
      <c r="V527">
        <v>0.77400000000000002</v>
      </c>
      <c r="W527">
        <v>0.81299999999999994</v>
      </c>
      <c r="X527">
        <v>0.70699999999999996</v>
      </c>
      <c r="Y527">
        <v>0.73899999999999999</v>
      </c>
      <c r="Z527">
        <v>0.83399999999999996</v>
      </c>
      <c r="AA527">
        <v>0.97199999999999998</v>
      </c>
      <c r="AB527">
        <v>1.0089999999999999</v>
      </c>
      <c r="AC527">
        <v>1.0009999999999999</v>
      </c>
      <c r="AD527">
        <v>0.94599999999999995</v>
      </c>
      <c r="AE527">
        <v>1.0760000000000001</v>
      </c>
      <c r="AF527">
        <v>0.69599999999999995</v>
      </c>
      <c r="AG527">
        <v>0.92200000000000004</v>
      </c>
      <c r="AH527">
        <v>0.99399999999999999</v>
      </c>
      <c r="AI527">
        <v>0.70599999999999996</v>
      </c>
      <c r="AJ527">
        <v>0.754</v>
      </c>
      <c r="AK527">
        <v>0.70399999999999996</v>
      </c>
      <c r="AL527" t="s">
        <v>155</v>
      </c>
      <c r="AM527" t="s">
        <v>156</v>
      </c>
      <c r="AN527" t="s">
        <v>156</v>
      </c>
      <c r="AO527" t="s">
        <v>155</v>
      </c>
      <c r="AP527" t="s">
        <v>156</v>
      </c>
      <c r="AQ527" t="s">
        <v>156</v>
      </c>
      <c r="AR527" t="s">
        <v>156</v>
      </c>
      <c r="AS527" t="s">
        <v>156</v>
      </c>
      <c r="AT527" t="s">
        <v>155</v>
      </c>
      <c r="AU527" t="s">
        <v>155</v>
      </c>
      <c r="AV527" t="s">
        <v>155</v>
      </c>
      <c r="AW527" t="s">
        <v>155</v>
      </c>
      <c r="AX527" t="s">
        <v>155</v>
      </c>
      <c r="AY527" t="s">
        <v>155</v>
      </c>
      <c r="AZ527" t="s">
        <v>156</v>
      </c>
      <c r="BA527" t="s">
        <v>155</v>
      </c>
      <c r="BB527" t="s">
        <v>155</v>
      </c>
      <c r="BC527" t="s">
        <v>156</v>
      </c>
      <c r="BD527" t="s">
        <v>156</v>
      </c>
      <c r="BE527" t="s">
        <v>156</v>
      </c>
      <c r="BZ527">
        <v>3.1648568335641878</v>
      </c>
      <c r="CA527">
        <v>2885.5466957293888</v>
      </c>
      <c r="CB527">
        <v>4.0791916345354098</v>
      </c>
      <c r="CC527">
        <v>1.7507155383794599</v>
      </c>
      <c r="CD527">
        <v>2.1153699989897001</v>
      </c>
      <c r="CE527">
        <v>4.4539845931640203</v>
      </c>
      <c r="CF527">
        <v>1.90208733512896</v>
      </c>
      <c r="CG527">
        <v>2.31200253519168</v>
      </c>
      <c r="CH527">
        <v>1.32777324343637</v>
      </c>
      <c r="CI527">
        <v>1.5828773344521101</v>
      </c>
      <c r="CJ527">
        <v>2.55833882096419</v>
      </c>
      <c r="CK527">
        <v>4.6985506374539199</v>
      </c>
      <c r="CL527">
        <v>5.4497523825296099</v>
      </c>
      <c r="CM527">
        <v>5.2802213348690099</v>
      </c>
      <c r="CN527">
        <v>4.2190692277538302</v>
      </c>
      <c r="CO527">
        <v>7.0343432609239303</v>
      </c>
      <c r="CP527">
        <v>1.24763491858824</v>
      </c>
      <c r="CQ527">
        <v>3.80987385612003</v>
      </c>
      <c r="CR527">
        <v>5.1351458847879599</v>
      </c>
      <c r="CS527">
        <v>1.3203330762874499</v>
      </c>
      <c r="CT527">
        <v>1.7143247022144501</v>
      </c>
      <c r="CU527">
        <v>1.3055463555134299</v>
      </c>
    </row>
    <row r="528" spans="1:99" x14ac:dyDescent="0.25">
      <c r="A528" t="s">
        <v>150</v>
      </c>
      <c r="B528" t="s">
        <v>198</v>
      </c>
      <c r="C528" t="s">
        <v>199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103904</v>
      </c>
      <c r="N528">
        <v>37005.505358364702</v>
      </c>
      <c r="O528">
        <v>88</v>
      </c>
      <c r="P528">
        <v>103</v>
      </c>
      <c r="Q528">
        <v>191</v>
      </c>
      <c r="R528">
        <v>9.8000000000000004E-2</v>
      </c>
      <c r="S528">
        <v>9.5000000000000001E-2</v>
      </c>
      <c r="T528">
        <v>0.114</v>
      </c>
      <c r="U528">
        <v>0.104</v>
      </c>
      <c r="V528">
        <v>9.5000000000000001E-2</v>
      </c>
      <c r="W528">
        <v>0.11899999999999999</v>
      </c>
      <c r="X528">
        <v>0.09</v>
      </c>
      <c r="Y528">
        <v>9.9000000000000005E-2</v>
      </c>
      <c r="Z528">
        <v>9.2999999999999999E-2</v>
      </c>
      <c r="AA528">
        <v>0.10100000000000001</v>
      </c>
      <c r="AB528">
        <v>0.10100000000000001</v>
      </c>
      <c r="AC528">
        <v>9.6000000000000002E-2</v>
      </c>
      <c r="AD528">
        <v>9.9000000000000005E-2</v>
      </c>
      <c r="AE528">
        <v>9.4E-2</v>
      </c>
      <c r="AF528">
        <v>0.112</v>
      </c>
      <c r="AG528">
        <v>8.6999999999999994E-2</v>
      </c>
      <c r="AH528">
        <v>9.9000000000000005E-2</v>
      </c>
      <c r="AI528">
        <v>9.7000000000000003E-2</v>
      </c>
      <c r="AJ528">
        <v>8.5999999999999993E-2</v>
      </c>
      <c r="AK528">
        <v>9.0999999999999998E-2</v>
      </c>
      <c r="BZ528">
        <v>0.14169849299560594</v>
      </c>
      <c r="CA528">
        <v>5243.6243418210988</v>
      </c>
      <c r="CB528">
        <v>0.13891688780903549</v>
      </c>
      <c r="CC528">
        <v>0.1318118892652273</v>
      </c>
      <c r="CD528">
        <v>0.18380507569726992</v>
      </c>
      <c r="CE528">
        <v>0.15429646124708882</v>
      </c>
      <c r="CF528">
        <v>0.1318118892652273</v>
      </c>
      <c r="CG528">
        <v>0.20061262803513641</v>
      </c>
      <c r="CH528">
        <v>0.12076854045275696</v>
      </c>
      <c r="CI528">
        <v>0.1413693296235311</v>
      </c>
      <c r="CJ528">
        <v>0.12727827420164603</v>
      </c>
      <c r="CK528">
        <v>0.14640486397791924</v>
      </c>
      <c r="CL528">
        <v>0.14640486397791924</v>
      </c>
      <c r="CM528">
        <v>0.13413889927804937</v>
      </c>
      <c r="CN528">
        <v>0.1413693296235311</v>
      </c>
      <c r="CO528">
        <v>0.12952524767371265</v>
      </c>
      <c r="CP528">
        <v>0.17748317662891583</v>
      </c>
      <c r="CQ528">
        <v>0.11459175145620078</v>
      </c>
      <c r="CR528">
        <v>0.1413693296235311</v>
      </c>
      <c r="CS528">
        <v>0.13650699037718286</v>
      </c>
      <c r="CT528">
        <v>0.11260384075721208</v>
      </c>
      <c r="CU528">
        <v>0.12290059094102512</v>
      </c>
    </row>
    <row r="529" spans="1:99" x14ac:dyDescent="0.25">
      <c r="A529" t="s">
        <v>150</v>
      </c>
      <c r="B529" t="s">
        <v>175</v>
      </c>
      <c r="C529" t="s">
        <v>168</v>
      </c>
      <c r="D529">
        <v>-1</v>
      </c>
      <c r="E529">
        <v>0</v>
      </c>
      <c r="F529">
        <v>-1</v>
      </c>
      <c r="G529">
        <v>-1</v>
      </c>
      <c r="H529">
        <v>-1</v>
      </c>
      <c r="I529">
        <v>5</v>
      </c>
      <c r="J529">
        <v>-1</v>
      </c>
      <c r="K529">
        <v>-1</v>
      </c>
      <c r="L529">
        <v>-1</v>
      </c>
      <c r="M529">
        <v>426.66666666666703</v>
      </c>
      <c r="N529">
        <v>151.95772655113299</v>
      </c>
      <c r="O529">
        <v>-1</v>
      </c>
      <c r="P529">
        <v>-1</v>
      </c>
      <c r="Q529">
        <v>-1</v>
      </c>
      <c r="R529">
        <v>0.83899999999999997</v>
      </c>
      <c r="S529">
        <v>0.67</v>
      </c>
      <c r="T529">
        <v>1.2330000000000001</v>
      </c>
      <c r="U529">
        <v>0.95299999999999996</v>
      </c>
      <c r="V529">
        <v>0.622</v>
      </c>
      <c r="AL529" t="s">
        <v>169</v>
      </c>
      <c r="AM529" t="s">
        <v>169</v>
      </c>
      <c r="AN529" t="s">
        <v>169</v>
      </c>
      <c r="AO529" t="s">
        <v>169</v>
      </c>
      <c r="AP529" t="s">
        <v>169</v>
      </c>
      <c r="BZ529">
        <v>3.8097154954878123</v>
      </c>
      <c r="CA529">
        <v>578.91570550095116</v>
      </c>
      <c r="CB529">
        <v>3.1122301436175701</v>
      </c>
      <c r="CC529">
        <v>1.7380487961998801</v>
      </c>
      <c r="CD529">
        <v>8.4357285171462699</v>
      </c>
      <c r="CE529">
        <v>4.3289128123972498</v>
      </c>
      <c r="CF529">
        <v>1.4336572080780901</v>
      </c>
    </row>
    <row r="530" spans="1:99" x14ac:dyDescent="0.25">
      <c r="A530" t="s">
        <v>150</v>
      </c>
      <c r="B530" t="s">
        <v>160</v>
      </c>
      <c r="C530" t="s">
        <v>154</v>
      </c>
      <c r="D530">
        <v>-1</v>
      </c>
      <c r="E530">
        <v>0</v>
      </c>
      <c r="F530">
        <v>0</v>
      </c>
      <c r="G530">
        <v>-1</v>
      </c>
      <c r="H530">
        <v>-1</v>
      </c>
      <c r="I530">
        <v>0</v>
      </c>
      <c r="J530">
        <v>2</v>
      </c>
      <c r="K530">
        <v>1</v>
      </c>
      <c r="L530">
        <v>2</v>
      </c>
      <c r="M530">
        <v>182.857142857143</v>
      </c>
      <c r="N530">
        <v>65.124739950485605</v>
      </c>
      <c r="O530">
        <v>-1</v>
      </c>
      <c r="P530">
        <v>-1</v>
      </c>
      <c r="Q530">
        <v>-1</v>
      </c>
      <c r="R530">
        <v>1.6240000000000001</v>
      </c>
      <c r="S530">
        <v>1.274</v>
      </c>
      <c r="T530">
        <v>1.506</v>
      </c>
      <c r="U530">
        <v>1.546</v>
      </c>
      <c r="AL530" t="s">
        <v>156</v>
      </c>
      <c r="AM530" t="s">
        <v>156</v>
      </c>
      <c r="AN530" t="s">
        <v>155</v>
      </c>
      <c r="AO530" t="s">
        <v>156</v>
      </c>
      <c r="BZ530">
        <v>13.928754444071066</v>
      </c>
      <c r="CA530">
        <v>907.1065110042988</v>
      </c>
      <c r="CB530">
        <v>17.216546136781702</v>
      </c>
      <c r="CC530">
        <v>9.1815720111663595</v>
      </c>
      <c r="CD530">
        <v>14.161031973412101</v>
      </c>
      <c r="CE530">
        <v>15.1558676549241</v>
      </c>
    </row>
    <row r="531" spans="1:99" x14ac:dyDescent="0.25">
      <c r="A531" t="s">
        <v>150</v>
      </c>
      <c r="B531" t="s">
        <v>200</v>
      </c>
      <c r="C531" t="s">
        <v>192</v>
      </c>
      <c r="D531">
        <v>-1</v>
      </c>
      <c r="E531">
        <v>-1</v>
      </c>
      <c r="F531">
        <v>-1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5984</v>
      </c>
      <c r="N531">
        <v>2131.2071148796399</v>
      </c>
      <c r="O531">
        <v>3</v>
      </c>
      <c r="P531">
        <v>8</v>
      </c>
      <c r="Q531">
        <v>11</v>
      </c>
      <c r="R531">
        <v>8.6999999999999994E-2</v>
      </c>
      <c r="S531">
        <v>8.3000000000000004E-2</v>
      </c>
      <c r="T531">
        <v>0.108</v>
      </c>
      <c r="U531">
        <v>9.1999999999999998E-2</v>
      </c>
      <c r="V531">
        <v>7.6999999999999999E-2</v>
      </c>
      <c r="W531">
        <v>8.6999999999999994E-2</v>
      </c>
      <c r="X531">
        <v>9.8000000000000004E-2</v>
      </c>
      <c r="Y531">
        <v>7.9000000000000001E-2</v>
      </c>
      <c r="Z531">
        <v>8.5999999999999993E-2</v>
      </c>
      <c r="AA531">
        <v>0.10100000000000001</v>
      </c>
      <c r="AB531">
        <v>9.5000000000000001E-2</v>
      </c>
      <c r="BZ531">
        <v>1.5166707272727275E-2</v>
      </c>
      <c r="CA531">
        <v>32.323394448933144</v>
      </c>
      <c r="CB531">
        <v>1.3170060000000001E-2</v>
      </c>
      <c r="CC531">
        <v>1.143574E-2</v>
      </c>
      <c r="CD531">
        <v>2.519424E-2</v>
      </c>
      <c r="CE531">
        <v>1.5573760000000001E-2</v>
      </c>
      <c r="CF531">
        <v>9.1306600000000005E-3</v>
      </c>
      <c r="CG531">
        <v>1.3170060000000001E-2</v>
      </c>
      <c r="CH531">
        <v>1.8823840000000001E-2</v>
      </c>
      <c r="CI531">
        <v>9.8607799999999995E-3</v>
      </c>
      <c r="CJ531">
        <v>1.2721120000000001E-2</v>
      </c>
      <c r="CK531">
        <v>2.0606019999999999E-2</v>
      </c>
      <c r="CL531">
        <v>1.71475E-2</v>
      </c>
    </row>
    <row r="532" spans="1:99" x14ac:dyDescent="0.25">
      <c r="A532" t="s">
        <v>150</v>
      </c>
      <c r="B532" t="s">
        <v>163</v>
      </c>
      <c r="C532" t="s">
        <v>158</v>
      </c>
      <c r="D532">
        <v>-1</v>
      </c>
      <c r="E532">
        <v>1</v>
      </c>
      <c r="F532">
        <v>-1</v>
      </c>
      <c r="G532">
        <v>-1</v>
      </c>
      <c r="H532">
        <v>-1</v>
      </c>
      <c r="I532">
        <v>1</v>
      </c>
      <c r="J532">
        <v>-1</v>
      </c>
      <c r="K532">
        <v>-1</v>
      </c>
      <c r="L532">
        <v>-1</v>
      </c>
      <c r="M532">
        <v>170.666666666667</v>
      </c>
      <c r="N532">
        <v>60.783090620453201</v>
      </c>
      <c r="O532">
        <v>-1</v>
      </c>
      <c r="P532">
        <v>-1</v>
      </c>
      <c r="Q532">
        <v>-1</v>
      </c>
      <c r="R532">
        <v>0.5</v>
      </c>
      <c r="S532">
        <v>0.69</v>
      </c>
      <c r="AL532" t="s">
        <v>159</v>
      </c>
      <c r="AM532" t="s">
        <v>159</v>
      </c>
      <c r="BZ532">
        <v>1.6522097591244644</v>
      </c>
      <c r="CA532">
        <v>100.42641551285948</v>
      </c>
      <c r="CB532">
        <v>0.87097717673993902</v>
      </c>
      <c r="CC532">
        <v>2.4334423415089899</v>
      </c>
    </row>
    <row r="533" spans="1:99" x14ac:dyDescent="0.25">
      <c r="A533" t="s">
        <v>150</v>
      </c>
      <c r="B533" t="s">
        <v>201</v>
      </c>
      <c r="C533" t="s">
        <v>192</v>
      </c>
      <c r="D533">
        <v>-1</v>
      </c>
      <c r="E533">
        <v>-1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7072</v>
      </c>
      <c r="N533">
        <v>2518.6993175850298</v>
      </c>
      <c r="O533">
        <v>3</v>
      </c>
      <c r="P533">
        <v>10</v>
      </c>
      <c r="Q533">
        <v>13</v>
      </c>
      <c r="R533">
        <v>0.13800000000000001</v>
      </c>
      <c r="S533">
        <v>0.14299999999999999</v>
      </c>
      <c r="T533">
        <v>0.115</v>
      </c>
      <c r="U533">
        <v>0.14000000000000001</v>
      </c>
      <c r="V533">
        <v>0.13200000000000001</v>
      </c>
      <c r="W533">
        <v>0.152</v>
      </c>
      <c r="X533">
        <v>0.14399999999999999</v>
      </c>
      <c r="Y533">
        <v>0.121</v>
      </c>
      <c r="Z533">
        <v>0.13600000000000001</v>
      </c>
      <c r="AA533">
        <v>0.191</v>
      </c>
      <c r="AB533">
        <v>0.14799999999999999</v>
      </c>
      <c r="AC533">
        <v>0.159</v>
      </c>
      <c r="AD533">
        <v>0.12</v>
      </c>
      <c r="BZ533">
        <v>9.1020374065384612E-3</v>
      </c>
      <c r="CA533">
        <v>22.925295404481837</v>
      </c>
      <c r="CB533">
        <v>8.0024792400000006E-3</v>
      </c>
      <c r="CC533">
        <v>8.9042103149999993E-3</v>
      </c>
      <c r="CD533">
        <v>4.6310643749999996E-3</v>
      </c>
      <c r="CE533">
        <v>8.3554800000000002E-3</v>
      </c>
      <c r="CF533">
        <v>7.0034025600000001E-3</v>
      </c>
      <c r="CG533">
        <v>1.069345536E-2</v>
      </c>
      <c r="CH533">
        <v>9.0923212799999993E-3</v>
      </c>
      <c r="CI533">
        <v>5.3944032450000002E-3</v>
      </c>
      <c r="CJ533">
        <v>7.65956352E-3</v>
      </c>
      <c r="CK533">
        <v>2.1217167195000001E-2</v>
      </c>
      <c r="CL533">
        <v>9.8712566399999993E-3</v>
      </c>
      <c r="CM533">
        <v>1.2239922554999999E-2</v>
      </c>
      <c r="CN533">
        <v>5.2617599999999999E-3</v>
      </c>
    </row>
    <row r="534" spans="1:99" x14ac:dyDescent="0.25">
      <c r="A534" t="s">
        <v>150</v>
      </c>
      <c r="B534" t="s">
        <v>202</v>
      </c>
      <c r="C534" t="s">
        <v>192</v>
      </c>
      <c r="D534">
        <v>-1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42432</v>
      </c>
      <c r="N534">
        <v>15112.1959055102</v>
      </c>
      <c r="O534">
        <v>53</v>
      </c>
      <c r="P534">
        <v>25</v>
      </c>
      <c r="Q534">
        <v>78</v>
      </c>
      <c r="R534">
        <v>8.4000000000000005E-2</v>
      </c>
      <c r="S534">
        <v>9.4E-2</v>
      </c>
      <c r="T534">
        <v>8.3000000000000004E-2</v>
      </c>
      <c r="U534">
        <v>8.4000000000000005E-2</v>
      </c>
      <c r="V534">
        <v>9.6000000000000002E-2</v>
      </c>
      <c r="W534">
        <v>9.7000000000000003E-2</v>
      </c>
      <c r="X534">
        <v>8.6999999999999994E-2</v>
      </c>
      <c r="Y534">
        <v>8.2000000000000003E-2</v>
      </c>
      <c r="Z534">
        <v>8.8999999999999996E-2</v>
      </c>
      <c r="AA534">
        <v>8.8999999999999996E-2</v>
      </c>
      <c r="AB534">
        <v>8.3000000000000004E-2</v>
      </c>
      <c r="AC534">
        <v>8.7999999999999995E-2</v>
      </c>
      <c r="AD534">
        <v>0.104</v>
      </c>
      <c r="AE534">
        <v>8.5000000000000006E-2</v>
      </c>
      <c r="AF534">
        <v>0.104</v>
      </c>
      <c r="AG534">
        <v>9.4E-2</v>
      </c>
      <c r="AH534">
        <v>9.7000000000000003E-2</v>
      </c>
      <c r="AI534">
        <v>8.5999999999999993E-2</v>
      </c>
      <c r="AJ534">
        <v>8.7999999999999995E-2</v>
      </c>
      <c r="AK534">
        <v>0.09</v>
      </c>
      <c r="BZ534">
        <v>1.4911893999999999E-3</v>
      </c>
      <c r="CA534">
        <v>22.535146345020209</v>
      </c>
      <c r="CB534">
        <v>1.185408E-3</v>
      </c>
      <c r="CC534">
        <v>1.661168E-3</v>
      </c>
      <c r="CD534">
        <v>1.1435740000000001E-3</v>
      </c>
      <c r="CE534">
        <v>1.185408E-3</v>
      </c>
      <c r="CF534">
        <v>1.769472E-3</v>
      </c>
      <c r="CG534">
        <v>1.825346E-3</v>
      </c>
      <c r="CH534">
        <v>1.3170059999999999E-3</v>
      </c>
      <c r="CI534">
        <v>1.102736E-3</v>
      </c>
      <c r="CJ534">
        <v>1.4099379999999999E-3</v>
      </c>
      <c r="CK534">
        <v>1.4099379999999999E-3</v>
      </c>
      <c r="CL534">
        <v>1.1435740000000001E-3</v>
      </c>
      <c r="CM534">
        <v>1.362944E-3</v>
      </c>
      <c r="CN534">
        <v>2.2497279999999999E-3</v>
      </c>
      <c r="CO534">
        <v>1.22825E-3</v>
      </c>
      <c r="CP534">
        <v>2.2497279999999999E-3</v>
      </c>
      <c r="CQ534">
        <v>1.661168E-3</v>
      </c>
      <c r="CR534">
        <v>1.825346E-3</v>
      </c>
      <c r="CS534">
        <v>1.2721119999999999E-3</v>
      </c>
      <c r="CT534">
        <v>1.362944E-3</v>
      </c>
      <c r="CU534">
        <v>1.4580000000000001E-3</v>
      </c>
    </row>
    <row r="535" spans="1:99" x14ac:dyDescent="0.25">
      <c r="A535" t="s">
        <v>150</v>
      </c>
      <c r="B535" t="s">
        <v>204</v>
      </c>
      <c r="C535" t="s">
        <v>192</v>
      </c>
      <c r="D535">
        <v>-1</v>
      </c>
      <c r="E535">
        <v>-1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13056</v>
      </c>
      <c r="N535">
        <v>4649.9064324646697</v>
      </c>
      <c r="O535">
        <v>10</v>
      </c>
      <c r="P535">
        <v>14</v>
      </c>
      <c r="Q535">
        <v>24</v>
      </c>
      <c r="R535">
        <v>0.11700000000000001</v>
      </c>
      <c r="S535">
        <v>0.126</v>
      </c>
      <c r="T535">
        <v>0.122</v>
      </c>
      <c r="U535">
        <v>0.114</v>
      </c>
      <c r="V535">
        <v>0.10299999999999999</v>
      </c>
      <c r="W535">
        <v>0.127</v>
      </c>
      <c r="X535">
        <v>0.125</v>
      </c>
      <c r="Y535">
        <v>0.129</v>
      </c>
      <c r="Z535">
        <v>0.11700000000000001</v>
      </c>
      <c r="AA535">
        <v>0.13100000000000001</v>
      </c>
      <c r="AB535">
        <v>0.13100000000000001</v>
      </c>
      <c r="AC535">
        <v>0.129</v>
      </c>
      <c r="AD535">
        <v>0.13100000000000001</v>
      </c>
      <c r="AE535">
        <v>0.111</v>
      </c>
      <c r="AF535">
        <v>0.124</v>
      </c>
      <c r="AG535">
        <v>0.125</v>
      </c>
      <c r="AH535">
        <v>0.128</v>
      </c>
      <c r="AI535">
        <v>0.128</v>
      </c>
      <c r="AJ535">
        <v>0.192</v>
      </c>
      <c r="AK535">
        <v>0.11700000000000001</v>
      </c>
      <c r="BZ535">
        <v>4.2734065000000002E-3</v>
      </c>
      <c r="CA535">
        <v>19.870940372886331</v>
      </c>
      <c r="CB535">
        <v>3.203226E-3</v>
      </c>
      <c r="CC535">
        <v>4.0007519999999998E-3</v>
      </c>
      <c r="CD535">
        <v>3.6316959999999998E-3</v>
      </c>
      <c r="CE535">
        <v>2.963088E-3</v>
      </c>
      <c r="CF535">
        <v>2.1854539999999999E-3</v>
      </c>
      <c r="CG535">
        <v>4.0967659999999999E-3</v>
      </c>
      <c r="CH535">
        <v>3.90625E-3</v>
      </c>
      <c r="CI535">
        <v>4.2933779999999996E-3</v>
      </c>
      <c r="CJ535">
        <v>3.203226E-3</v>
      </c>
      <c r="CK535">
        <v>4.4961819999999996E-3</v>
      </c>
      <c r="CL535">
        <v>4.4961819999999996E-3</v>
      </c>
      <c r="CM535">
        <v>4.2933779999999996E-3</v>
      </c>
      <c r="CN535">
        <v>4.4961819999999996E-3</v>
      </c>
      <c r="CO535">
        <v>2.735262E-3</v>
      </c>
      <c r="CP535">
        <v>3.813248E-3</v>
      </c>
      <c r="CQ535">
        <v>3.90625E-3</v>
      </c>
      <c r="CR535">
        <v>4.1943040000000003E-3</v>
      </c>
      <c r="CS535">
        <v>4.1943040000000003E-3</v>
      </c>
      <c r="CT535">
        <v>1.4155776E-2</v>
      </c>
      <c r="CU535">
        <v>3.203226E-3</v>
      </c>
    </row>
    <row r="536" spans="1:99" x14ac:dyDescent="0.25">
      <c r="A536" t="s">
        <v>150</v>
      </c>
      <c r="B536" t="s">
        <v>161</v>
      </c>
      <c r="C536" t="s">
        <v>154</v>
      </c>
      <c r="D536">
        <v>-1</v>
      </c>
      <c r="E536">
        <v>7</v>
      </c>
      <c r="F536">
        <v>16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5888</v>
      </c>
      <c r="N536">
        <v>2097.0166264056402</v>
      </c>
      <c r="O536">
        <v>-1</v>
      </c>
      <c r="P536">
        <v>-1</v>
      </c>
      <c r="Q536">
        <v>-1</v>
      </c>
      <c r="R536">
        <v>1.0329999999999999</v>
      </c>
      <c r="S536">
        <v>0.93100000000000005</v>
      </c>
      <c r="T536">
        <v>0.85299999999999998</v>
      </c>
      <c r="U536">
        <v>0.86</v>
      </c>
      <c r="V536">
        <v>0.879</v>
      </c>
      <c r="W536">
        <v>0.81299999999999994</v>
      </c>
      <c r="X536">
        <v>0.89</v>
      </c>
      <c r="Y536">
        <v>0.81899999999999995</v>
      </c>
      <c r="Z536">
        <v>0.80300000000000005</v>
      </c>
      <c r="AA536">
        <v>0.80700000000000005</v>
      </c>
      <c r="AB536">
        <v>0.81699999999999995</v>
      </c>
      <c r="AC536">
        <v>0.82599999999999996</v>
      </c>
      <c r="AD536">
        <v>0.90400000000000003</v>
      </c>
      <c r="AE536">
        <v>0.85599999999999998</v>
      </c>
      <c r="AF536">
        <v>0.85299999999999998</v>
      </c>
      <c r="AG536">
        <v>0.998</v>
      </c>
      <c r="AH536">
        <v>0.78400000000000003</v>
      </c>
      <c r="AI536">
        <v>0.89100000000000001</v>
      </c>
      <c r="AJ536">
        <v>0.81899999999999995</v>
      </c>
      <c r="AK536">
        <v>0.86699999999999999</v>
      </c>
      <c r="AL536" t="s">
        <v>155</v>
      </c>
      <c r="AM536" t="s">
        <v>155</v>
      </c>
      <c r="AN536" t="s">
        <v>156</v>
      </c>
      <c r="AO536" t="s">
        <v>156</v>
      </c>
      <c r="AP536" t="s">
        <v>155</v>
      </c>
      <c r="AQ536" t="s">
        <v>156</v>
      </c>
      <c r="AR536" t="s">
        <v>156</v>
      </c>
      <c r="AS536" t="s">
        <v>156</v>
      </c>
      <c r="AT536" t="s">
        <v>156</v>
      </c>
      <c r="AU536" t="s">
        <v>156</v>
      </c>
      <c r="AV536" t="s">
        <v>156</v>
      </c>
      <c r="AW536" t="s">
        <v>156</v>
      </c>
      <c r="AX536" t="s">
        <v>155</v>
      </c>
      <c r="AY536" t="s">
        <v>156</v>
      </c>
      <c r="AZ536" t="s">
        <v>156</v>
      </c>
      <c r="BA536" t="s">
        <v>155</v>
      </c>
      <c r="BB536" t="s">
        <v>156</v>
      </c>
      <c r="BC536" t="s">
        <v>156</v>
      </c>
      <c r="BD536" t="s">
        <v>156</v>
      </c>
      <c r="BE536" t="s">
        <v>156</v>
      </c>
      <c r="BZ536">
        <v>3.4065955971286583</v>
      </c>
      <c r="CA536">
        <v>7143.6876066190462</v>
      </c>
      <c r="CB536">
        <v>5.3339391751249003</v>
      </c>
      <c r="CC536">
        <v>4.0748150354289097</v>
      </c>
      <c r="CD536">
        <v>3.2485250268693702</v>
      </c>
      <c r="CE536">
        <v>3.31802164610263</v>
      </c>
      <c r="CF536">
        <v>3.5112310849632</v>
      </c>
      <c r="CG536">
        <v>2.86855208126086</v>
      </c>
      <c r="CH536">
        <v>3.6261715267814898</v>
      </c>
      <c r="CI536">
        <v>2.9237048743120502</v>
      </c>
      <c r="CJ536">
        <v>2.7780591504341801</v>
      </c>
      <c r="CK536">
        <v>2.81404268747472</v>
      </c>
      <c r="CL536">
        <v>2.9052489483079</v>
      </c>
      <c r="CM536">
        <v>2.9888667161500502</v>
      </c>
      <c r="CN536">
        <v>3.77576069440296</v>
      </c>
      <c r="CO536">
        <v>3.2781987227160201</v>
      </c>
      <c r="CP536">
        <v>3.2485250268693702</v>
      </c>
      <c r="CQ536">
        <v>4.8783878812455104</v>
      </c>
      <c r="CR536">
        <v>2.6109997400144702</v>
      </c>
      <c r="CS536">
        <v>3.6367335216111498</v>
      </c>
      <c r="CT536">
        <v>2.9237048743120502</v>
      </c>
      <c r="CU536">
        <v>3.3884235281913799</v>
      </c>
    </row>
    <row r="537" spans="1:99" x14ac:dyDescent="0.25">
      <c r="A537" t="s">
        <v>150</v>
      </c>
      <c r="B537" t="s">
        <v>165</v>
      </c>
      <c r="C537" t="s">
        <v>158</v>
      </c>
      <c r="D537">
        <v>-1</v>
      </c>
      <c r="E537">
        <v>8</v>
      </c>
      <c r="F537">
        <v>-1</v>
      </c>
      <c r="G537">
        <v>-1</v>
      </c>
      <c r="H537">
        <v>-1</v>
      </c>
      <c r="I537">
        <v>16</v>
      </c>
      <c r="J537">
        <v>-1</v>
      </c>
      <c r="K537">
        <v>-1</v>
      </c>
      <c r="L537">
        <v>-1</v>
      </c>
      <c r="M537">
        <v>2048</v>
      </c>
      <c r="N537">
        <v>729.39708744543805</v>
      </c>
      <c r="O537">
        <v>-1</v>
      </c>
      <c r="P537">
        <v>-1</v>
      </c>
      <c r="Q537">
        <v>-1</v>
      </c>
      <c r="R537">
        <v>1.571</v>
      </c>
      <c r="S537">
        <v>1.151</v>
      </c>
      <c r="T537">
        <v>1.5660000000000001</v>
      </c>
      <c r="U537">
        <v>1.2629999999999999</v>
      </c>
      <c r="V537">
        <v>1.5640000000000001</v>
      </c>
      <c r="W537">
        <v>1.528</v>
      </c>
      <c r="X537">
        <v>2.944</v>
      </c>
      <c r="Y537">
        <v>1.29</v>
      </c>
      <c r="Z537">
        <v>1.1970000000000001</v>
      </c>
      <c r="AA537">
        <v>1.6819999999999999</v>
      </c>
      <c r="AB537">
        <v>1.353</v>
      </c>
      <c r="AC537">
        <v>1.1519999999999999</v>
      </c>
      <c r="AD537">
        <v>1.19</v>
      </c>
      <c r="AE537">
        <v>0.89600000000000002</v>
      </c>
      <c r="AF537">
        <v>1.804</v>
      </c>
      <c r="AG537">
        <v>3.5430000000000001</v>
      </c>
      <c r="AH537">
        <v>2.9740000000000002</v>
      </c>
      <c r="AI537">
        <v>1.349</v>
      </c>
      <c r="AJ537">
        <v>1.7070000000000001</v>
      </c>
      <c r="AK537">
        <v>2.476</v>
      </c>
      <c r="AL537" t="s">
        <v>159</v>
      </c>
      <c r="AM537" t="s">
        <v>159</v>
      </c>
      <c r="AN537" t="s">
        <v>159</v>
      </c>
      <c r="AO537" t="s">
        <v>159</v>
      </c>
      <c r="AP537" t="s">
        <v>159</v>
      </c>
      <c r="AQ537" t="s">
        <v>159</v>
      </c>
      <c r="AR537" t="s">
        <v>159</v>
      </c>
      <c r="AS537" t="s">
        <v>159</v>
      </c>
      <c r="AT537" t="s">
        <v>159</v>
      </c>
      <c r="AU537" t="s">
        <v>159</v>
      </c>
      <c r="AV537" t="s">
        <v>159</v>
      </c>
      <c r="AW537" t="s">
        <v>159</v>
      </c>
      <c r="AX537" t="s">
        <v>159</v>
      </c>
      <c r="AY537" t="s">
        <v>159</v>
      </c>
      <c r="AZ537" t="s">
        <v>159</v>
      </c>
      <c r="BA537" t="s">
        <v>159</v>
      </c>
      <c r="BB537" t="s">
        <v>159</v>
      </c>
      <c r="BC537" t="s">
        <v>159</v>
      </c>
      <c r="BD537" t="s">
        <v>159</v>
      </c>
      <c r="BE537" t="s">
        <v>159</v>
      </c>
      <c r="BZ537">
        <v>2.5936556339498424</v>
      </c>
      <c r="CA537">
        <v>1891.8048652394664</v>
      </c>
      <c r="CB537">
        <v>1.46825115087311</v>
      </c>
      <c r="CC537">
        <v>0.63985423678313902</v>
      </c>
      <c r="CD537">
        <v>1.45580742140514</v>
      </c>
      <c r="CE537">
        <v>0.81989243987921601</v>
      </c>
      <c r="CF537">
        <v>1.45084846629543</v>
      </c>
      <c r="CG537">
        <v>1.3633874490620299</v>
      </c>
      <c r="CH537">
        <v>7.8536922090127703</v>
      </c>
      <c r="CI537">
        <v>0.86752992078060498</v>
      </c>
      <c r="CJ537">
        <v>0.71043004079543504</v>
      </c>
      <c r="CK537">
        <v>1.7618354048665601</v>
      </c>
      <c r="CL537">
        <v>0.98531490571873803</v>
      </c>
      <c r="CM537">
        <v>0.64133959771255999</v>
      </c>
      <c r="CN537">
        <v>0.69939145644226797</v>
      </c>
      <c r="CO537">
        <v>0.32784783620804703</v>
      </c>
      <c r="CP537">
        <v>2.1240340743314698</v>
      </c>
      <c r="CQ537">
        <v>12.8774808466762</v>
      </c>
      <c r="CR537">
        <v>8.0691968488432906</v>
      </c>
      <c r="CS537">
        <v>0.97755644083231397</v>
      </c>
      <c r="CT537">
        <v>1.8326242847312899</v>
      </c>
      <c r="CU537">
        <v>4.94679764774724</v>
      </c>
    </row>
    <row r="538" spans="1:99" x14ac:dyDescent="0.25">
      <c r="A538" t="s">
        <v>150</v>
      </c>
      <c r="B538" t="s">
        <v>212</v>
      </c>
      <c r="C538" t="s">
        <v>192</v>
      </c>
      <c r="D538">
        <v>-1</v>
      </c>
      <c r="E538">
        <v>-1</v>
      </c>
      <c r="F538">
        <v>-1</v>
      </c>
      <c r="G538">
        <v>-1</v>
      </c>
      <c r="H538">
        <v>-1</v>
      </c>
      <c r="I538">
        <v>-1</v>
      </c>
      <c r="J538">
        <v>-1</v>
      </c>
      <c r="K538">
        <v>-1</v>
      </c>
      <c r="L538">
        <v>-1</v>
      </c>
      <c r="M538">
        <v>544</v>
      </c>
      <c r="N538">
        <v>193.74610135269501</v>
      </c>
      <c r="O538">
        <v>0</v>
      </c>
      <c r="P538">
        <v>1</v>
      </c>
      <c r="Q538">
        <v>1</v>
      </c>
      <c r="R538">
        <v>0.24099999999999999</v>
      </c>
      <c r="BZ538">
        <v>0.13997520999999999</v>
      </c>
      <c r="CA538">
        <v>27.119651223524766</v>
      </c>
      <c r="CB538">
        <v>0.13997520999999999</v>
      </c>
    </row>
    <row r="539" spans="1:99" x14ac:dyDescent="0.25">
      <c r="A539" t="s">
        <v>150</v>
      </c>
      <c r="B539" t="s">
        <v>207</v>
      </c>
      <c r="C539" t="s">
        <v>192</v>
      </c>
      <c r="D539">
        <v>-1</v>
      </c>
      <c r="E539">
        <v>-1</v>
      </c>
      <c r="F539">
        <v>-1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1088</v>
      </c>
      <c r="N539">
        <v>387.49220270538899</v>
      </c>
      <c r="O539">
        <v>2</v>
      </c>
      <c r="P539">
        <v>0</v>
      </c>
      <c r="Q539">
        <v>2</v>
      </c>
      <c r="R539">
        <v>0.13500000000000001</v>
      </c>
      <c r="S539">
        <v>0.17</v>
      </c>
      <c r="BZ539">
        <v>3.6866875E-2</v>
      </c>
      <c r="CA539">
        <v>14.285626600614238</v>
      </c>
      <c r="CB539">
        <v>2.4603750000000001E-2</v>
      </c>
      <c r="CC539">
        <v>4.913E-2</v>
      </c>
    </row>
    <row r="540" spans="1:99" x14ac:dyDescent="0.25">
      <c r="A540" t="s">
        <v>150</v>
      </c>
      <c r="B540" t="s">
        <v>209</v>
      </c>
      <c r="C540" t="s">
        <v>192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63648</v>
      </c>
      <c r="N540">
        <v>22668.293858265301</v>
      </c>
      <c r="O540">
        <v>67</v>
      </c>
      <c r="P540">
        <v>50</v>
      </c>
      <c r="Q540">
        <v>117</v>
      </c>
      <c r="R540">
        <v>8.1000000000000003E-2</v>
      </c>
      <c r="S540">
        <v>0.11600000000000001</v>
      </c>
      <c r="T540">
        <v>9.9000000000000005E-2</v>
      </c>
      <c r="U540">
        <v>9.2999999999999999E-2</v>
      </c>
      <c r="V540">
        <v>9.4E-2</v>
      </c>
      <c r="W540">
        <v>0.109</v>
      </c>
      <c r="X540">
        <v>9.5000000000000001E-2</v>
      </c>
      <c r="Y540">
        <v>7.1999999999999995E-2</v>
      </c>
      <c r="Z540">
        <v>9.8000000000000004E-2</v>
      </c>
      <c r="AA540">
        <v>0.113</v>
      </c>
      <c r="AB540">
        <v>0.108</v>
      </c>
      <c r="AC540">
        <v>0.125</v>
      </c>
      <c r="AD540">
        <v>9.8000000000000004E-2</v>
      </c>
      <c r="AE540">
        <v>0.107</v>
      </c>
      <c r="AF540">
        <v>0.125</v>
      </c>
      <c r="AG540">
        <v>7.4999999999999997E-2</v>
      </c>
      <c r="AH540">
        <v>0.115</v>
      </c>
      <c r="AI540">
        <v>0.129</v>
      </c>
      <c r="AJ540">
        <v>9.9000000000000005E-2</v>
      </c>
      <c r="AK540">
        <v>0.124</v>
      </c>
      <c r="BZ540">
        <v>3.6815050580000008E-2</v>
      </c>
      <c r="CA540">
        <v>834.53438495434057</v>
      </c>
      <c r="CB540">
        <v>1.6368382800000001E-2</v>
      </c>
      <c r="CC540">
        <v>4.8075596800000002E-2</v>
      </c>
      <c r="CD540">
        <v>2.9885209199999999E-2</v>
      </c>
      <c r="CE540">
        <v>2.47741956E-2</v>
      </c>
      <c r="CF540">
        <v>2.55819872E-2</v>
      </c>
      <c r="CG540">
        <v>3.9886893200000002E-2</v>
      </c>
      <c r="CH540">
        <v>2.6407150000000001E-2</v>
      </c>
      <c r="CI540">
        <v>1.14960384E-2</v>
      </c>
      <c r="CJ540">
        <v>2.89887136E-2</v>
      </c>
      <c r="CK540">
        <v>4.4441227600000001E-2</v>
      </c>
      <c r="CL540">
        <v>3.8799129600000003E-2</v>
      </c>
      <c r="CM540">
        <v>6.0156250000000001E-2</v>
      </c>
      <c r="CN540">
        <v>2.89887136E-2</v>
      </c>
      <c r="CO540">
        <v>3.7731324400000002E-2</v>
      </c>
      <c r="CP540">
        <v>6.0156250000000001E-2</v>
      </c>
      <c r="CQ540">
        <v>1.299375E-2</v>
      </c>
      <c r="CR540">
        <v>4.6842950000000001E-2</v>
      </c>
      <c r="CS540">
        <v>6.6118021200000002E-2</v>
      </c>
      <c r="CT540">
        <v>2.9885209199999999E-2</v>
      </c>
      <c r="CU540">
        <v>5.8724019199999998E-2</v>
      </c>
    </row>
    <row r="541" spans="1:99" x14ac:dyDescent="0.25">
      <c r="A541" t="s">
        <v>150</v>
      </c>
      <c r="B541" t="s">
        <v>153</v>
      </c>
      <c r="C541" t="s">
        <v>154</v>
      </c>
      <c r="D541">
        <v>-1</v>
      </c>
      <c r="E541">
        <v>1</v>
      </c>
      <c r="F541">
        <v>2</v>
      </c>
      <c r="G541">
        <v>-1</v>
      </c>
      <c r="H541">
        <v>-1</v>
      </c>
      <c r="I541">
        <v>3</v>
      </c>
      <c r="J541">
        <v>0</v>
      </c>
      <c r="K541">
        <v>-1</v>
      </c>
      <c r="L541">
        <v>-1</v>
      </c>
      <c r="M541">
        <v>512</v>
      </c>
      <c r="N541">
        <v>182.34927186135999</v>
      </c>
      <c r="O541">
        <v>-1</v>
      </c>
      <c r="P541">
        <v>-1</v>
      </c>
      <c r="Q541">
        <v>-1</v>
      </c>
      <c r="R541">
        <v>1.1359999999999999</v>
      </c>
      <c r="S541">
        <v>1.1519999999999999</v>
      </c>
      <c r="T541">
        <v>0.92300000000000004</v>
      </c>
      <c r="U541">
        <v>1.2889999999999999</v>
      </c>
      <c r="V541">
        <v>1.105</v>
      </c>
      <c r="W541">
        <v>1.0669999999999999</v>
      </c>
      <c r="AL541" t="s">
        <v>156</v>
      </c>
      <c r="AM541" t="s">
        <v>156</v>
      </c>
      <c r="AN541" t="s">
        <v>155</v>
      </c>
      <c r="AO541" t="s">
        <v>155</v>
      </c>
      <c r="AP541" t="s">
        <v>155</v>
      </c>
      <c r="AQ541" t="s">
        <v>155</v>
      </c>
      <c r="BZ541">
        <v>6.5829339001693192</v>
      </c>
      <c r="CA541">
        <v>1200.393203407338</v>
      </c>
      <c r="CB541">
        <v>6.8227287347915198</v>
      </c>
      <c r="CC541">
        <v>7.0744087157333304</v>
      </c>
      <c r="CD541">
        <v>3.9847458948394499</v>
      </c>
      <c r="CE541">
        <v>9.4641863325932807</v>
      </c>
      <c r="CF541">
        <v>6.35091830602929</v>
      </c>
      <c r="CG541">
        <v>5.8006154170290403</v>
      </c>
    </row>
    <row r="542" spans="1:99" x14ac:dyDescent="0.25">
      <c r="A542" t="s">
        <v>150</v>
      </c>
      <c r="B542" t="s">
        <v>210</v>
      </c>
      <c r="C542" t="s">
        <v>192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4352</v>
      </c>
      <c r="N542">
        <v>1549.9688108215601</v>
      </c>
      <c r="O542">
        <v>5</v>
      </c>
      <c r="P542">
        <v>3</v>
      </c>
      <c r="Q542">
        <v>8</v>
      </c>
      <c r="R542">
        <v>0.152</v>
      </c>
      <c r="S542">
        <v>0.115</v>
      </c>
      <c r="T542">
        <v>0.14099999999999999</v>
      </c>
      <c r="U542">
        <v>0.14399999999999999</v>
      </c>
      <c r="V542">
        <v>0.13500000000000001</v>
      </c>
      <c r="W542">
        <v>0.16300000000000001</v>
      </c>
      <c r="X542">
        <v>0.17499999999999999</v>
      </c>
      <c r="Y542">
        <v>0.16600000000000001</v>
      </c>
      <c r="BZ542">
        <v>3.4433351250000001E-2</v>
      </c>
      <c r="CA542">
        <v>53.370620489563578</v>
      </c>
      <c r="CB542">
        <v>3.5118080000000003E-2</v>
      </c>
      <c r="CC542">
        <v>1.520875E-2</v>
      </c>
      <c r="CD542">
        <v>2.8032209999999998E-2</v>
      </c>
      <c r="CE542">
        <v>2.9859839999999999E-2</v>
      </c>
      <c r="CF542">
        <v>2.4603750000000001E-2</v>
      </c>
      <c r="CG542">
        <v>4.3307470000000001E-2</v>
      </c>
      <c r="CH542">
        <v>5.3593750000000002E-2</v>
      </c>
      <c r="CI542">
        <v>4.5742959999999999E-2</v>
      </c>
    </row>
    <row r="543" spans="1:99" x14ac:dyDescent="0.25">
      <c r="A543" t="s">
        <v>150</v>
      </c>
      <c r="B543" t="s">
        <v>215</v>
      </c>
      <c r="C543" t="s">
        <v>192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544</v>
      </c>
      <c r="N543">
        <v>193.74610135269501</v>
      </c>
      <c r="O543">
        <v>0</v>
      </c>
      <c r="P543">
        <v>1</v>
      </c>
      <c r="Q543">
        <v>1</v>
      </c>
      <c r="R543">
        <v>0.33900000000000002</v>
      </c>
      <c r="BF543">
        <v>8.6923076923076895E-2</v>
      </c>
      <c r="BZ543">
        <v>0.13398963526153901</v>
      </c>
      <c r="CA543">
        <v>25.959969453592773</v>
      </c>
      <c r="CB543">
        <v>0.13398963526153901</v>
      </c>
    </row>
    <row r="544" spans="1:99" x14ac:dyDescent="0.25">
      <c r="A544" t="s">
        <v>150</v>
      </c>
      <c r="B544" t="s">
        <v>214</v>
      </c>
      <c r="C544" t="s">
        <v>192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4896</v>
      </c>
      <c r="N544">
        <v>1743.71491217425</v>
      </c>
      <c r="O544">
        <v>6</v>
      </c>
      <c r="P544">
        <v>3</v>
      </c>
      <c r="Q544">
        <v>9</v>
      </c>
      <c r="R544">
        <v>0.182</v>
      </c>
      <c r="S544">
        <v>0.17399999999999999</v>
      </c>
      <c r="T544">
        <v>0.17100000000000001</v>
      </c>
      <c r="U544">
        <v>0.15</v>
      </c>
      <c r="V544">
        <v>0.17</v>
      </c>
      <c r="W544">
        <v>0.17299999999999999</v>
      </c>
      <c r="X544">
        <v>0.16300000000000001</v>
      </c>
      <c r="Y544">
        <v>0.20599999999999999</v>
      </c>
      <c r="Z544">
        <v>0.13900000000000001</v>
      </c>
      <c r="BF544">
        <v>5.3529411764705902E-2</v>
      </c>
      <c r="BG544">
        <v>5.1176470588235302E-2</v>
      </c>
      <c r="BH544">
        <v>5.0294117647058802E-2</v>
      </c>
      <c r="BI544">
        <v>4.4117647058823498E-2</v>
      </c>
      <c r="BJ544">
        <v>0.05</v>
      </c>
      <c r="BK544">
        <v>5.0882352941176497E-2</v>
      </c>
      <c r="BL544">
        <v>4.7941176470588202E-2</v>
      </c>
      <c r="BM544">
        <v>6.0588235294117603E-2</v>
      </c>
      <c r="BN544">
        <v>4.0882352941176502E-2</v>
      </c>
      <c r="BZ544">
        <v>2.2888109986774326E-2</v>
      </c>
      <c r="CA544">
        <v>39.910338695422766</v>
      </c>
      <c r="CB544">
        <v>2.7280834707266399E-2</v>
      </c>
      <c r="CC544">
        <v>2.3839175734256101E-2</v>
      </c>
      <c r="CD544">
        <v>2.26272524076125E-2</v>
      </c>
      <c r="CE544">
        <v>1.52727508650519E-2</v>
      </c>
      <c r="CF544">
        <v>2.2232600000000002E-2</v>
      </c>
      <c r="CG544">
        <v>2.3430513123183401E-2</v>
      </c>
      <c r="CH544">
        <v>1.95977540712803E-2</v>
      </c>
      <c r="CI544">
        <v>3.9558986037370202E-2</v>
      </c>
      <c r="CJ544">
        <v>1.21531229349481E-2</v>
      </c>
    </row>
    <row r="545" spans="1:99" x14ac:dyDescent="0.25">
      <c r="A545" t="s">
        <v>151</v>
      </c>
      <c r="B545" t="s">
        <v>191</v>
      </c>
      <c r="C545" t="s">
        <v>192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-1</v>
      </c>
      <c r="L545">
        <v>-1</v>
      </c>
      <c r="M545">
        <v>8320</v>
      </c>
      <c r="N545">
        <v>3367.2450769853299</v>
      </c>
      <c r="O545">
        <v>4</v>
      </c>
      <c r="P545">
        <v>4</v>
      </c>
      <c r="Q545">
        <v>8</v>
      </c>
      <c r="R545">
        <v>0.127</v>
      </c>
      <c r="S545">
        <v>0.123</v>
      </c>
      <c r="T545">
        <v>0.109</v>
      </c>
      <c r="U545">
        <v>0.13300000000000001</v>
      </c>
      <c r="V545">
        <v>9.0999999999999998E-2</v>
      </c>
      <c r="W545">
        <v>9.2999999999999999E-2</v>
      </c>
      <c r="X545">
        <v>0.115</v>
      </c>
      <c r="Y545">
        <v>9.8000000000000004E-2</v>
      </c>
      <c r="BZ545">
        <v>1.73653665E-2</v>
      </c>
      <c r="CA545">
        <v>58.473444857170968</v>
      </c>
      <c r="CB545">
        <v>2.4580596E-2</v>
      </c>
      <c r="CC545">
        <v>2.2330404000000002E-2</v>
      </c>
      <c r="CD545">
        <v>1.5540348000000001E-2</v>
      </c>
      <c r="CE545">
        <v>2.8231644E-2</v>
      </c>
      <c r="CF545">
        <v>9.0428520000000005E-3</v>
      </c>
      <c r="CG545">
        <v>9.6522840000000006E-3</v>
      </c>
      <c r="CH545">
        <v>1.8250499999999999E-2</v>
      </c>
      <c r="CI545">
        <v>1.1294304E-2</v>
      </c>
    </row>
    <row r="546" spans="1:99" x14ac:dyDescent="0.25">
      <c r="A546" t="s">
        <v>151</v>
      </c>
      <c r="B546" t="s">
        <v>193</v>
      </c>
      <c r="C546" t="s">
        <v>192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1040</v>
      </c>
      <c r="N546">
        <v>420.90563462316697</v>
      </c>
      <c r="O546">
        <v>0</v>
      </c>
      <c r="P546">
        <v>1</v>
      </c>
      <c r="Q546">
        <v>1</v>
      </c>
      <c r="R546">
        <v>0.53300000000000003</v>
      </c>
      <c r="BZ546">
        <v>1.35823234989</v>
      </c>
      <c r="CA546">
        <v>571.68764919616581</v>
      </c>
      <c r="CB546">
        <v>1.35823234989</v>
      </c>
    </row>
    <row r="547" spans="1:99" x14ac:dyDescent="0.25">
      <c r="A547" t="s">
        <v>151</v>
      </c>
      <c r="B547" t="s">
        <v>172</v>
      </c>
      <c r="C547" t="s">
        <v>158</v>
      </c>
      <c r="D547">
        <v>-1</v>
      </c>
      <c r="E547">
        <v>86</v>
      </c>
      <c r="F547">
        <v>-1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22016</v>
      </c>
      <c r="N547">
        <v>8910.2485114073406</v>
      </c>
      <c r="O547">
        <v>-1</v>
      </c>
      <c r="P547">
        <v>-1</v>
      </c>
      <c r="Q547">
        <v>-1</v>
      </c>
      <c r="R547">
        <v>0.41499999999999998</v>
      </c>
      <c r="S547">
        <v>0.55700000000000005</v>
      </c>
      <c r="T547">
        <v>0.27500000000000002</v>
      </c>
      <c r="U547">
        <v>0.32600000000000001</v>
      </c>
      <c r="V547">
        <v>0.27700000000000002</v>
      </c>
      <c r="W547">
        <v>0.45800000000000002</v>
      </c>
      <c r="X547">
        <v>0.42799999999999999</v>
      </c>
      <c r="Y547">
        <v>0.26600000000000001</v>
      </c>
      <c r="Z547">
        <v>0.44500000000000001</v>
      </c>
      <c r="AA547">
        <v>0.24399999999999999</v>
      </c>
      <c r="AB547">
        <v>0.38300000000000001</v>
      </c>
      <c r="AC547">
        <v>0.39400000000000002</v>
      </c>
      <c r="AD547">
        <v>0.35499999999999998</v>
      </c>
      <c r="AE547">
        <v>0.36799999999999999</v>
      </c>
      <c r="AF547">
        <v>0.42099999999999999</v>
      </c>
      <c r="AG547">
        <v>0.312</v>
      </c>
      <c r="AH547">
        <v>0.36299999999999999</v>
      </c>
      <c r="AI547">
        <v>0.40100000000000002</v>
      </c>
      <c r="AJ547">
        <v>0.29399999999999998</v>
      </c>
      <c r="AK547">
        <v>0.49</v>
      </c>
      <c r="AL547" t="s">
        <v>159</v>
      </c>
      <c r="AM547" t="s">
        <v>159</v>
      </c>
      <c r="AN547" t="s">
        <v>159</v>
      </c>
      <c r="AO547" t="s">
        <v>159</v>
      </c>
      <c r="AP547" t="s">
        <v>159</v>
      </c>
      <c r="AQ547" t="s">
        <v>159</v>
      </c>
      <c r="AR547" t="s">
        <v>159</v>
      </c>
      <c r="AS547" t="s">
        <v>159</v>
      </c>
      <c r="AT547" t="s">
        <v>159</v>
      </c>
      <c r="AU547" t="s">
        <v>159</v>
      </c>
      <c r="AV547" t="s">
        <v>159</v>
      </c>
      <c r="AW547" t="s">
        <v>159</v>
      </c>
      <c r="AX547" t="s">
        <v>159</v>
      </c>
      <c r="AY547" t="s">
        <v>159</v>
      </c>
      <c r="AZ547" t="s">
        <v>159</v>
      </c>
      <c r="BA547" t="s">
        <v>159</v>
      </c>
      <c r="BB547" t="s">
        <v>159</v>
      </c>
      <c r="BC547" t="s">
        <v>159</v>
      </c>
      <c r="BD547" t="s">
        <v>159</v>
      </c>
      <c r="BE547" t="s">
        <v>159</v>
      </c>
      <c r="BZ547">
        <v>1.358929632751692</v>
      </c>
      <c r="CA547">
        <v>12108.400737333088</v>
      </c>
      <c r="CB547">
        <v>1.62730260477958</v>
      </c>
      <c r="CC547">
        <v>3.4262597050599899</v>
      </c>
      <c r="CD547">
        <v>0.57453746032460995</v>
      </c>
      <c r="CE547">
        <v>0.88358261663912796</v>
      </c>
      <c r="CF547">
        <v>0.58516784102181196</v>
      </c>
      <c r="CG547">
        <v>2.08831637677069</v>
      </c>
      <c r="CH547">
        <v>1.7593788647374899</v>
      </c>
      <c r="CI547">
        <v>0.52814986801842601</v>
      </c>
      <c r="CJ547">
        <v>1.9415897146449701</v>
      </c>
      <c r="CK547">
        <v>0.42452463334503399</v>
      </c>
      <c r="CL547">
        <v>1.3283102779548199</v>
      </c>
      <c r="CM547">
        <v>1.42696090958891</v>
      </c>
      <c r="CN547">
        <v>1.09618629530351</v>
      </c>
      <c r="CO547">
        <v>1.20060905965011</v>
      </c>
      <c r="CP547">
        <v>1.68748661754875</v>
      </c>
      <c r="CQ547">
        <v>0.790710958575773</v>
      </c>
      <c r="CR547">
        <v>1.1597660628987201</v>
      </c>
      <c r="CS547">
        <v>1.4919762079807299</v>
      </c>
      <c r="CT547">
        <v>0.68033902120397705</v>
      </c>
      <c r="CU547">
        <v>2.4774375589868098</v>
      </c>
    </row>
    <row r="548" spans="1:99" x14ac:dyDescent="0.25">
      <c r="A548" t="s">
        <v>151</v>
      </c>
      <c r="B548" t="s">
        <v>171</v>
      </c>
      <c r="C548" t="s">
        <v>158</v>
      </c>
      <c r="D548">
        <v>351</v>
      </c>
      <c r="E548">
        <v>-1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351</v>
      </c>
      <c r="N548">
        <v>142.05565168531899</v>
      </c>
      <c r="O548">
        <v>-1</v>
      </c>
      <c r="P548">
        <v>-1</v>
      </c>
      <c r="Q548">
        <v>-1</v>
      </c>
      <c r="R548">
        <v>1.466</v>
      </c>
      <c r="S548">
        <v>1.548</v>
      </c>
      <c r="T548">
        <v>1.3540000000000001</v>
      </c>
      <c r="U548">
        <v>1.365</v>
      </c>
      <c r="V548">
        <v>0.87</v>
      </c>
      <c r="W548">
        <v>0.88700000000000001</v>
      </c>
      <c r="X548">
        <v>1.5289999999999999</v>
      </c>
      <c r="Y548">
        <v>0.90400000000000003</v>
      </c>
      <c r="Z548">
        <v>0.96199999999999997</v>
      </c>
      <c r="AA548">
        <v>0.96</v>
      </c>
      <c r="AB548">
        <v>0.88200000000000001</v>
      </c>
      <c r="AC548">
        <v>1.198</v>
      </c>
      <c r="AD548">
        <v>0.84599999999999997</v>
      </c>
      <c r="AE548">
        <v>0.90400000000000003</v>
      </c>
      <c r="AF548">
        <v>0.80200000000000005</v>
      </c>
      <c r="AG548">
        <v>0.52700000000000002</v>
      </c>
      <c r="AH548">
        <v>1.286</v>
      </c>
      <c r="AI548">
        <v>1.226</v>
      </c>
      <c r="AJ548">
        <v>1.4710000000000001</v>
      </c>
      <c r="AK548">
        <v>0.79100000000000004</v>
      </c>
      <c r="AL548" t="s">
        <v>159</v>
      </c>
      <c r="AM548" t="s">
        <v>159</v>
      </c>
      <c r="AN548" t="s">
        <v>159</v>
      </c>
      <c r="AO548" t="s">
        <v>159</v>
      </c>
      <c r="AP548" t="s">
        <v>159</v>
      </c>
      <c r="AQ548" t="s">
        <v>159</v>
      </c>
      <c r="AR548" t="s">
        <v>159</v>
      </c>
      <c r="AS548" t="s">
        <v>159</v>
      </c>
      <c r="AT548" t="s">
        <v>159</v>
      </c>
      <c r="AU548" t="s">
        <v>159</v>
      </c>
      <c r="AV548" t="s">
        <v>159</v>
      </c>
      <c r="AW548" t="s">
        <v>159</v>
      </c>
      <c r="AX548" t="s">
        <v>159</v>
      </c>
      <c r="AY548" t="s">
        <v>159</v>
      </c>
      <c r="AZ548" t="s">
        <v>159</v>
      </c>
      <c r="BA548" t="s">
        <v>159</v>
      </c>
      <c r="BB548" t="s">
        <v>159</v>
      </c>
      <c r="BC548" t="s">
        <v>159</v>
      </c>
      <c r="BD548" t="s">
        <v>159</v>
      </c>
      <c r="BE548" t="s">
        <v>159</v>
      </c>
      <c r="BZ548">
        <v>2.5447407290129584</v>
      </c>
      <c r="CA548">
        <v>361.49480263010958</v>
      </c>
      <c r="CB548">
        <v>5.0934839110652597</v>
      </c>
      <c r="CC548">
        <v>5.9903632318653601</v>
      </c>
      <c r="CD548">
        <v>4.0193824039908197</v>
      </c>
      <c r="CE548">
        <v>4.1174753538237896</v>
      </c>
      <c r="CF548">
        <v>1.0757295035105101</v>
      </c>
      <c r="CG548">
        <v>1.1395885952527001</v>
      </c>
      <c r="CH548">
        <v>5.7739100479074397</v>
      </c>
      <c r="CI548">
        <v>1.2059175899579</v>
      </c>
      <c r="CJ548">
        <v>1.45143443306665</v>
      </c>
      <c r="CK548">
        <v>1.4424606735569201</v>
      </c>
      <c r="CL548">
        <v>1.12055219553388</v>
      </c>
      <c r="CM548">
        <v>2.79085340526805</v>
      </c>
      <c r="CN548">
        <v>0.98969047155004197</v>
      </c>
      <c r="CO548">
        <v>1.2059175899579</v>
      </c>
      <c r="CP548">
        <v>0.84406389698422402</v>
      </c>
      <c r="CQ548">
        <v>0.24150789939519501</v>
      </c>
      <c r="CR548">
        <v>3.4472580430995099</v>
      </c>
      <c r="CS548">
        <v>2.9897667543817099</v>
      </c>
      <c r="CT548">
        <v>5.1454276019428002</v>
      </c>
      <c r="CU548">
        <v>0.81003097814851799</v>
      </c>
    </row>
    <row r="549" spans="1:99" x14ac:dyDescent="0.25">
      <c r="A549" t="s">
        <v>151</v>
      </c>
      <c r="B549" t="s">
        <v>183</v>
      </c>
      <c r="C549" t="s">
        <v>158</v>
      </c>
      <c r="D549">
        <v>-1</v>
      </c>
      <c r="E549">
        <v>1</v>
      </c>
      <c r="F549">
        <v>-1</v>
      </c>
      <c r="G549">
        <v>-1</v>
      </c>
      <c r="H549">
        <v>-1</v>
      </c>
      <c r="I549">
        <v>1</v>
      </c>
      <c r="J549">
        <v>-1</v>
      </c>
      <c r="K549">
        <v>-1</v>
      </c>
      <c r="L549">
        <v>-1</v>
      </c>
      <c r="M549">
        <v>170.666666666667</v>
      </c>
      <c r="N549">
        <v>69.071693886878606</v>
      </c>
      <c r="O549">
        <v>-1</v>
      </c>
      <c r="P549">
        <v>-1</v>
      </c>
      <c r="Q549">
        <v>-1</v>
      </c>
      <c r="R549">
        <v>0.29199999999999998</v>
      </c>
      <c r="S549">
        <v>0.33600000000000002</v>
      </c>
      <c r="AL549" t="s">
        <v>159</v>
      </c>
      <c r="AM549" t="s">
        <v>159</v>
      </c>
      <c r="BZ549">
        <v>0.44827254079329049</v>
      </c>
      <c r="CA549">
        <v>30.962943715567462</v>
      </c>
      <c r="CB549">
        <v>0.35075943823106898</v>
      </c>
      <c r="CC549">
        <v>0.54578564335551205</v>
      </c>
    </row>
    <row r="550" spans="1:99" x14ac:dyDescent="0.25">
      <c r="A550" t="s">
        <v>151</v>
      </c>
      <c r="B550" t="s">
        <v>194</v>
      </c>
      <c r="C550" t="s">
        <v>192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3120</v>
      </c>
      <c r="N550">
        <v>1262.7169038694999</v>
      </c>
      <c r="O550">
        <v>2</v>
      </c>
      <c r="P550">
        <v>1</v>
      </c>
      <c r="Q550">
        <v>3</v>
      </c>
      <c r="BF550">
        <v>3.5999999999999997E-2</v>
      </c>
      <c r="BG550">
        <v>0.04</v>
      </c>
      <c r="BH550">
        <v>4.5999999999999999E-2</v>
      </c>
      <c r="BZ550">
        <v>1.2479520000000001E-2</v>
      </c>
      <c r="CA550">
        <v>15.758100856177503</v>
      </c>
      <c r="CB550">
        <v>8.3980800000000005E-3</v>
      </c>
      <c r="CC550">
        <v>1.1520000000000001E-2</v>
      </c>
      <c r="CD550">
        <v>1.7520480000000001E-2</v>
      </c>
    </row>
    <row r="551" spans="1:99" x14ac:dyDescent="0.25">
      <c r="A551" t="s">
        <v>151</v>
      </c>
      <c r="B551" t="s">
        <v>195</v>
      </c>
      <c r="C551" t="s">
        <v>192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36400</v>
      </c>
      <c r="N551">
        <v>14731.697211810801</v>
      </c>
      <c r="O551">
        <v>15</v>
      </c>
      <c r="P551">
        <v>20</v>
      </c>
      <c r="Q551">
        <v>35</v>
      </c>
      <c r="R551">
        <v>0.105</v>
      </c>
      <c r="S551">
        <v>0.114</v>
      </c>
      <c r="T551">
        <v>0.16600000000000001</v>
      </c>
      <c r="U551">
        <v>0.11899999999999999</v>
      </c>
      <c r="V551">
        <v>0.17699999999999999</v>
      </c>
      <c r="W551">
        <v>0.14899999999999999</v>
      </c>
      <c r="X551">
        <v>0.13300000000000001</v>
      </c>
      <c r="Y551">
        <v>0.161</v>
      </c>
      <c r="Z551">
        <v>0.125</v>
      </c>
      <c r="AA551">
        <v>0.11899999999999999</v>
      </c>
      <c r="AB551">
        <v>0.20300000000000001</v>
      </c>
      <c r="AC551">
        <v>0.14499999999999999</v>
      </c>
      <c r="AD551">
        <v>9.6000000000000002E-2</v>
      </c>
      <c r="AE551">
        <v>0.13700000000000001</v>
      </c>
      <c r="AF551">
        <v>0.153</v>
      </c>
      <c r="AG551">
        <v>0.14399999999999999</v>
      </c>
      <c r="AH551">
        <v>0.14000000000000001</v>
      </c>
      <c r="AI551">
        <v>0.13800000000000001</v>
      </c>
      <c r="AJ551">
        <v>0.128</v>
      </c>
      <c r="AK551">
        <v>0.13200000000000001</v>
      </c>
      <c r="BF551">
        <v>5.6000000000000001E-2</v>
      </c>
      <c r="BG551">
        <v>6.5000000000000002E-2</v>
      </c>
      <c r="BH551">
        <v>0.09</v>
      </c>
      <c r="BI551">
        <v>7.1999999999999995E-2</v>
      </c>
      <c r="BJ551">
        <v>7.3999999999999996E-2</v>
      </c>
      <c r="BK551">
        <v>7.0999999999999994E-2</v>
      </c>
      <c r="BL551">
        <v>4.9000000000000002E-2</v>
      </c>
      <c r="BM551">
        <v>8.2000000000000003E-2</v>
      </c>
      <c r="BN551">
        <v>5.6000000000000001E-2</v>
      </c>
      <c r="BO551">
        <v>6.6000000000000003E-2</v>
      </c>
      <c r="BP551">
        <v>7.6999999999999999E-2</v>
      </c>
      <c r="BQ551">
        <v>5.7000000000000002E-2</v>
      </c>
      <c r="BR551">
        <v>6.7000000000000004E-2</v>
      </c>
      <c r="BS551">
        <v>0.11799999999999999</v>
      </c>
      <c r="BT551">
        <v>6.5000000000000002E-2</v>
      </c>
      <c r="BU551">
        <v>8.8999999999999996E-2</v>
      </c>
      <c r="BV551">
        <v>7.9000000000000001E-2</v>
      </c>
      <c r="BW551">
        <v>8.1000000000000003E-2</v>
      </c>
      <c r="BX551">
        <v>0.08</v>
      </c>
      <c r="BY551">
        <v>6.7000000000000004E-2</v>
      </c>
      <c r="BZ551">
        <v>2.0535095099999998E-2</v>
      </c>
      <c r="CA551">
        <v>302.51680322893958</v>
      </c>
      <c r="CB551">
        <v>8.5612799999999992E-3</v>
      </c>
      <c r="CC551">
        <v>1.25229E-2</v>
      </c>
      <c r="CD551">
        <v>3.49596E-2</v>
      </c>
      <c r="CE551">
        <v>1.6039296000000001E-2</v>
      </c>
      <c r="CF551">
        <v>2.5200552000000001E-2</v>
      </c>
      <c r="CG551">
        <v>1.9528833999999998E-2</v>
      </c>
      <c r="CH551">
        <v>8.3026579999999992E-3</v>
      </c>
      <c r="CI551">
        <v>2.8146663999999998E-2</v>
      </c>
      <c r="CJ551">
        <v>1.0192E-2</v>
      </c>
      <c r="CK551">
        <v>1.3477464E-2</v>
      </c>
      <c r="CL551">
        <v>3.1293262000000002E-2</v>
      </c>
      <c r="CM551">
        <v>1.2248729999999999E-2</v>
      </c>
      <c r="CN551">
        <v>1.1204544E-2</v>
      </c>
      <c r="CO551">
        <v>4.9597288000000003E-2</v>
      </c>
      <c r="CP551">
        <v>1.680705E-2</v>
      </c>
      <c r="CQ551">
        <v>2.9656223999999998E-2</v>
      </c>
      <c r="CR551">
        <v>2.271724E-2</v>
      </c>
      <c r="CS551">
        <v>2.3540868E-2</v>
      </c>
      <c r="CT551">
        <v>2.1299200000000001E-2</v>
      </c>
      <c r="CU551">
        <v>1.5406248000000001E-2</v>
      </c>
    </row>
    <row r="552" spans="1:99" x14ac:dyDescent="0.25">
      <c r="A552" t="s">
        <v>151</v>
      </c>
      <c r="B552" t="s">
        <v>196</v>
      </c>
      <c r="C552" t="s">
        <v>197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86320</v>
      </c>
      <c r="N552">
        <v>34935.167673722797</v>
      </c>
      <c r="O552">
        <v>36</v>
      </c>
      <c r="P552">
        <v>47</v>
      </c>
      <c r="Q552">
        <v>83</v>
      </c>
      <c r="R552">
        <v>0.10199999999999999</v>
      </c>
      <c r="S552">
        <v>0.114</v>
      </c>
      <c r="T552">
        <v>0.154</v>
      </c>
      <c r="U552">
        <v>0.14299999999999999</v>
      </c>
      <c r="V552">
        <v>0.154</v>
      </c>
      <c r="W552">
        <v>0.19800000000000001</v>
      </c>
      <c r="X552">
        <v>8.1000000000000003E-2</v>
      </c>
      <c r="Y552">
        <v>0.14799999999999999</v>
      </c>
      <c r="Z552">
        <v>0.13100000000000001</v>
      </c>
      <c r="AA552">
        <v>0.105</v>
      </c>
      <c r="AB552">
        <v>0.14000000000000001</v>
      </c>
      <c r="AC552">
        <v>0.08</v>
      </c>
      <c r="AD552">
        <v>9.7000000000000003E-2</v>
      </c>
      <c r="AE552">
        <v>0.14899999999999999</v>
      </c>
      <c r="AF552">
        <v>0.11799999999999999</v>
      </c>
      <c r="AG552">
        <v>0.113</v>
      </c>
      <c r="AH552">
        <v>0.107</v>
      </c>
      <c r="AI552">
        <v>0.158</v>
      </c>
      <c r="AJ552">
        <v>0.14399999999999999</v>
      </c>
      <c r="AK552">
        <v>0.20300000000000001</v>
      </c>
      <c r="BZ552">
        <v>6.0343868815147653E-2</v>
      </c>
      <c r="CA552">
        <v>2108.1231751383157</v>
      </c>
      <c r="CB552">
        <v>2.9431848234424133E-2</v>
      </c>
      <c r="CC552">
        <v>3.84369365105749E-2</v>
      </c>
      <c r="CD552">
        <v>7.9109174585155054E-2</v>
      </c>
      <c r="CE552">
        <v>6.6219151722577044E-2</v>
      </c>
      <c r="CF552">
        <v>7.9109174585155054E-2</v>
      </c>
      <c r="CG552">
        <v>0.14460176027961549</v>
      </c>
      <c r="CH552">
        <v>1.6925486801151468E-2</v>
      </c>
      <c r="CI552">
        <v>7.1912641255667167E-2</v>
      </c>
      <c r="CJ552">
        <v>5.3657228001919549E-2</v>
      </c>
      <c r="CK552">
        <v>3.1552330394801202E-2</v>
      </c>
      <c r="CL552">
        <v>6.2933865666250186E-2</v>
      </c>
      <c r="CM552">
        <v>1.6428317663881982E-2</v>
      </c>
      <c r="CN552">
        <v>2.6087309181848019E-2</v>
      </c>
      <c r="CO552">
        <v>7.3084312737679707E-2</v>
      </c>
      <c r="CP552">
        <v>4.1753601378629192E-2</v>
      </c>
      <c r="CQ552">
        <v>3.7632700791829184E-2</v>
      </c>
      <c r="CR552">
        <v>3.3014003242246778E-2</v>
      </c>
      <c r="CS552">
        <v>8.4130628211740541E-2</v>
      </c>
      <c r="CT552">
        <v>6.7335967442926234E-2</v>
      </c>
      <c r="CU552">
        <v>0.15352093761488028</v>
      </c>
    </row>
    <row r="553" spans="1:99" x14ac:dyDescent="0.25">
      <c r="A553" t="s">
        <v>151</v>
      </c>
      <c r="B553" t="s">
        <v>173</v>
      </c>
      <c r="C553" t="s">
        <v>168</v>
      </c>
      <c r="D553">
        <v>-1</v>
      </c>
      <c r="E553">
        <v>40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10240</v>
      </c>
      <c r="N553">
        <v>4144.3016332127199</v>
      </c>
      <c r="O553">
        <v>-1</v>
      </c>
      <c r="P553">
        <v>-1</v>
      </c>
      <c r="Q553">
        <v>-1</v>
      </c>
      <c r="R553">
        <v>0.36599999999999999</v>
      </c>
      <c r="S553">
        <v>0.505</v>
      </c>
      <c r="T553">
        <v>0.40100000000000002</v>
      </c>
      <c r="U553">
        <v>0.35699999999999998</v>
      </c>
      <c r="V553">
        <v>0.51100000000000001</v>
      </c>
      <c r="W553">
        <v>0.52800000000000002</v>
      </c>
      <c r="X553">
        <v>0.44700000000000001</v>
      </c>
      <c r="Y553">
        <v>0.44700000000000001</v>
      </c>
      <c r="Z553">
        <v>0.42599999999999999</v>
      </c>
      <c r="AA553">
        <v>0.65800000000000003</v>
      </c>
      <c r="AB553">
        <v>0.39900000000000002</v>
      </c>
      <c r="AC553">
        <v>0.435</v>
      </c>
      <c r="AD553">
        <v>0.57099999999999995</v>
      </c>
      <c r="AE553">
        <v>0.52600000000000002</v>
      </c>
      <c r="AF553">
        <v>0.623</v>
      </c>
      <c r="AG553">
        <v>0.92</v>
      </c>
      <c r="AH553">
        <v>0.46500000000000002</v>
      </c>
      <c r="AI553">
        <v>0.70099999999999996</v>
      </c>
      <c r="AJ553">
        <v>0.42299999999999999</v>
      </c>
      <c r="AK553">
        <v>0.53500000000000003</v>
      </c>
      <c r="AL553" t="s">
        <v>169</v>
      </c>
      <c r="AM553" t="s">
        <v>169</v>
      </c>
      <c r="AN553" t="s">
        <v>169</v>
      </c>
      <c r="AO553" t="s">
        <v>169</v>
      </c>
      <c r="AP553" t="s">
        <v>169</v>
      </c>
      <c r="AQ553" t="s">
        <v>169</v>
      </c>
      <c r="AR553" t="s">
        <v>169</v>
      </c>
      <c r="AS553" t="s">
        <v>169</v>
      </c>
      <c r="AT553" t="s">
        <v>169</v>
      </c>
      <c r="AU553" t="s">
        <v>169</v>
      </c>
      <c r="AV553" t="s">
        <v>169</v>
      </c>
      <c r="AW553" t="s">
        <v>169</v>
      </c>
      <c r="AX553" t="s">
        <v>169</v>
      </c>
      <c r="AY553" t="s">
        <v>169</v>
      </c>
      <c r="AZ553" t="s">
        <v>169</v>
      </c>
      <c r="BA553" t="s">
        <v>169</v>
      </c>
      <c r="BB553" t="s">
        <v>169</v>
      </c>
      <c r="BC553" t="s">
        <v>169</v>
      </c>
      <c r="BD553" t="s">
        <v>169</v>
      </c>
      <c r="BE553" t="s">
        <v>169</v>
      </c>
      <c r="BZ553">
        <v>0.55499954058394374</v>
      </c>
      <c r="CA553">
        <v>2300.0855024743473</v>
      </c>
      <c r="CB553">
        <v>9.7263243680032502E-2</v>
      </c>
      <c r="CC553">
        <v>0.34913678714107699</v>
      </c>
      <c r="CD553">
        <v>0.13976936730923001</v>
      </c>
      <c r="CE553">
        <v>8.8109281131908704E-2</v>
      </c>
      <c r="CF553">
        <v>0.36589781284170098</v>
      </c>
      <c r="CG553">
        <v>0.416663552556918</v>
      </c>
      <c r="CH553">
        <v>0.21510460442938301</v>
      </c>
      <c r="CI553">
        <v>0.21510460442938301</v>
      </c>
      <c r="CJ553">
        <v>0.17769898550503899</v>
      </c>
      <c r="CK553">
        <v>0.99835647187642296</v>
      </c>
      <c r="CL553">
        <v>0.137022294542575</v>
      </c>
      <c r="CM553">
        <v>0.19307728802756799</v>
      </c>
      <c r="CN553">
        <v>0.56855723409808501</v>
      </c>
      <c r="CO553">
        <v>0.410432973736859</v>
      </c>
      <c r="CP553">
        <v>0.803611948068639</v>
      </c>
      <c r="CQ553">
        <v>3.7771698509072502</v>
      </c>
      <c r="CR553">
        <v>0.25160372289703198</v>
      </c>
      <c r="CS553">
        <v>1.28359900356054</v>
      </c>
      <c r="CT553">
        <v>0.172782637214144</v>
      </c>
      <c r="CU553">
        <v>0.439029147725087</v>
      </c>
    </row>
    <row r="554" spans="1:99" x14ac:dyDescent="0.25">
      <c r="A554" t="s">
        <v>151</v>
      </c>
      <c r="B554" t="s">
        <v>170</v>
      </c>
      <c r="C554" t="s">
        <v>158</v>
      </c>
      <c r="D554">
        <v>-1</v>
      </c>
      <c r="E554">
        <v>28</v>
      </c>
      <c r="F554">
        <v>-1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7168</v>
      </c>
      <c r="N554">
        <v>2901.0111432489002</v>
      </c>
      <c r="O554">
        <v>-1</v>
      </c>
      <c r="P554">
        <v>-1</v>
      </c>
      <c r="Q554">
        <v>-1</v>
      </c>
      <c r="R554">
        <v>1.0640000000000001</v>
      </c>
      <c r="S554">
        <v>1.329</v>
      </c>
      <c r="T554">
        <v>1.0409999999999999</v>
      </c>
      <c r="U554">
        <v>0.80200000000000005</v>
      </c>
      <c r="V554">
        <v>0.79800000000000004</v>
      </c>
      <c r="W554">
        <v>0.752</v>
      </c>
      <c r="X554">
        <v>0.71099999999999997</v>
      </c>
      <c r="Y554">
        <v>0.66800000000000004</v>
      </c>
      <c r="Z554">
        <v>0.90900000000000003</v>
      </c>
      <c r="AA554">
        <v>0.6</v>
      </c>
      <c r="AB554">
        <v>0.92200000000000004</v>
      </c>
      <c r="AC554">
        <v>0.61</v>
      </c>
      <c r="AD554">
        <v>1.044</v>
      </c>
      <c r="AE554">
        <v>0.878</v>
      </c>
      <c r="AF554">
        <v>0.70299999999999996</v>
      </c>
      <c r="AG554">
        <v>0.747</v>
      </c>
      <c r="AH554">
        <v>0.91300000000000003</v>
      </c>
      <c r="AI554">
        <v>1.0149999999999999</v>
      </c>
      <c r="AJ554">
        <v>0.66200000000000003</v>
      </c>
      <c r="AK554">
        <v>0.65500000000000003</v>
      </c>
      <c r="AL554" t="s">
        <v>159</v>
      </c>
      <c r="AM554" t="s">
        <v>159</v>
      </c>
      <c r="AN554" t="s">
        <v>159</v>
      </c>
      <c r="AO554" t="s">
        <v>159</v>
      </c>
      <c r="AP554" t="s">
        <v>159</v>
      </c>
      <c r="AQ554" t="s">
        <v>159</v>
      </c>
      <c r="AR554" t="s">
        <v>159</v>
      </c>
      <c r="AS554" t="s">
        <v>159</v>
      </c>
      <c r="AT554" t="s">
        <v>159</v>
      </c>
      <c r="AU554" t="s">
        <v>159</v>
      </c>
      <c r="AV554" t="s">
        <v>159</v>
      </c>
      <c r="AW554" t="s">
        <v>159</v>
      </c>
      <c r="AX554" t="s">
        <v>159</v>
      </c>
      <c r="AY554" t="s">
        <v>159</v>
      </c>
      <c r="AZ554" t="s">
        <v>159</v>
      </c>
      <c r="BA554" t="s">
        <v>159</v>
      </c>
      <c r="BB554" t="s">
        <v>159</v>
      </c>
      <c r="BC554" t="s">
        <v>159</v>
      </c>
      <c r="BD554" t="s">
        <v>159</v>
      </c>
      <c r="BE554" t="s">
        <v>159</v>
      </c>
      <c r="BZ554">
        <v>3.4399175692238471</v>
      </c>
      <c r="CA554">
        <v>9979.2392001760509</v>
      </c>
      <c r="CB554">
        <v>5.9249989524011397</v>
      </c>
      <c r="CC554">
        <v>11.142560488314899</v>
      </c>
      <c r="CD554">
        <v>5.5684474598144797</v>
      </c>
      <c r="CE554">
        <v>2.6547844209943698</v>
      </c>
      <c r="CF554">
        <v>2.6173527977339601</v>
      </c>
      <c r="CG554">
        <v>2.2112239100937199</v>
      </c>
      <c r="CH554">
        <v>1.8857482812911399</v>
      </c>
      <c r="CI554">
        <v>1.5795712043194601</v>
      </c>
      <c r="CJ554">
        <v>3.7887459299939299</v>
      </c>
      <c r="CK554">
        <v>1.1644574012292099</v>
      </c>
      <c r="CL554">
        <v>3.9446626707413399</v>
      </c>
      <c r="CM554">
        <v>1.22042413021392</v>
      </c>
      <c r="CN554">
        <v>5.6141430023477499</v>
      </c>
      <c r="CO554">
        <v>3.4331950656455499</v>
      </c>
      <c r="CP554">
        <v>1.82611102099811</v>
      </c>
      <c r="CQ554">
        <v>2.1697243535453898</v>
      </c>
      <c r="CR554">
        <v>3.8362867576989399</v>
      </c>
      <c r="CS554">
        <v>5.1824797579949902</v>
      </c>
      <c r="CT554">
        <v>1.53961007536686</v>
      </c>
      <c r="CU554">
        <v>1.49382370373778</v>
      </c>
    </row>
    <row r="555" spans="1:99" x14ac:dyDescent="0.25">
      <c r="A555" t="s">
        <v>151</v>
      </c>
      <c r="B555" t="s">
        <v>167</v>
      </c>
      <c r="C555" t="s">
        <v>168</v>
      </c>
      <c r="D555">
        <v>-1</v>
      </c>
      <c r="E555">
        <v>23</v>
      </c>
      <c r="F555">
        <v>-1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5888</v>
      </c>
      <c r="N555">
        <v>2382.9734390973099</v>
      </c>
      <c r="O555">
        <v>-1</v>
      </c>
      <c r="P555">
        <v>-1</v>
      </c>
      <c r="Q555">
        <v>-1</v>
      </c>
      <c r="R555">
        <v>0.93200000000000005</v>
      </c>
      <c r="S555">
        <v>0.85699999999999998</v>
      </c>
      <c r="T555">
        <v>0.78800000000000003</v>
      </c>
      <c r="U555">
        <v>0.877</v>
      </c>
      <c r="V555">
        <v>0.76800000000000002</v>
      </c>
      <c r="W555">
        <v>0.48599999999999999</v>
      </c>
      <c r="X555">
        <v>0.93500000000000005</v>
      </c>
      <c r="Y555">
        <v>0.60899999999999999</v>
      </c>
      <c r="Z555">
        <v>0.47199999999999998</v>
      </c>
      <c r="AA555">
        <v>0.83199999999999996</v>
      </c>
      <c r="AB555">
        <v>0.53500000000000003</v>
      </c>
      <c r="AC555">
        <v>0.755</v>
      </c>
      <c r="AD555">
        <v>1.0329999999999999</v>
      </c>
      <c r="AE555">
        <v>0.88900000000000001</v>
      </c>
      <c r="AF555">
        <v>0.82599999999999996</v>
      </c>
      <c r="AG555">
        <v>0.95099999999999996</v>
      </c>
      <c r="AH555">
        <v>0.95799999999999996</v>
      </c>
      <c r="AI555">
        <v>0.60699999999999998</v>
      </c>
      <c r="AJ555">
        <v>0.498</v>
      </c>
      <c r="AK555">
        <v>0.83699999999999997</v>
      </c>
      <c r="AL555" t="s">
        <v>169</v>
      </c>
      <c r="AM555" t="s">
        <v>169</v>
      </c>
      <c r="AN555" t="s">
        <v>169</v>
      </c>
      <c r="AO555" t="s">
        <v>169</v>
      </c>
      <c r="AP555" t="s">
        <v>169</v>
      </c>
      <c r="AQ555" t="s">
        <v>169</v>
      </c>
      <c r="AR555" t="s">
        <v>169</v>
      </c>
      <c r="AS555" t="s">
        <v>169</v>
      </c>
      <c r="AT555" t="s">
        <v>169</v>
      </c>
      <c r="AU555" t="s">
        <v>169</v>
      </c>
      <c r="AV555" t="s">
        <v>169</v>
      </c>
      <c r="AW555" t="s">
        <v>169</v>
      </c>
      <c r="AX555" t="s">
        <v>169</v>
      </c>
      <c r="AY555" t="s">
        <v>169</v>
      </c>
      <c r="AZ555" t="s">
        <v>169</v>
      </c>
      <c r="BA555" t="s">
        <v>169</v>
      </c>
      <c r="BB555" t="s">
        <v>169</v>
      </c>
      <c r="BC555" t="s">
        <v>169</v>
      </c>
      <c r="BD555" t="s">
        <v>169</v>
      </c>
      <c r="BE555" t="s">
        <v>169</v>
      </c>
      <c r="BZ555">
        <v>2.7591166879467552</v>
      </c>
      <c r="CA555">
        <v>6574.9017827472589</v>
      </c>
      <c r="CB555">
        <v>4.0861606690774703</v>
      </c>
      <c r="CC555">
        <v>3.2881267857863699</v>
      </c>
      <c r="CD555">
        <v>2.64564232327883</v>
      </c>
      <c r="CE555">
        <v>3.4905766007422701</v>
      </c>
      <c r="CF555">
        <v>2.4752198894308801</v>
      </c>
      <c r="CG555">
        <v>0.75668680978987102</v>
      </c>
      <c r="CH555">
        <v>4.1203138526757197</v>
      </c>
      <c r="CI555">
        <v>1.35733489457267</v>
      </c>
      <c r="CJ555">
        <v>0.701516681547385</v>
      </c>
      <c r="CK555">
        <v>3.0454231260596401</v>
      </c>
      <c r="CL555">
        <v>0.97043068768626195</v>
      </c>
      <c r="CM555">
        <v>2.3681588530636799</v>
      </c>
      <c r="CN555">
        <v>5.3339391751249003</v>
      </c>
      <c r="CO555">
        <v>3.6156283842893999</v>
      </c>
      <c r="CP555">
        <v>2.9888667161500502</v>
      </c>
      <c r="CQ555">
        <v>4.3054223909393903</v>
      </c>
      <c r="CR555">
        <v>4.3879825795333298</v>
      </c>
      <c r="CS555">
        <v>1.3458198702219399</v>
      </c>
      <c r="CT555">
        <v>0.80603188873574305</v>
      </c>
      <c r="CU555">
        <v>3.0930515802293002</v>
      </c>
    </row>
    <row r="556" spans="1:99" x14ac:dyDescent="0.25">
      <c r="A556" t="s">
        <v>151</v>
      </c>
      <c r="B556" t="s">
        <v>166</v>
      </c>
      <c r="C556" t="s">
        <v>154</v>
      </c>
      <c r="D556">
        <v>-1</v>
      </c>
      <c r="E556">
        <v>2</v>
      </c>
      <c r="F556">
        <v>10</v>
      </c>
      <c r="G556">
        <v>-1</v>
      </c>
      <c r="H556">
        <v>-1</v>
      </c>
      <c r="I556">
        <v>4</v>
      </c>
      <c r="J556">
        <v>12</v>
      </c>
      <c r="K556">
        <v>-1</v>
      </c>
      <c r="L556">
        <v>-1</v>
      </c>
      <c r="M556">
        <v>2389.3333333333298</v>
      </c>
      <c r="N556">
        <v>967.00371441630102</v>
      </c>
      <c r="O556">
        <v>-1</v>
      </c>
      <c r="P556">
        <v>-1</v>
      </c>
      <c r="Q556">
        <v>-1</v>
      </c>
      <c r="R556">
        <v>0.94599999999999995</v>
      </c>
      <c r="S556">
        <v>1.137</v>
      </c>
      <c r="T556">
        <v>0.92900000000000005</v>
      </c>
      <c r="U556">
        <v>0.91600000000000004</v>
      </c>
      <c r="V556">
        <v>0.74199999999999999</v>
      </c>
      <c r="W556">
        <v>0.80900000000000005</v>
      </c>
      <c r="X556">
        <v>0.92300000000000004</v>
      </c>
      <c r="Y556">
        <v>0.86</v>
      </c>
      <c r="Z556">
        <v>0.80300000000000005</v>
      </c>
      <c r="AA556">
        <v>0.86299999999999999</v>
      </c>
      <c r="AB556">
        <v>0.92100000000000004</v>
      </c>
      <c r="AC556">
        <v>0.71199999999999997</v>
      </c>
      <c r="AD556">
        <v>0.81100000000000005</v>
      </c>
      <c r="AE556">
        <v>1.121</v>
      </c>
      <c r="AF556">
        <v>0.74399999999999999</v>
      </c>
      <c r="AG556">
        <v>0.82</v>
      </c>
      <c r="AH556">
        <v>0.875</v>
      </c>
      <c r="AI556">
        <v>0.80600000000000005</v>
      </c>
      <c r="AJ556">
        <v>1.093</v>
      </c>
      <c r="AK556">
        <v>0.89900000000000002</v>
      </c>
      <c r="AL556" t="s">
        <v>156</v>
      </c>
      <c r="AM556" t="s">
        <v>155</v>
      </c>
      <c r="AN556" t="s">
        <v>156</v>
      </c>
      <c r="AO556" t="s">
        <v>155</v>
      </c>
      <c r="AP556" t="s">
        <v>156</v>
      </c>
      <c r="AQ556" t="s">
        <v>156</v>
      </c>
      <c r="AR556" t="s">
        <v>156</v>
      </c>
      <c r="AS556" t="s">
        <v>156</v>
      </c>
      <c r="AT556" t="s">
        <v>156</v>
      </c>
      <c r="AU556" t="s">
        <v>156</v>
      </c>
      <c r="AV556" t="s">
        <v>156</v>
      </c>
      <c r="AW556" t="s">
        <v>156</v>
      </c>
      <c r="AX556" t="s">
        <v>156</v>
      </c>
      <c r="AY556" t="s">
        <v>155</v>
      </c>
      <c r="AZ556" t="s">
        <v>156</v>
      </c>
      <c r="BA556" t="s">
        <v>156</v>
      </c>
      <c r="BB556" t="s">
        <v>156</v>
      </c>
      <c r="BC556" t="s">
        <v>156</v>
      </c>
      <c r="BD556" t="s">
        <v>155</v>
      </c>
      <c r="BE556" t="s">
        <v>156</v>
      </c>
      <c r="BZ556">
        <v>3.6170650670263074</v>
      </c>
      <c r="CA556">
        <v>3497.715355099886</v>
      </c>
      <c r="CB556">
        <v>4.2190692277538302</v>
      </c>
      <c r="CC556">
        <v>8.7558413687216508</v>
      </c>
      <c r="CD556">
        <v>3.9260084003831901</v>
      </c>
      <c r="CE556">
        <v>3.7123923615893499</v>
      </c>
      <c r="CF556">
        <v>1.6085417734779901</v>
      </c>
      <c r="CG556">
        <v>2.2671720075279098</v>
      </c>
      <c r="CH556">
        <v>3.8263050683210098</v>
      </c>
      <c r="CI556">
        <v>2.8899324488583402</v>
      </c>
      <c r="CJ556">
        <v>2.2011495724197698</v>
      </c>
      <c r="CK556">
        <v>2.9301624525319099</v>
      </c>
      <c r="CL556">
        <v>3.7934954879321898</v>
      </c>
      <c r="CM556">
        <v>1.3654456389087599</v>
      </c>
      <c r="CN556">
        <v>2.2895051838095601</v>
      </c>
      <c r="CO556">
        <v>8.2768125953978107</v>
      </c>
      <c r="CP556">
        <v>1.6258234903750901</v>
      </c>
      <c r="CQ556">
        <v>2.39204769020512</v>
      </c>
      <c r="CR556">
        <v>3.09528619285217</v>
      </c>
      <c r="CS556">
        <v>2.2339783292891302</v>
      </c>
      <c r="CT556">
        <v>7.4860182734945502</v>
      </c>
      <c r="CU556">
        <v>3.4463137766768099</v>
      </c>
    </row>
    <row r="557" spans="1:99" x14ac:dyDescent="0.25">
      <c r="A557" t="s">
        <v>151</v>
      </c>
      <c r="B557" t="s">
        <v>198</v>
      </c>
      <c r="C557" t="s">
        <v>199</v>
      </c>
      <c r="D557">
        <v>-1</v>
      </c>
      <c r="E557">
        <v>-1</v>
      </c>
      <c r="F557">
        <v>-1</v>
      </c>
      <c r="G557">
        <v>-1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191360</v>
      </c>
      <c r="N557">
        <v>77446.636770662706</v>
      </c>
      <c r="O557">
        <v>92</v>
      </c>
      <c r="P557">
        <v>92</v>
      </c>
      <c r="Q557">
        <v>184</v>
      </c>
      <c r="R557">
        <v>0.184</v>
      </c>
      <c r="S557">
        <v>9.1999999999999998E-2</v>
      </c>
      <c r="T557">
        <v>8.8999999999999996E-2</v>
      </c>
      <c r="U557">
        <v>0.1</v>
      </c>
      <c r="V557">
        <v>7.6999999999999999E-2</v>
      </c>
      <c r="W557">
        <v>9.7000000000000003E-2</v>
      </c>
      <c r="X557">
        <v>7.9000000000000001E-2</v>
      </c>
      <c r="Y557">
        <v>8.4000000000000005E-2</v>
      </c>
      <c r="Z557">
        <v>7.0999999999999994E-2</v>
      </c>
      <c r="AA557">
        <v>9.5000000000000001E-2</v>
      </c>
      <c r="AB557">
        <v>8.2000000000000003E-2</v>
      </c>
      <c r="AC557">
        <v>6.9000000000000006E-2</v>
      </c>
      <c r="AD557">
        <v>6.2E-2</v>
      </c>
      <c r="AE557">
        <v>8.7999999999999995E-2</v>
      </c>
      <c r="AF557">
        <v>7.8E-2</v>
      </c>
      <c r="AG557">
        <v>8.6999999999999994E-2</v>
      </c>
      <c r="AH557">
        <v>9.7000000000000003E-2</v>
      </c>
      <c r="AI557">
        <v>0.214</v>
      </c>
      <c r="AJ557">
        <v>7.8E-2</v>
      </c>
      <c r="AK557">
        <v>7.5999999999999998E-2</v>
      </c>
      <c r="BZ557">
        <v>0.18255700623495158</v>
      </c>
      <c r="CA557">
        <v>14138.426151817903</v>
      </c>
      <c r="CB557">
        <v>0.62570300453344518</v>
      </c>
      <c r="CC557">
        <v>0.12507028069583967</v>
      </c>
      <c r="CD557">
        <v>0.11867347627390945</v>
      </c>
      <c r="CE557">
        <v>0.14386506690014328</v>
      </c>
      <c r="CF557">
        <v>9.619485028214779E-2</v>
      </c>
      <c r="CG557">
        <v>0.13650699037718286</v>
      </c>
      <c r="CH557">
        <v>9.962128283722127E-2</v>
      </c>
      <c r="CI557">
        <v>0.10873087852656856</v>
      </c>
      <c r="CJ557">
        <v>8.6606582655532005E-2</v>
      </c>
      <c r="CK557">
        <v>0.1318118892652273</v>
      </c>
      <c r="CL557">
        <v>0.10499112521969811</v>
      </c>
      <c r="CM557">
        <v>8.3627785295740331E-2</v>
      </c>
      <c r="CN557">
        <v>7.3985995468487289E-2</v>
      </c>
      <c r="CO557">
        <v>0.11661475677470312</v>
      </c>
      <c r="CP557">
        <v>9.7893076299818055E-2</v>
      </c>
      <c r="CQ557">
        <v>0.11459175145620078</v>
      </c>
      <c r="CR557">
        <v>0.13650699037718286</v>
      </c>
      <c r="CS557">
        <v>1.0577251804709453</v>
      </c>
      <c r="CT557">
        <v>9.7893076299818055E-2</v>
      </c>
      <c r="CU557">
        <v>9.4526084689219525E-2</v>
      </c>
    </row>
    <row r="558" spans="1:99" x14ac:dyDescent="0.25">
      <c r="A558" t="s">
        <v>151</v>
      </c>
      <c r="B558" t="s">
        <v>175</v>
      </c>
      <c r="C558" t="s">
        <v>168</v>
      </c>
      <c r="D558">
        <v>-1</v>
      </c>
      <c r="E558">
        <v>0</v>
      </c>
      <c r="F558">
        <v>-1</v>
      </c>
      <c r="G558">
        <v>-1</v>
      </c>
      <c r="H558">
        <v>-1</v>
      </c>
      <c r="I558">
        <v>3</v>
      </c>
      <c r="J558">
        <v>-1</v>
      </c>
      <c r="K558">
        <v>-1</v>
      </c>
      <c r="L558">
        <v>-1</v>
      </c>
      <c r="M558">
        <v>256</v>
      </c>
      <c r="N558">
        <v>103.607540830318</v>
      </c>
      <c r="O558">
        <v>-1</v>
      </c>
      <c r="P558">
        <v>-1</v>
      </c>
      <c r="Q558">
        <v>-1</v>
      </c>
      <c r="R558">
        <v>1.1379999999999999</v>
      </c>
      <c r="S558">
        <v>0.69</v>
      </c>
      <c r="T558">
        <v>0.65200000000000002</v>
      </c>
      <c r="AL558" t="s">
        <v>169</v>
      </c>
      <c r="AM558" t="s">
        <v>169</v>
      </c>
      <c r="AN558" t="s">
        <v>169</v>
      </c>
      <c r="BZ558">
        <v>3.4497316286305932</v>
      </c>
      <c r="CA558">
        <v>357.41821056698359</v>
      </c>
      <c r="CB558">
        <v>6.85388297594905</v>
      </c>
      <c r="CC558">
        <v>1.87563086693651</v>
      </c>
      <c r="CD558">
        <v>1.6196810430062201</v>
      </c>
    </row>
    <row r="559" spans="1:99" x14ac:dyDescent="0.25">
      <c r="A559" t="s">
        <v>151</v>
      </c>
      <c r="B559" t="s">
        <v>160</v>
      </c>
      <c r="C559" t="s">
        <v>154</v>
      </c>
      <c r="D559">
        <v>-1</v>
      </c>
      <c r="E559">
        <v>0</v>
      </c>
      <c r="F559">
        <v>0</v>
      </c>
      <c r="G559">
        <v>-1</v>
      </c>
      <c r="H559">
        <v>-1</v>
      </c>
      <c r="I559">
        <v>0</v>
      </c>
      <c r="J559">
        <v>0</v>
      </c>
      <c r="K559">
        <v>1</v>
      </c>
      <c r="L559">
        <v>0</v>
      </c>
      <c r="M559">
        <v>36.571428571428598</v>
      </c>
      <c r="N559">
        <v>14.801077261473999</v>
      </c>
      <c r="O559">
        <v>-1</v>
      </c>
      <c r="P559">
        <v>-1</v>
      </c>
      <c r="Q559">
        <v>-1</v>
      </c>
      <c r="R559">
        <v>1.6870000000000001</v>
      </c>
      <c r="AL559" t="s">
        <v>155</v>
      </c>
      <c r="BZ559">
        <v>19.000117649578002</v>
      </c>
      <c r="CA559">
        <v>281.22220930849977</v>
      </c>
      <c r="CB559">
        <v>19.000117649578002</v>
      </c>
    </row>
    <row r="560" spans="1:99" x14ac:dyDescent="0.25">
      <c r="A560" t="s">
        <v>151</v>
      </c>
      <c r="B560" t="s">
        <v>164</v>
      </c>
      <c r="C560" t="s">
        <v>158</v>
      </c>
      <c r="D560">
        <v>-1</v>
      </c>
      <c r="E560">
        <v>2</v>
      </c>
      <c r="F560">
        <v>-1</v>
      </c>
      <c r="G560">
        <v>-1</v>
      </c>
      <c r="H560">
        <v>-1</v>
      </c>
      <c r="I560">
        <v>4</v>
      </c>
      <c r="J560">
        <v>-1</v>
      </c>
      <c r="K560">
        <v>-1</v>
      </c>
      <c r="L560">
        <v>-1</v>
      </c>
      <c r="M560">
        <v>512</v>
      </c>
      <c r="N560">
        <v>207.215081660636</v>
      </c>
      <c r="O560">
        <v>-1</v>
      </c>
      <c r="P560">
        <v>-1</v>
      </c>
      <c r="Q560">
        <v>-1</v>
      </c>
      <c r="R560">
        <v>0.54700000000000004</v>
      </c>
      <c r="S560">
        <v>0.23899999999999999</v>
      </c>
      <c r="T560">
        <v>0.39</v>
      </c>
      <c r="U560">
        <v>0.58899999999999997</v>
      </c>
      <c r="V560">
        <v>0.49399999999999999</v>
      </c>
      <c r="W560">
        <v>0.38900000000000001</v>
      </c>
      <c r="AL560" t="s">
        <v>159</v>
      </c>
      <c r="AM560" t="s">
        <v>159</v>
      </c>
      <c r="AN560" t="s">
        <v>159</v>
      </c>
      <c r="AO560" t="s">
        <v>159</v>
      </c>
      <c r="AP560" t="s">
        <v>159</v>
      </c>
      <c r="AQ560" t="s">
        <v>159</v>
      </c>
      <c r="BZ560">
        <v>2.1538507275073862</v>
      </c>
      <c r="CA560">
        <v>446.31035438526328</v>
      </c>
      <c r="CB560">
        <v>3.2727631048527401</v>
      </c>
      <c r="CC560">
        <v>0.40285923557136699</v>
      </c>
      <c r="CD560">
        <v>1.39059316587882</v>
      </c>
      <c r="CE560">
        <v>3.9463748136674699</v>
      </c>
      <c r="CF560">
        <v>2.5289242195816199</v>
      </c>
      <c r="CG560">
        <v>1.3815898254923</v>
      </c>
    </row>
    <row r="561" spans="1:99" x14ac:dyDescent="0.25">
      <c r="A561" t="s">
        <v>151</v>
      </c>
      <c r="B561" t="s">
        <v>200</v>
      </c>
      <c r="C561" t="s">
        <v>192</v>
      </c>
      <c r="D561">
        <v>-1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5200</v>
      </c>
      <c r="N561">
        <v>2104.5281731158302</v>
      </c>
      <c r="O561">
        <v>5</v>
      </c>
      <c r="P561">
        <v>0</v>
      </c>
      <c r="Q561">
        <v>5</v>
      </c>
      <c r="R561">
        <v>0.109</v>
      </c>
      <c r="S561">
        <v>8.3000000000000004E-2</v>
      </c>
      <c r="T561">
        <v>9.6000000000000002E-2</v>
      </c>
      <c r="U561">
        <v>8.8999999999999996E-2</v>
      </c>
      <c r="V561">
        <v>0.114</v>
      </c>
      <c r="BZ561">
        <v>1.9752260000000001E-2</v>
      </c>
      <c r="CA561">
        <v>41.569187652708891</v>
      </c>
      <c r="CB561">
        <v>2.5900579999999999E-2</v>
      </c>
      <c r="CC561">
        <v>1.143574E-2</v>
      </c>
      <c r="CD561">
        <v>1.7694720000000001E-2</v>
      </c>
      <c r="CE561">
        <v>1.409938E-2</v>
      </c>
      <c r="CF561">
        <v>2.9630879999999998E-2</v>
      </c>
    </row>
    <row r="562" spans="1:99" x14ac:dyDescent="0.25">
      <c r="A562" t="s">
        <v>151</v>
      </c>
      <c r="B562" t="s">
        <v>201</v>
      </c>
      <c r="C562" t="s">
        <v>192</v>
      </c>
      <c r="D562">
        <v>-1</v>
      </c>
      <c r="E562">
        <v>-1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49920</v>
      </c>
      <c r="N562">
        <v>20203.470461911998</v>
      </c>
      <c r="O562">
        <v>22</v>
      </c>
      <c r="P562">
        <v>26</v>
      </c>
      <c r="Q562">
        <v>48</v>
      </c>
      <c r="R562">
        <v>0.159</v>
      </c>
      <c r="S562">
        <v>0.17499999999999999</v>
      </c>
      <c r="T562">
        <v>0.16200000000000001</v>
      </c>
      <c r="U562">
        <v>0.16700000000000001</v>
      </c>
      <c r="V562">
        <v>0.182</v>
      </c>
      <c r="W562">
        <v>0.16400000000000001</v>
      </c>
      <c r="X562">
        <v>0.14000000000000001</v>
      </c>
      <c r="Y562">
        <v>0.17100000000000001</v>
      </c>
      <c r="Z562">
        <v>0.14299999999999999</v>
      </c>
      <c r="AA562">
        <v>0.151</v>
      </c>
      <c r="AB562">
        <v>0.13500000000000001</v>
      </c>
      <c r="AC562">
        <v>0.14499999999999999</v>
      </c>
      <c r="AD562">
        <v>0.16700000000000001</v>
      </c>
      <c r="AE562">
        <v>0.156</v>
      </c>
      <c r="AF562">
        <v>0.18</v>
      </c>
      <c r="AG562">
        <v>0.152</v>
      </c>
      <c r="AH562">
        <v>0.151</v>
      </c>
      <c r="AI562">
        <v>0.14699999999999999</v>
      </c>
      <c r="AJ562">
        <v>0.153</v>
      </c>
      <c r="AK562">
        <v>0.12</v>
      </c>
      <c r="BZ562">
        <v>1.1886867593999997E-2</v>
      </c>
      <c r="CA562">
        <v>240.15597832003789</v>
      </c>
      <c r="CB562">
        <v>1.2239922554999999E-2</v>
      </c>
      <c r="CC562">
        <v>1.6319296875E-2</v>
      </c>
      <c r="CD562">
        <v>1.2945902759999999E-2</v>
      </c>
      <c r="CE562">
        <v>1.4181974835E-2</v>
      </c>
      <c r="CF562">
        <v>1.8356989559999998E-2</v>
      </c>
      <c r="CG562">
        <v>1.343132448E-2</v>
      </c>
      <c r="CH562">
        <v>8.3554800000000002E-3</v>
      </c>
      <c r="CI562">
        <v>1.5225642495E-2</v>
      </c>
      <c r="CJ562">
        <v>8.9042103149999993E-3</v>
      </c>
      <c r="CK562">
        <v>1.0483785795000001E-2</v>
      </c>
      <c r="CL562">
        <v>7.4918418750000004E-3</v>
      </c>
      <c r="CM562">
        <v>9.2830631249999993E-3</v>
      </c>
      <c r="CN562">
        <v>1.4181974835E-2</v>
      </c>
      <c r="CO562">
        <v>1.156008672E-2</v>
      </c>
      <c r="CP562">
        <v>1.775844E-2</v>
      </c>
      <c r="CQ562">
        <v>1.069345536E-2</v>
      </c>
      <c r="CR562">
        <v>1.0483785795000001E-2</v>
      </c>
      <c r="CS562">
        <v>9.6725125350000003E-3</v>
      </c>
      <c r="CT562">
        <v>1.0905901964999999E-2</v>
      </c>
      <c r="CU562">
        <v>5.2617599999999999E-3</v>
      </c>
    </row>
    <row r="563" spans="1:99" x14ac:dyDescent="0.25">
      <c r="A563" t="s">
        <v>151</v>
      </c>
      <c r="B563" t="s">
        <v>202</v>
      </c>
      <c r="C563" t="s">
        <v>192</v>
      </c>
      <c r="D563">
        <v>-1</v>
      </c>
      <c r="E563">
        <v>-1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100880</v>
      </c>
      <c r="N563">
        <v>40827.8465584472</v>
      </c>
      <c r="O563">
        <v>46</v>
      </c>
      <c r="P563">
        <v>51</v>
      </c>
      <c r="Q563">
        <v>97</v>
      </c>
      <c r="R563">
        <v>0.107</v>
      </c>
      <c r="S563">
        <v>0.10199999999999999</v>
      </c>
      <c r="T563">
        <v>0.114</v>
      </c>
      <c r="U563">
        <v>9.9000000000000005E-2</v>
      </c>
      <c r="V563">
        <v>0.09</v>
      </c>
      <c r="W563">
        <v>9.9000000000000005E-2</v>
      </c>
      <c r="X563">
        <v>9.2999999999999999E-2</v>
      </c>
      <c r="Y563">
        <v>9.6000000000000002E-2</v>
      </c>
      <c r="Z563">
        <v>0.13</v>
      </c>
      <c r="AA563">
        <v>9.7000000000000003E-2</v>
      </c>
      <c r="AB563">
        <v>0.104</v>
      </c>
      <c r="AC563">
        <v>8.7999999999999995E-2</v>
      </c>
      <c r="AD563">
        <v>8.6999999999999994E-2</v>
      </c>
      <c r="AE563">
        <v>9.8000000000000004E-2</v>
      </c>
      <c r="AF563">
        <v>0.157</v>
      </c>
      <c r="AG563">
        <v>0.121</v>
      </c>
      <c r="AH563">
        <v>9.0999999999999998E-2</v>
      </c>
      <c r="AI563">
        <v>0.122</v>
      </c>
      <c r="AJ563">
        <v>0.112</v>
      </c>
      <c r="AK563">
        <v>8.3000000000000004E-2</v>
      </c>
      <c r="BZ563">
        <v>2.4829778000000002E-3</v>
      </c>
      <c r="CA563">
        <v>101.37463662643081</v>
      </c>
      <c r="CB563">
        <v>2.4500860000000002E-3</v>
      </c>
      <c r="CC563">
        <v>2.1224159999999998E-3</v>
      </c>
      <c r="CD563">
        <v>2.963088E-3</v>
      </c>
      <c r="CE563">
        <v>1.940598E-3</v>
      </c>
      <c r="CF563">
        <v>1.4580000000000001E-3</v>
      </c>
      <c r="CG563">
        <v>1.940598E-3</v>
      </c>
      <c r="CH563">
        <v>1.608714E-3</v>
      </c>
      <c r="CI563">
        <v>1.769472E-3</v>
      </c>
      <c r="CJ563">
        <v>4.3940000000000003E-3</v>
      </c>
      <c r="CK563">
        <v>1.825346E-3</v>
      </c>
      <c r="CL563">
        <v>2.2497279999999999E-3</v>
      </c>
      <c r="CM563">
        <v>1.362944E-3</v>
      </c>
      <c r="CN563">
        <v>1.3170059999999999E-3</v>
      </c>
      <c r="CO563">
        <v>1.882384E-3</v>
      </c>
      <c r="CP563">
        <v>7.7397860000000002E-3</v>
      </c>
      <c r="CQ563">
        <v>3.5431220000000001E-3</v>
      </c>
      <c r="CR563">
        <v>1.5071419999999999E-3</v>
      </c>
      <c r="CS563">
        <v>3.6316959999999998E-3</v>
      </c>
      <c r="CT563">
        <v>2.8098559999999999E-3</v>
      </c>
      <c r="CU563">
        <v>1.1435740000000001E-3</v>
      </c>
    </row>
    <row r="564" spans="1:99" x14ac:dyDescent="0.25">
      <c r="A564" t="s">
        <v>151</v>
      </c>
      <c r="B564" t="s">
        <v>203</v>
      </c>
      <c r="C564" t="s">
        <v>192</v>
      </c>
      <c r="D564">
        <v>-1</v>
      </c>
      <c r="E564">
        <v>-1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29120</v>
      </c>
      <c r="N564">
        <v>11785.357769448699</v>
      </c>
      <c r="O564">
        <v>10</v>
      </c>
      <c r="P564">
        <v>18</v>
      </c>
      <c r="Q564">
        <v>28</v>
      </c>
      <c r="R564">
        <v>0.10199999999999999</v>
      </c>
      <c r="S564">
        <v>9.7000000000000003E-2</v>
      </c>
      <c r="T564">
        <v>0.11799999999999999</v>
      </c>
      <c r="U564">
        <v>9.2999999999999999E-2</v>
      </c>
      <c r="V564">
        <v>0.115</v>
      </c>
      <c r="W564">
        <v>0.11600000000000001</v>
      </c>
      <c r="X564">
        <v>0.108</v>
      </c>
      <c r="Y564">
        <v>0.107</v>
      </c>
      <c r="Z564">
        <v>0.11799999999999999</v>
      </c>
      <c r="AA564">
        <v>0.104</v>
      </c>
      <c r="AB564">
        <v>9.8000000000000004E-2</v>
      </c>
      <c r="AC564">
        <v>9.0999999999999998E-2</v>
      </c>
      <c r="AD564">
        <v>0.106</v>
      </c>
      <c r="AE564">
        <v>0.127</v>
      </c>
      <c r="AF564">
        <v>0.108</v>
      </c>
      <c r="AG564">
        <v>0.109</v>
      </c>
      <c r="AH564">
        <v>0.106</v>
      </c>
      <c r="AI564">
        <v>0.11</v>
      </c>
      <c r="AJ564">
        <v>0.114</v>
      </c>
      <c r="AK564">
        <v>0.106</v>
      </c>
      <c r="BZ564">
        <v>2.5439171000000002E-3</v>
      </c>
      <c r="CA564">
        <v>29.980973159318406</v>
      </c>
      <c r="CB564">
        <v>2.1224159999999998E-3</v>
      </c>
      <c r="CC564">
        <v>1.825346E-3</v>
      </c>
      <c r="CD564">
        <v>3.286064E-3</v>
      </c>
      <c r="CE564">
        <v>1.608714E-3</v>
      </c>
      <c r="CF564">
        <v>3.0417500000000002E-3</v>
      </c>
      <c r="CG564">
        <v>3.121792E-3</v>
      </c>
      <c r="CH564">
        <v>2.5194240000000001E-3</v>
      </c>
      <c r="CI564">
        <v>2.4500860000000002E-3</v>
      </c>
      <c r="CJ564">
        <v>3.286064E-3</v>
      </c>
      <c r="CK564">
        <v>2.2497279999999999E-3</v>
      </c>
      <c r="CL564">
        <v>1.882384E-3</v>
      </c>
      <c r="CM564">
        <v>1.5071419999999999E-3</v>
      </c>
      <c r="CN564">
        <v>2.3820320000000001E-3</v>
      </c>
      <c r="CO564">
        <v>4.0967659999999999E-3</v>
      </c>
      <c r="CP564">
        <v>2.5194240000000001E-3</v>
      </c>
      <c r="CQ564">
        <v>2.5900580000000001E-3</v>
      </c>
      <c r="CR564">
        <v>2.3820320000000001E-3</v>
      </c>
      <c r="CS564">
        <v>2.6619999999999999E-3</v>
      </c>
      <c r="CT564">
        <v>2.963088E-3</v>
      </c>
      <c r="CU564">
        <v>2.3820320000000001E-3</v>
      </c>
    </row>
    <row r="565" spans="1:99" x14ac:dyDescent="0.25">
      <c r="A565" t="s">
        <v>151</v>
      </c>
      <c r="B565" t="s">
        <v>204</v>
      </c>
      <c r="C565" t="s">
        <v>192</v>
      </c>
      <c r="D565">
        <v>-1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20800</v>
      </c>
      <c r="N565">
        <v>8418.1126924633299</v>
      </c>
      <c r="O565">
        <v>12</v>
      </c>
      <c r="P565">
        <v>8</v>
      </c>
      <c r="Q565">
        <v>20</v>
      </c>
      <c r="R565">
        <v>0.112</v>
      </c>
      <c r="S565">
        <v>0.123</v>
      </c>
      <c r="T565">
        <v>0.126</v>
      </c>
      <c r="U565">
        <v>0.111</v>
      </c>
      <c r="V565">
        <v>0.11899999999999999</v>
      </c>
      <c r="W565">
        <v>0.14099999999999999</v>
      </c>
      <c r="X565">
        <v>0.11799999999999999</v>
      </c>
      <c r="Y565">
        <v>0.14699999999999999</v>
      </c>
      <c r="Z565">
        <v>0.11600000000000001</v>
      </c>
      <c r="AA565">
        <v>0.14099999999999999</v>
      </c>
      <c r="AB565">
        <v>0.15</v>
      </c>
      <c r="AC565">
        <v>0.122</v>
      </c>
      <c r="AD565">
        <v>0.10199999999999999</v>
      </c>
      <c r="AE565">
        <v>0.13900000000000001</v>
      </c>
      <c r="AF565">
        <v>0.13300000000000001</v>
      </c>
      <c r="AG565">
        <v>0.113</v>
      </c>
      <c r="AH565">
        <v>0.11700000000000001</v>
      </c>
      <c r="AI565">
        <v>0.13200000000000001</v>
      </c>
      <c r="AJ565">
        <v>0.13200000000000001</v>
      </c>
      <c r="AK565">
        <v>0.125</v>
      </c>
      <c r="BZ565">
        <v>4.1193736999999998E-3</v>
      </c>
      <c r="CA565">
        <v>34.677352028969629</v>
      </c>
      <c r="CB565">
        <v>2.8098559999999999E-3</v>
      </c>
      <c r="CC565">
        <v>3.721734E-3</v>
      </c>
      <c r="CD565">
        <v>4.0007519999999998E-3</v>
      </c>
      <c r="CE565">
        <v>2.735262E-3</v>
      </c>
      <c r="CF565">
        <v>3.3703180000000002E-3</v>
      </c>
      <c r="CG565">
        <v>5.6064419999999997E-3</v>
      </c>
      <c r="CH565">
        <v>3.286064E-3</v>
      </c>
      <c r="CI565">
        <v>6.3530460000000002E-3</v>
      </c>
      <c r="CJ565">
        <v>3.121792E-3</v>
      </c>
      <c r="CK565">
        <v>5.6064419999999997E-3</v>
      </c>
      <c r="CL565">
        <v>6.7499999999999999E-3</v>
      </c>
      <c r="CM565">
        <v>3.6316959999999998E-3</v>
      </c>
      <c r="CN565">
        <v>2.1224159999999998E-3</v>
      </c>
      <c r="CO565">
        <v>5.3712380000000004E-3</v>
      </c>
      <c r="CP565">
        <v>4.7052739999999997E-3</v>
      </c>
      <c r="CQ565">
        <v>2.8857940000000001E-3</v>
      </c>
      <c r="CR565">
        <v>3.203226E-3</v>
      </c>
      <c r="CS565">
        <v>4.5999359999999998E-3</v>
      </c>
      <c r="CT565">
        <v>4.5999359999999998E-3</v>
      </c>
      <c r="CU565">
        <v>3.90625E-3</v>
      </c>
    </row>
    <row r="566" spans="1:99" x14ac:dyDescent="0.25">
      <c r="A566" t="s">
        <v>151</v>
      </c>
      <c r="B566" t="s">
        <v>205</v>
      </c>
      <c r="C566" t="s">
        <v>192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9360</v>
      </c>
      <c r="N566">
        <v>3788.1507116084999</v>
      </c>
      <c r="O566">
        <v>0</v>
      </c>
      <c r="P566">
        <v>9</v>
      </c>
      <c r="Q566">
        <v>9</v>
      </c>
      <c r="R566">
        <v>0.104</v>
      </c>
      <c r="S566">
        <v>8.7999999999999995E-2</v>
      </c>
      <c r="T566">
        <v>9.4E-2</v>
      </c>
      <c r="U566">
        <v>8.5999999999999993E-2</v>
      </c>
      <c r="V566">
        <v>7.6999999999999999E-2</v>
      </c>
      <c r="W566">
        <v>0.11899999999999999</v>
      </c>
      <c r="X566">
        <v>0.10299999999999999</v>
      </c>
      <c r="Y566">
        <v>0.123</v>
      </c>
      <c r="Z566">
        <v>0.11600000000000001</v>
      </c>
      <c r="BZ566">
        <v>2.2064795555555555E-3</v>
      </c>
      <c r="CA566">
        <v>8.3584770985273842</v>
      </c>
      <c r="CB566">
        <v>2.2497279999999999E-3</v>
      </c>
      <c r="CC566">
        <v>1.362944E-3</v>
      </c>
      <c r="CD566">
        <v>1.661168E-3</v>
      </c>
      <c r="CE566">
        <v>1.2721119999999999E-3</v>
      </c>
      <c r="CF566">
        <v>9.1306600000000003E-4</v>
      </c>
      <c r="CG566">
        <v>3.3703180000000002E-3</v>
      </c>
      <c r="CH566">
        <v>2.1854539999999999E-3</v>
      </c>
      <c r="CI566">
        <v>3.721734E-3</v>
      </c>
      <c r="CJ566">
        <v>3.121792E-3</v>
      </c>
    </row>
    <row r="567" spans="1:99" x14ac:dyDescent="0.25">
      <c r="A567" t="s">
        <v>151</v>
      </c>
      <c r="B567" t="s">
        <v>161</v>
      </c>
      <c r="C567" t="s">
        <v>154</v>
      </c>
      <c r="D567">
        <v>-1</v>
      </c>
      <c r="E567">
        <v>1</v>
      </c>
      <c r="F567">
        <v>6</v>
      </c>
      <c r="G567">
        <v>-1</v>
      </c>
      <c r="H567">
        <v>-1</v>
      </c>
      <c r="I567">
        <v>4</v>
      </c>
      <c r="J567">
        <v>9</v>
      </c>
      <c r="K567">
        <v>-1</v>
      </c>
      <c r="L567">
        <v>-1</v>
      </c>
      <c r="M567">
        <v>1706.6666666666699</v>
      </c>
      <c r="N567">
        <v>690.71693886878597</v>
      </c>
      <c r="O567">
        <v>-1</v>
      </c>
      <c r="P567">
        <v>-1</v>
      </c>
      <c r="Q567">
        <v>-1</v>
      </c>
      <c r="R567">
        <v>0.89600000000000002</v>
      </c>
      <c r="S567">
        <v>1.008</v>
      </c>
      <c r="T567">
        <v>0.88200000000000001</v>
      </c>
      <c r="U567">
        <v>0.88700000000000001</v>
      </c>
      <c r="V567">
        <v>0.96099999999999997</v>
      </c>
      <c r="W567">
        <v>1.0640000000000001</v>
      </c>
      <c r="X567">
        <v>0.95199999999999996</v>
      </c>
      <c r="Y567">
        <v>0.81499999999999995</v>
      </c>
      <c r="Z567">
        <v>0.88300000000000001</v>
      </c>
      <c r="AA567">
        <v>0.95699999999999996</v>
      </c>
      <c r="AB567">
        <v>0.94599999999999995</v>
      </c>
      <c r="AC567">
        <v>0.93300000000000005</v>
      </c>
      <c r="AD567">
        <v>0.93500000000000005</v>
      </c>
      <c r="AE567">
        <v>0.91200000000000003</v>
      </c>
      <c r="AF567">
        <v>1.0609999999999999</v>
      </c>
      <c r="AG567">
        <v>0.94599999999999995</v>
      </c>
      <c r="AH567">
        <v>1.1200000000000001</v>
      </c>
      <c r="AI567">
        <v>1.006</v>
      </c>
      <c r="AJ567">
        <v>1.0189999999999999</v>
      </c>
      <c r="AK567">
        <v>0.94599999999999995</v>
      </c>
      <c r="AL567" t="s">
        <v>156</v>
      </c>
      <c r="AM567" t="s">
        <v>156</v>
      </c>
      <c r="AN567" t="s">
        <v>156</v>
      </c>
      <c r="AO567" t="s">
        <v>156</v>
      </c>
      <c r="AP567" t="s">
        <v>156</v>
      </c>
      <c r="AQ567" t="s">
        <v>155</v>
      </c>
      <c r="AR567" t="s">
        <v>156</v>
      </c>
      <c r="AS567" t="s">
        <v>156</v>
      </c>
      <c r="AT567" t="s">
        <v>156</v>
      </c>
      <c r="AU567" t="s">
        <v>156</v>
      </c>
      <c r="AV567" t="s">
        <v>156</v>
      </c>
      <c r="AW567" t="s">
        <v>156</v>
      </c>
      <c r="AX567" t="s">
        <v>156</v>
      </c>
      <c r="AY567" t="s">
        <v>156</v>
      </c>
      <c r="AZ567" t="s">
        <v>155</v>
      </c>
      <c r="BA567" t="s">
        <v>156</v>
      </c>
      <c r="BB567" t="s">
        <v>155</v>
      </c>
      <c r="BC567" t="s">
        <v>155</v>
      </c>
      <c r="BD567" t="s">
        <v>155</v>
      </c>
      <c r="BE567" t="s">
        <v>156</v>
      </c>
      <c r="BZ567">
        <v>4.419593400950224</v>
      </c>
      <c r="CA567">
        <v>3052.6880249490259</v>
      </c>
      <c r="CB567">
        <v>3.6898267179378199</v>
      </c>
      <c r="CC567">
        <v>5.0060018341075603</v>
      </c>
      <c r="CD567">
        <v>3.5423532015269599</v>
      </c>
      <c r="CE567">
        <v>3.59459860631015</v>
      </c>
      <c r="CF567">
        <v>4.4236606145742297</v>
      </c>
      <c r="CG567">
        <v>5.7584691250474904</v>
      </c>
      <c r="CH567">
        <v>4.3171577934322798</v>
      </c>
      <c r="CI567">
        <v>2.8868647184920002</v>
      </c>
      <c r="CJ567">
        <v>3.5527647279936199</v>
      </c>
      <c r="CK567">
        <v>4.3761292959926203</v>
      </c>
      <c r="CL567">
        <v>4.2470391997764096</v>
      </c>
      <c r="CM567">
        <v>4.0975256749951097</v>
      </c>
      <c r="CN567">
        <v>4.1203138526757197</v>
      </c>
      <c r="CO567">
        <v>3.86291238060014</v>
      </c>
      <c r="CP567">
        <v>5.7165113555332301</v>
      </c>
      <c r="CQ567">
        <v>4.2470391997764096</v>
      </c>
      <c r="CR567">
        <v>6.5766223636186298</v>
      </c>
      <c r="CS567">
        <v>4.98031710964508</v>
      </c>
      <c r="CT567">
        <v>5.1487210471926002</v>
      </c>
      <c r="CU567">
        <v>4.2470391997764096</v>
      </c>
    </row>
    <row r="568" spans="1:99" x14ac:dyDescent="0.25">
      <c r="A568" t="s">
        <v>151</v>
      </c>
      <c r="B568" t="s">
        <v>165</v>
      </c>
      <c r="C568" t="s">
        <v>158</v>
      </c>
      <c r="D568">
        <v>-1</v>
      </c>
      <c r="E568">
        <v>0</v>
      </c>
      <c r="F568">
        <v>-1</v>
      </c>
      <c r="G568">
        <v>-1</v>
      </c>
      <c r="H568">
        <v>-1</v>
      </c>
      <c r="I568">
        <v>1</v>
      </c>
      <c r="J568">
        <v>-1</v>
      </c>
      <c r="K568">
        <v>2</v>
      </c>
      <c r="L568">
        <v>-1</v>
      </c>
      <c r="M568">
        <v>109.71428571428601</v>
      </c>
      <c r="N568">
        <v>44.403231784421997</v>
      </c>
      <c r="O568">
        <v>-1</v>
      </c>
      <c r="P568">
        <v>-1</v>
      </c>
      <c r="Q568">
        <v>-1</v>
      </c>
      <c r="R568">
        <v>1.36</v>
      </c>
      <c r="S568">
        <v>2.39</v>
      </c>
      <c r="T568">
        <v>1.248</v>
      </c>
      <c r="AL568" t="s">
        <v>159</v>
      </c>
      <c r="AM568" t="s">
        <v>159</v>
      </c>
      <c r="AN568" t="s">
        <v>159</v>
      </c>
      <c r="BZ568">
        <v>2.0981256535768784</v>
      </c>
      <c r="CA568">
        <v>93.16355970861602</v>
      </c>
      <c r="CB568">
        <v>0.998984664129691</v>
      </c>
      <c r="CC568">
        <v>4.5012416775924704</v>
      </c>
      <c r="CD568">
        <v>0.79415061900847395</v>
      </c>
    </row>
    <row r="569" spans="1:99" x14ac:dyDescent="0.25">
      <c r="A569" t="s">
        <v>151</v>
      </c>
      <c r="B569" t="s">
        <v>206</v>
      </c>
      <c r="C569" t="s">
        <v>192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2080</v>
      </c>
      <c r="N569">
        <v>841.81126924633304</v>
      </c>
      <c r="O569">
        <v>0</v>
      </c>
      <c r="P569">
        <v>2</v>
      </c>
      <c r="Q569">
        <v>2</v>
      </c>
      <c r="R569">
        <v>0.13700000000000001</v>
      </c>
      <c r="S569">
        <v>0.13600000000000001</v>
      </c>
      <c r="BZ569">
        <v>2.5434044999999999E-2</v>
      </c>
      <c r="CA569">
        <v>21.410665703518351</v>
      </c>
      <c r="CB569">
        <v>2.5713529999999998E-2</v>
      </c>
      <c r="CC569">
        <v>2.5154559999999999E-2</v>
      </c>
    </row>
    <row r="570" spans="1:99" x14ac:dyDescent="0.25">
      <c r="A570" t="s">
        <v>151</v>
      </c>
      <c r="B570" t="s">
        <v>207</v>
      </c>
      <c r="C570" t="s">
        <v>192</v>
      </c>
      <c r="D570">
        <v>-1</v>
      </c>
      <c r="E570">
        <v>-1</v>
      </c>
      <c r="F570">
        <v>-1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19760</v>
      </c>
      <c r="N570">
        <v>7997.2070578401699</v>
      </c>
      <c r="O570">
        <v>10</v>
      </c>
      <c r="P570">
        <v>9</v>
      </c>
      <c r="Q570">
        <v>19</v>
      </c>
      <c r="R570">
        <v>0.114</v>
      </c>
      <c r="S570">
        <v>0.13100000000000001</v>
      </c>
      <c r="T570">
        <v>0.108</v>
      </c>
      <c r="U570">
        <v>0.126</v>
      </c>
      <c r="V570">
        <v>0.13700000000000001</v>
      </c>
      <c r="W570">
        <v>0.14000000000000001</v>
      </c>
      <c r="X570">
        <v>0.13900000000000001</v>
      </c>
      <c r="Y570">
        <v>0.13500000000000001</v>
      </c>
      <c r="Z570">
        <v>0.13300000000000001</v>
      </c>
      <c r="AA570">
        <v>0.14799999999999999</v>
      </c>
      <c r="AB570">
        <v>0.14199999999999999</v>
      </c>
      <c r="AC570">
        <v>0.13800000000000001</v>
      </c>
      <c r="AD570">
        <v>0.13500000000000001</v>
      </c>
      <c r="AE570">
        <v>0.154</v>
      </c>
      <c r="AF570">
        <v>0.14099999999999999</v>
      </c>
      <c r="AG570">
        <v>0.122</v>
      </c>
      <c r="AH570">
        <v>0.154</v>
      </c>
      <c r="AI570">
        <v>0.111</v>
      </c>
      <c r="AJ570">
        <v>0.14699999999999999</v>
      </c>
      <c r="BZ570">
        <v>2.4981571052631574E-2</v>
      </c>
      <c r="CA570">
        <v>199.7827963380409</v>
      </c>
      <c r="CB570">
        <v>1.4815439999999999E-2</v>
      </c>
      <c r="CC570">
        <v>2.248091E-2</v>
      </c>
      <c r="CD570">
        <v>1.259712E-2</v>
      </c>
      <c r="CE570">
        <v>2.0003759999999999E-2</v>
      </c>
      <c r="CF570">
        <v>2.5713529999999998E-2</v>
      </c>
      <c r="CG570">
        <v>2.7439999999999999E-2</v>
      </c>
      <c r="CH570">
        <v>2.6856189999999999E-2</v>
      </c>
      <c r="CI570">
        <v>2.4603750000000001E-2</v>
      </c>
      <c r="CJ570">
        <v>2.3526370000000001E-2</v>
      </c>
      <c r="CK570">
        <v>3.2417920000000003E-2</v>
      </c>
      <c r="CL570">
        <v>2.8632879999999999E-2</v>
      </c>
      <c r="CM570">
        <v>2.628072E-2</v>
      </c>
      <c r="CN570">
        <v>2.4603750000000001E-2</v>
      </c>
      <c r="CO570">
        <v>3.6522640000000002E-2</v>
      </c>
      <c r="CP570">
        <v>2.8032209999999998E-2</v>
      </c>
      <c r="CQ570">
        <v>1.8158480000000001E-2</v>
      </c>
      <c r="CR570">
        <v>3.6522640000000002E-2</v>
      </c>
      <c r="CS570">
        <v>1.3676310000000001E-2</v>
      </c>
      <c r="CT570">
        <v>3.1765229999999998E-2</v>
      </c>
    </row>
    <row r="571" spans="1:99" x14ac:dyDescent="0.25">
      <c r="A571" t="s">
        <v>151</v>
      </c>
      <c r="B571" t="s">
        <v>208</v>
      </c>
      <c r="C571" t="s">
        <v>192</v>
      </c>
      <c r="D571">
        <v>-1</v>
      </c>
      <c r="E571">
        <v>-1</v>
      </c>
      <c r="F571">
        <v>-1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3120</v>
      </c>
      <c r="N571">
        <v>1262.7169038694999</v>
      </c>
      <c r="O571">
        <v>2</v>
      </c>
      <c r="P571">
        <v>1</v>
      </c>
      <c r="Q571">
        <v>3</v>
      </c>
      <c r="R571">
        <v>0.09</v>
      </c>
      <c r="S571">
        <v>6.4000000000000001E-2</v>
      </c>
      <c r="T571">
        <v>9.4E-2</v>
      </c>
      <c r="BZ571">
        <v>1.8703074133333334E-2</v>
      </c>
      <c r="CA571">
        <v>23.616687862484397</v>
      </c>
      <c r="CB571">
        <v>2.24532E-2</v>
      </c>
      <c r="CC571">
        <v>8.0740351999999994E-3</v>
      </c>
      <c r="CD571">
        <v>2.55819872E-2</v>
      </c>
    </row>
    <row r="572" spans="1:99" x14ac:dyDescent="0.25">
      <c r="A572" t="s">
        <v>151</v>
      </c>
      <c r="B572" t="s">
        <v>209</v>
      </c>
      <c r="C572" t="s">
        <v>192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8320</v>
      </c>
      <c r="N572">
        <v>3367.2450769853299</v>
      </c>
      <c r="O572">
        <v>8</v>
      </c>
      <c r="P572">
        <v>0</v>
      </c>
      <c r="Q572">
        <v>8</v>
      </c>
      <c r="R572">
        <v>9.2999999999999999E-2</v>
      </c>
      <c r="S572">
        <v>8.5000000000000006E-2</v>
      </c>
      <c r="T572">
        <v>0.09</v>
      </c>
      <c r="U572">
        <v>8.7999999999999995E-2</v>
      </c>
      <c r="V572">
        <v>9.5000000000000001E-2</v>
      </c>
      <c r="W572">
        <v>8.5999999999999993E-2</v>
      </c>
      <c r="X572">
        <v>0.09</v>
      </c>
      <c r="Y572">
        <v>0.105</v>
      </c>
      <c r="BZ572">
        <v>2.39046885E-2</v>
      </c>
      <c r="CA572">
        <v>80.492944668492825</v>
      </c>
      <c r="CB572">
        <v>2.47741956E-2</v>
      </c>
      <c r="CC572">
        <v>1.8915049999999999E-2</v>
      </c>
      <c r="CD572">
        <v>2.24532E-2</v>
      </c>
      <c r="CE572">
        <v>2.0989337600000001E-2</v>
      </c>
      <c r="CF572">
        <v>2.6407150000000001E-2</v>
      </c>
      <c r="CG572">
        <v>1.9590524799999998E-2</v>
      </c>
      <c r="CH572">
        <v>2.24532E-2</v>
      </c>
      <c r="CI572">
        <v>3.5654850000000002E-2</v>
      </c>
    </row>
    <row r="573" spans="1:99" x14ac:dyDescent="0.25">
      <c r="A573" t="s">
        <v>151</v>
      </c>
      <c r="B573" t="s">
        <v>153</v>
      </c>
      <c r="C573" t="s">
        <v>154</v>
      </c>
      <c r="D573">
        <v>-1</v>
      </c>
      <c r="E573">
        <v>0</v>
      </c>
      <c r="F573">
        <v>0</v>
      </c>
      <c r="G573">
        <v>-1</v>
      </c>
      <c r="H573">
        <v>-1</v>
      </c>
      <c r="I573">
        <v>1</v>
      </c>
      <c r="J573">
        <v>1</v>
      </c>
      <c r="K573">
        <v>-1</v>
      </c>
      <c r="L573">
        <v>-1</v>
      </c>
      <c r="M573">
        <v>170.666666666667</v>
      </c>
      <c r="N573">
        <v>69.071693886878606</v>
      </c>
      <c r="O573">
        <v>-1</v>
      </c>
      <c r="P573">
        <v>-1</v>
      </c>
      <c r="Q573">
        <v>-1</v>
      </c>
      <c r="R573">
        <v>1.1100000000000001</v>
      </c>
      <c r="S573">
        <v>1.0169999999999999</v>
      </c>
      <c r="AL573" t="s">
        <v>156</v>
      </c>
      <c r="AM573" t="s">
        <v>155</v>
      </c>
      <c r="BZ573">
        <v>5.7741021930152252</v>
      </c>
      <c r="CA573">
        <v>398.82701914750209</v>
      </c>
      <c r="CB573">
        <v>6.4256156017267401</v>
      </c>
      <c r="CC573">
        <v>5.1225887843037103</v>
      </c>
    </row>
    <row r="574" spans="1:99" x14ac:dyDescent="0.25">
      <c r="A574" t="s">
        <v>151</v>
      </c>
      <c r="B574" t="s">
        <v>210</v>
      </c>
      <c r="C574" t="s">
        <v>192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19760</v>
      </c>
      <c r="N574">
        <v>7997.2070578401699</v>
      </c>
      <c r="O574">
        <v>11</v>
      </c>
      <c r="P574">
        <v>8</v>
      </c>
      <c r="Q574">
        <v>19</v>
      </c>
      <c r="R574">
        <v>0.152</v>
      </c>
      <c r="S574">
        <v>0.11799999999999999</v>
      </c>
      <c r="T574">
        <v>8.4000000000000005E-2</v>
      </c>
      <c r="U574">
        <v>0.107</v>
      </c>
      <c r="V574">
        <v>0.115</v>
      </c>
      <c r="W574">
        <v>0.108</v>
      </c>
      <c r="X574">
        <v>0.11700000000000001</v>
      </c>
      <c r="Y574">
        <v>0.104</v>
      </c>
      <c r="Z574">
        <v>8.5000000000000006E-2</v>
      </c>
      <c r="AA574">
        <v>9.8000000000000004E-2</v>
      </c>
      <c r="AB574">
        <v>0.106</v>
      </c>
      <c r="AC574">
        <v>0.121</v>
      </c>
      <c r="AD574">
        <v>8.6999999999999994E-2</v>
      </c>
      <c r="AE574">
        <v>0.191</v>
      </c>
      <c r="AF574">
        <v>9.6000000000000002E-2</v>
      </c>
      <c r="AG574">
        <v>0.09</v>
      </c>
      <c r="AH574">
        <v>0.10199999999999999</v>
      </c>
      <c r="AI574">
        <v>0.17799999999999999</v>
      </c>
      <c r="AJ574">
        <v>9.1999999999999998E-2</v>
      </c>
      <c r="BZ574">
        <v>1.7745948947368424E-2</v>
      </c>
      <c r="CA574">
        <v>141.91802816996611</v>
      </c>
      <c r="CB574">
        <v>3.5118080000000003E-2</v>
      </c>
      <c r="CC574">
        <v>1.6430320000000002E-2</v>
      </c>
      <c r="CD574">
        <v>5.9270399999999997E-3</v>
      </c>
      <c r="CE574">
        <v>1.225043E-2</v>
      </c>
      <c r="CF574">
        <v>1.520875E-2</v>
      </c>
      <c r="CG574">
        <v>1.259712E-2</v>
      </c>
      <c r="CH574">
        <v>1.601613E-2</v>
      </c>
      <c r="CI574">
        <v>1.1248640000000001E-2</v>
      </c>
      <c r="CJ574">
        <v>6.14125E-3</v>
      </c>
      <c r="CK574">
        <v>9.4119200000000007E-3</v>
      </c>
      <c r="CL574">
        <v>1.1910159999999999E-2</v>
      </c>
      <c r="CM574">
        <v>1.771561E-2</v>
      </c>
      <c r="CN574">
        <v>6.5850300000000004E-3</v>
      </c>
      <c r="CO574">
        <v>6.9678710000000005E-2</v>
      </c>
      <c r="CP574">
        <v>8.8473600000000003E-3</v>
      </c>
      <c r="CQ574">
        <v>7.2899999999999996E-3</v>
      </c>
      <c r="CR574">
        <v>1.0612079999999999E-2</v>
      </c>
      <c r="CS574">
        <v>5.639752E-2</v>
      </c>
      <c r="CT574">
        <v>7.7868800000000004E-3</v>
      </c>
    </row>
    <row r="575" spans="1:99" x14ac:dyDescent="0.25">
      <c r="A575" t="s">
        <v>151</v>
      </c>
      <c r="B575" t="s">
        <v>211</v>
      </c>
      <c r="C575" t="s">
        <v>192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1040</v>
      </c>
      <c r="N575">
        <v>420.90563462316697</v>
      </c>
      <c r="O575">
        <v>0</v>
      </c>
      <c r="P575">
        <v>1</v>
      </c>
      <c r="Q575">
        <v>1</v>
      </c>
      <c r="R575">
        <v>0.151</v>
      </c>
      <c r="BF575">
        <v>5.2068965517241397E-2</v>
      </c>
      <c r="BZ575">
        <v>2.1415892117954801E-2</v>
      </c>
      <c r="CA575">
        <v>9.0140696629290442</v>
      </c>
      <c r="CB575">
        <v>2.1415892117954801E-2</v>
      </c>
    </row>
    <row r="576" spans="1:99" x14ac:dyDescent="0.25">
      <c r="A576" t="s">
        <v>152</v>
      </c>
      <c r="B576" t="s">
        <v>191</v>
      </c>
      <c r="C576" t="s">
        <v>192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1344</v>
      </c>
      <c r="N576">
        <v>714.42811736726696</v>
      </c>
      <c r="O576">
        <v>3</v>
      </c>
      <c r="P576">
        <v>5</v>
      </c>
      <c r="Q576">
        <v>8</v>
      </c>
      <c r="R576">
        <v>9.6000000000000002E-2</v>
      </c>
      <c r="S576">
        <v>9.7000000000000003E-2</v>
      </c>
      <c r="T576">
        <v>9.9000000000000005E-2</v>
      </c>
      <c r="U576">
        <v>9.5000000000000001E-2</v>
      </c>
      <c r="V576">
        <v>9.5000000000000001E-2</v>
      </c>
      <c r="W576">
        <v>0.10299999999999999</v>
      </c>
      <c r="X576">
        <v>0.105</v>
      </c>
      <c r="Y576">
        <v>9.5000000000000001E-2</v>
      </c>
      <c r="BZ576">
        <v>1.1385277499999999E-2</v>
      </c>
      <c r="CA576">
        <v>8.1339623700289039</v>
      </c>
      <c r="CB576">
        <v>1.0616832E-2</v>
      </c>
      <c r="CC576">
        <v>1.0952076E-2</v>
      </c>
      <c r="CD576">
        <v>1.1643588E-2</v>
      </c>
      <c r="CE576">
        <v>1.0288500000000001E-2</v>
      </c>
      <c r="CF576">
        <v>1.0288500000000001E-2</v>
      </c>
      <c r="CG576">
        <v>1.3112723999999999E-2</v>
      </c>
      <c r="CH576">
        <v>1.3891499999999999E-2</v>
      </c>
      <c r="CI576">
        <v>1.0288500000000001E-2</v>
      </c>
    </row>
    <row r="577" spans="1:99" x14ac:dyDescent="0.25">
      <c r="A577" t="s">
        <v>152</v>
      </c>
      <c r="B577" t="s">
        <v>193</v>
      </c>
      <c r="C577" t="s">
        <v>192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504</v>
      </c>
      <c r="N577">
        <v>267.91054401272498</v>
      </c>
      <c r="O577">
        <v>2</v>
      </c>
      <c r="P577">
        <v>1</v>
      </c>
      <c r="Q577">
        <v>3</v>
      </c>
      <c r="R577">
        <v>0.71</v>
      </c>
      <c r="S577">
        <v>0.64100000000000001</v>
      </c>
      <c r="T577">
        <v>0.54900000000000004</v>
      </c>
      <c r="BZ577">
        <v>2.3523970613</v>
      </c>
      <c r="CA577">
        <v>630.23197642681862</v>
      </c>
      <c r="CB577">
        <v>3.2104616699999999</v>
      </c>
      <c r="CC577">
        <v>2.3624712473699998</v>
      </c>
      <c r="CD577">
        <v>1.4842582665299999</v>
      </c>
    </row>
    <row r="578" spans="1:99" x14ac:dyDescent="0.25">
      <c r="A578" t="s">
        <v>152</v>
      </c>
      <c r="B578" t="s">
        <v>172</v>
      </c>
      <c r="C578" t="s">
        <v>158</v>
      </c>
      <c r="D578">
        <v>-1</v>
      </c>
      <c r="E578">
        <v>94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3008</v>
      </c>
      <c r="N578">
        <v>1598.9581674410299</v>
      </c>
      <c r="O578">
        <v>-1</v>
      </c>
      <c r="P578">
        <v>-1</v>
      </c>
      <c r="Q578">
        <v>-1</v>
      </c>
      <c r="R578">
        <v>0.38400000000000001</v>
      </c>
      <c r="S578">
        <v>0.38</v>
      </c>
      <c r="T578">
        <v>0.36499999999999999</v>
      </c>
      <c r="U578">
        <v>0.34699999999999998</v>
      </c>
      <c r="V578">
        <v>0.27700000000000002</v>
      </c>
      <c r="W578">
        <v>0.40600000000000003</v>
      </c>
      <c r="X578">
        <v>0.25700000000000001</v>
      </c>
      <c r="Y578">
        <v>0.43099999999999999</v>
      </c>
      <c r="Z578">
        <v>0.38900000000000001</v>
      </c>
      <c r="AA578">
        <v>0.33600000000000002</v>
      </c>
      <c r="AB578">
        <v>0.33500000000000002</v>
      </c>
      <c r="AC578">
        <v>0.216</v>
      </c>
      <c r="AD578">
        <v>0.26300000000000001</v>
      </c>
      <c r="AE578">
        <v>0.27600000000000002</v>
      </c>
      <c r="AF578">
        <v>0.42399999999999999</v>
      </c>
      <c r="AG578">
        <v>0.30099999999999999</v>
      </c>
      <c r="AH578">
        <v>0.23</v>
      </c>
      <c r="AI578">
        <v>0.27600000000000002</v>
      </c>
      <c r="AJ578">
        <v>0.29599999999999999</v>
      </c>
      <c r="AK578">
        <v>0.23799999999999999</v>
      </c>
      <c r="AL578" t="s">
        <v>159</v>
      </c>
      <c r="AM578" t="s">
        <v>159</v>
      </c>
      <c r="AN578" t="s">
        <v>159</v>
      </c>
      <c r="AO578" t="s">
        <v>159</v>
      </c>
      <c r="AP578" t="s">
        <v>159</v>
      </c>
      <c r="AQ578" t="s">
        <v>159</v>
      </c>
      <c r="AR578" t="s">
        <v>159</v>
      </c>
      <c r="AS578" t="s">
        <v>159</v>
      </c>
      <c r="AT578" t="s">
        <v>159</v>
      </c>
      <c r="AU578" t="s">
        <v>159</v>
      </c>
      <c r="AV578" t="s">
        <v>159</v>
      </c>
      <c r="AW578" t="s">
        <v>159</v>
      </c>
      <c r="AX578" t="s">
        <v>159</v>
      </c>
      <c r="AY578" t="s">
        <v>159</v>
      </c>
      <c r="AZ578" t="s">
        <v>159</v>
      </c>
      <c r="BA578" t="s">
        <v>159</v>
      </c>
      <c r="BB578" t="s">
        <v>159</v>
      </c>
      <c r="BC578" t="s">
        <v>159</v>
      </c>
      <c r="BD578" t="s">
        <v>159</v>
      </c>
      <c r="BE578" t="s">
        <v>159</v>
      </c>
      <c r="BZ578">
        <v>0.92063424082422285</v>
      </c>
      <c r="CA578">
        <v>1472.0556385917632</v>
      </c>
      <c r="CB578">
        <v>1.33710228989757</v>
      </c>
      <c r="CC578">
        <v>1.3021443604449601</v>
      </c>
      <c r="CD578">
        <v>1.17600070473287</v>
      </c>
      <c r="CE578">
        <v>1.03476136761283</v>
      </c>
      <c r="CF578">
        <v>0.58516784102181196</v>
      </c>
      <c r="CG578">
        <v>1.5394922249059899</v>
      </c>
      <c r="CH578">
        <v>0.48410262431156198</v>
      </c>
      <c r="CI578">
        <v>1.7907465718366999</v>
      </c>
      <c r="CJ578">
        <v>1.3815898254923</v>
      </c>
      <c r="CK578">
        <v>0.95377296206094597</v>
      </c>
      <c r="CL578">
        <v>0.94660762129906295</v>
      </c>
      <c r="CM578">
        <v>0.31187073610299199</v>
      </c>
      <c r="CN578">
        <v>0.51320949009263905</v>
      </c>
      <c r="CO578">
        <v>0.57983791838228904</v>
      </c>
      <c r="CP578">
        <v>1.7180755289774701</v>
      </c>
      <c r="CQ578">
        <v>0.72207094293031304</v>
      </c>
      <c r="CR578">
        <v>0.36557632273868002</v>
      </c>
      <c r="CS578">
        <v>0.57983791838228904</v>
      </c>
      <c r="CT578">
        <v>0.69210926641548298</v>
      </c>
      <c r="CU578">
        <v>0.39860829884570198</v>
      </c>
    </row>
    <row r="579" spans="1:99" x14ac:dyDescent="0.25">
      <c r="A579" t="s">
        <v>152</v>
      </c>
      <c r="B579" t="s">
        <v>157</v>
      </c>
      <c r="C579" t="s">
        <v>158</v>
      </c>
      <c r="D579">
        <v>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1</v>
      </c>
      <c r="N579">
        <v>0.53156853970778795</v>
      </c>
      <c r="O579">
        <v>-1</v>
      </c>
      <c r="P579">
        <v>-1</v>
      </c>
      <c r="Q579">
        <v>-1</v>
      </c>
      <c r="R579">
        <v>1.972</v>
      </c>
      <c r="AL579" t="s">
        <v>159</v>
      </c>
      <c r="BZ579">
        <v>70.050110863607202</v>
      </c>
      <c r="CA579">
        <v>37.236435138136329</v>
      </c>
      <c r="CB579">
        <v>70.050110863607202</v>
      </c>
    </row>
    <row r="580" spans="1:99" x14ac:dyDescent="0.25">
      <c r="A580" t="s">
        <v>152</v>
      </c>
      <c r="B580" t="s">
        <v>171</v>
      </c>
      <c r="C580" t="s">
        <v>158</v>
      </c>
      <c r="D580">
        <v>165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165</v>
      </c>
      <c r="N580">
        <v>87.708809051784996</v>
      </c>
      <c r="O580">
        <v>-1</v>
      </c>
      <c r="P580">
        <v>-1</v>
      </c>
      <c r="Q580">
        <v>-1</v>
      </c>
      <c r="R580">
        <v>0.97</v>
      </c>
      <c r="S580">
        <v>1.2529999999999999</v>
      </c>
      <c r="T580">
        <v>1.2270000000000001</v>
      </c>
      <c r="U580">
        <v>0.97399999999999998</v>
      </c>
      <c r="V580">
        <v>1.379</v>
      </c>
      <c r="W580">
        <v>1.466</v>
      </c>
      <c r="X580">
        <v>0.499</v>
      </c>
      <c r="Y580">
        <v>0.93899999999999995</v>
      </c>
      <c r="Z580">
        <v>0.98399999999999999</v>
      </c>
      <c r="AA580">
        <v>0.72899999999999998</v>
      </c>
      <c r="AB580">
        <v>1.264</v>
      </c>
      <c r="AC580">
        <v>1.3520000000000001</v>
      </c>
      <c r="AD580">
        <v>1.274</v>
      </c>
      <c r="AE580">
        <v>1.1519999999999999</v>
      </c>
      <c r="AF580">
        <v>1.319</v>
      </c>
      <c r="AG580">
        <v>0.98799999999999999</v>
      </c>
      <c r="AH580">
        <v>1.2330000000000001</v>
      </c>
      <c r="AI580">
        <v>1.177</v>
      </c>
      <c r="AJ580">
        <v>0.80500000000000005</v>
      </c>
      <c r="AK580">
        <v>1.139</v>
      </c>
      <c r="AL580" t="s">
        <v>159</v>
      </c>
      <c r="AM580" t="s">
        <v>159</v>
      </c>
      <c r="AN580" t="s">
        <v>159</v>
      </c>
      <c r="AO580" t="s">
        <v>159</v>
      </c>
      <c r="AP580" t="s">
        <v>159</v>
      </c>
      <c r="AQ580" t="s">
        <v>159</v>
      </c>
      <c r="AR580" t="s">
        <v>159</v>
      </c>
      <c r="AS580" t="s">
        <v>159</v>
      </c>
      <c r="AT580" t="s">
        <v>159</v>
      </c>
      <c r="AU580" t="s">
        <v>159</v>
      </c>
      <c r="AV580" t="s">
        <v>159</v>
      </c>
      <c r="AW580" t="s">
        <v>159</v>
      </c>
      <c r="AX580" t="s">
        <v>159</v>
      </c>
      <c r="AY580" t="s">
        <v>159</v>
      </c>
      <c r="AZ580" t="s">
        <v>159</v>
      </c>
      <c r="BA580" t="s">
        <v>159</v>
      </c>
      <c r="BB580" t="s">
        <v>159</v>
      </c>
      <c r="BC580" t="s">
        <v>159</v>
      </c>
      <c r="BD580" t="s">
        <v>159</v>
      </c>
      <c r="BE580" t="s">
        <v>159</v>
      </c>
      <c r="BZ580">
        <v>2.4803311648951794</v>
      </c>
      <c r="CA580">
        <v>217.54689252698273</v>
      </c>
      <c r="CB580">
        <v>1.48770038459208</v>
      </c>
      <c r="CC580">
        <v>3.1902880617967901</v>
      </c>
      <c r="CD580">
        <v>2.9970397570787499</v>
      </c>
      <c r="CE580">
        <v>1.50605696418739</v>
      </c>
      <c r="CF580">
        <v>4.24460440435998</v>
      </c>
      <c r="CG580">
        <v>5.0934839110652597</v>
      </c>
      <c r="CH580">
        <v>0.20524629827211999</v>
      </c>
      <c r="CI580">
        <v>1.35045206137355</v>
      </c>
      <c r="CJ580">
        <v>1.55260542923356</v>
      </c>
      <c r="CK580">
        <v>0.63513163015991103</v>
      </c>
      <c r="CL580">
        <v>3.2744773260767799</v>
      </c>
      <c r="CM580">
        <v>4.0017158566753501</v>
      </c>
      <c r="CN580">
        <v>3.35228244366595</v>
      </c>
      <c r="CO580">
        <v>2.4834996026657499</v>
      </c>
      <c r="CP580">
        <v>3.7176217292206202</v>
      </c>
      <c r="CQ580">
        <v>1.5714892048793101</v>
      </c>
      <c r="CR580">
        <v>3.04092476466802</v>
      </c>
      <c r="CS580">
        <v>2.6475828939281398</v>
      </c>
      <c r="CT580">
        <v>0.85350767478177803</v>
      </c>
      <c r="CU580">
        <v>2.4009128992225</v>
      </c>
    </row>
    <row r="581" spans="1:99" x14ac:dyDescent="0.25">
      <c r="A581" t="s">
        <v>152</v>
      </c>
      <c r="B581" t="s">
        <v>194</v>
      </c>
      <c r="C581" t="s">
        <v>192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1344</v>
      </c>
      <c r="N581">
        <v>714.42811736726696</v>
      </c>
      <c r="O581">
        <v>3</v>
      </c>
      <c r="P581">
        <v>5</v>
      </c>
      <c r="Q581">
        <v>8</v>
      </c>
      <c r="BF581">
        <v>3.1E-2</v>
      </c>
      <c r="BG581">
        <v>4.9000000000000002E-2</v>
      </c>
      <c r="BH581">
        <v>4.1000000000000002E-2</v>
      </c>
      <c r="BI581">
        <v>5.6000000000000001E-2</v>
      </c>
      <c r="BJ581">
        <v>3.6999999999999998E-2</v>
      </c>
      <c r="BK581">
        <v>3.9E-2</v>
      </c>
      <c r="BL581">
        <v>3.5000000000000003E-2</v>
      </c>
      <c r="BM581">
        <v>3.9E-2</v>
      </c>
      <c r="BZ581">
        <v>1.3593217500000001E-2</v>
      </c>
      <c r="CA581">
        <v>9.7113767874887884</v>
      </c>
      <c r="CB581">
        <v>5.3623799999999999E-3</v>
      </c>
      <c r="CC581">
        <v>2.1176819999999999E-2</v>
      </c>
      <c r="CD581">
        <v>1.240578E-2</v>
      </c>
      <c r="CE581">
        <v>3.1610880000000001E-2</v>
      </c>
      <c r="CF581">
        <v>9.1175400000000004E-3</v>
      </c>
      <c r="CG581">
        <v>1.067742E-2</v>
      </c>
      <c r="CH581">
        <v>7.7175000000000004E-3</v>
      </c>
      <c r="CI581">
        <v>1.067742E-2</v>
      </c>
    </row>
    <row r="582" spans="1:99" x14ac:dyDescent="0.25">
      <c r="A582" t="s">
        <v>152</v>
      </c>
      <c r="B582" t="s">
        <v>195</v>
      </c>
      <c r="C582" t="s">
        <v>192</v>
      </c>
      <c r="D582">
        <v>-1</v>
      </c>
      <c r="E582">
        <v>-1</v>
      </c>
      <c r="F582">
        <v>-1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46872</v>
      </c>
      <c r="N582">
        <v>24915.680593183399</v>
      </c>
      <c r="O582">
        <v>157</v>
      </c>
      <c r="P582">
        <v>122</v>
      </c>
      <c r="Q582">
        <v>279</v>
      </c>
      <c r="R582">
        <v>0.193</v>
      </c>
      <c r="S582">
        <v>0.185</v>
      </c>
      <c r="T582">
        <v>0.182</v>
      </c>
      <c r="U582">
        <v>0.151</v>
      </c>
      <c r="V582">
        <v>0.14899999999999999</v>
      </c>
      <c r="W582">
        <v>0.17799999999999999</v>
      </c>
      <c r="X582">
        <v>0.114</v>
      </c>
      <c r="Y582">
        <v>0.183</v>
      </c>
      <c r="Z582">
        <v>0.153</v>
      </c>
      <c r="AA582">
        <v>0.15</v>
      </c>
      <c r="AB582">
        <v>0.113</v>
      </c>
      <c r="AC582">
        <v>0.161</v>
      </c>
      <c r="AD582">
        <v>0.21099999999999999</v>
      </c>
      <c r="AE582">
        <v>0.16500000000000001</v>
      </c>
      <c r="AF582">
        <v>0.16800000000000001</v>
      </c>
      <c r="AG582">
        <v>0.14699999999999999</v>
      </c>
      <c r="AH582">
        <v>0.16300000000000001</v>
      </c>
      <c r="AI582">
        <v>0.222</v>
      </c>
      <c r="AJ582">
        <v>0.189</v>
      </c>
      <c r="AK582">
        <v>0.153</v>
      </c>
      <c r="BF582">
        <v>7.3999999999999996E-2</v>
      </c>
      <c r="BG582">
        <v>7.6999999999999999E-2</v>
      </c>
      <c r="BH582">
        <v>7.2999999999999995E-2</v>
      </c>
      <c r="BI582">
        <v>6.4000000000000001E-2</v>
      </c>
      <c r="BJ582">
        <v>6.0999999999999999E-2</v>
      </c>
      <c r="BK582">
        <v>7.2999999999999995E-2</v>
      </c>
      <c r="BL582">
        <v>5.6000000000000001E-2</v>
      </c>
      <c r="BM582">
        <v>5.8000000000000003E-2</v>
      </c>
      <c r="BN582">
        <v>6.5000000000000002E-2</v>
      </c>
      <c r="BO582">
        <v>5.0999999999999997E-2</v>
      </c>
      <c r="BP582">
        <v>7.0000000000000007E-2</v>
      </c>
      <c r="BQ582">
        <v>8.4000000000000005E-2</v>
      </c>
      <c r="BR582">
        <v>6.4000000000000001E-2</v>
      </c>
      <c r="BS582">
        <v>6.8000000000000005E-2</v>
      </c>
      <c r="BT582">
        <v>6.6000000000000003E-2</v>
      </c>
      <c r="BU582">
        <v>5.5E-2</v>
      </c>
      <c r="BV582">
        <v>6.9000000000000006E-2</v>
      </c>
      <c r="BW582">
        <v>7.2999999999999995E-2</v>
      </c>
      <c r="BX582">
        <v>7.9000000000000001E-2</v>
      </c>
      <c r="BY582">
        <v>5.3999999999999999E-2</v>
      </c>
      <c r="BZ582">
        <v>1.99328766E-2</v>
      </c>
      <c r="CA582">
        <v>496.6411866689395</v>
      </c>
      <c r="CB582">
        <v>2.7478567999999998E-2</v>
      </c>
      <c r="CC582">
        <v>2.8518490000000001E-2</v>
      </c>
      <c r="CD582">
        <v>2.5216828E-2</v>
      </c>
      <c r="CE582">
        <v>1.6080896000000001E-2</v>
      </c>
      <c r="CF582">
        <v>1.4415153999999999E-2</v>
      </c>
      <c r="CG582">
        <v>2.4662612E-2</v>
      </c>
      <c r="CH582">
        <v>9.2951040000000002E-3</v>
      </c>
      <c r="CI582">
        <v>1.6005912000000001E-2</v>
      </c>
      <c r="CJ582">
        <v>1.680705E-2</v>
      </c>
      <c r="CK582">
        <v>1.0143900000000001E-2</v>
      </c>
      <c r="CL582">
        <v>1.43962E-2</v>
      </c>
      <c r="CM582">
        <v>2.9536415999999999E-2</v>
      </c>
      <c r="CN582">
        <v>2.2470655999999999E-2</v>
      </c>
      <c r="CO582">
        <v>1.9836960000000001E-2</v>
      </c>
      <c r="CP582">
        <v>1.9027008000000002E-2</v>
      </c>
      <c r="CQ582">
        <v>1.156155E-2</v>
      </c>
      <c r="CR582">
        <v>2.0177118000000001E-2</v>
      </c>
      <c r="CS582">
        <v>3.0758988000000001E-2</v>
      </c>
      <c r="CT582">
        <v>3.0668273999999999E-2</v>
      </c>
      <c r="CU582">
        <v>1.1599847999999999E-2</v>
      </c>
    </row>
    <row r="583" spans="1:99" x14ac:dyDescent="0.25">
      <c r="A583" t="s">
        <v>152</v>
      </c>
      <c r="B583" t="s">
        <v>196</v>
      </c>
      <c r="C583" t="s">
        <v>197</v>
      </c>
      <c r="D583">
        <v>-1</v>
      </c>
      <c r="E583">
        <v>-1</v>
      </c>
      <c r="F583">
        <v>-1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1008</v>
      </c>
      <c r="N583">
        <v>535.82108802544997</v>
      </c>
      <c r="O583">
        <v>4</v>
      </c>
      <c r="P583">
        <v>2</v>
      </c>
      <c r="Q583">
        <v>6</v>
      </c>
      <c r="R583">
        <v>0.13500000000000001</v>
      </c>
      <c r="S583">
        <v>0.22800000000000001</v>
      </c>
      <c r="T583">
        <v>0.14399999999999999</v>
      </c>
      <c r="U583">
        <v>0.14499999999999999</v>
      </c>
      <c r="V583">
        <v>0.17399999999999999</v>
      </c>
      <c r="W583">
        <v>0.107</v>
      </c>
      <c r="BZ583">
        <v>8.9234171616680416E-2</v>
      </c>
      <c r="CA583">
        <v>47.813550924699427</v>
      </c>
      <c r="CB583">
        <v>5.7673746944497048E-2</v>
      </c>
      <c r="CC583">
        <v>0.2028713671663164</v>
      </c>
      <c r="CD583">
        <v>6.7335967442926234E-2</v>
      </c>
      <c r="CE583">
        <v>6.8463694073402304E-2</v>
      </c>
      <c r="CF583">
        <v>0.10604625083069369</v>
      </c>
      <c r="CG583">
        <v>3.3014003242246778E-2</v>
      </c>
      <c r="CH583" t="s">
        <v>239</v>
      </c>
      <c r="CI583" t="s">
        <v>239</v>
      </c>
      <c r="CJ583" t="s">
        <v>239</v>
      </c>
      <c r="CK583" t="s">
        <v>239</v>
      </c>
      <c r="CL583" t="s">
        <v>239</v>
      </c>
      <c r="CM583" t="s">
        <v>239</v>
      </c>
      <c r="CN583" t="s">
        <v>239</v>
      </c>
      <c r="CO583" t="s">
        <v>239</v>
      </c>
      <c r="CP583" t="s">
        <v>239</v>
      </c>
      <c r="CQ583" t="s">
        <v>239</v>
      </c>
      <c r="CR583" t="s">
        <v>239</v>
      </c>
      <c r="CS583" t="s">
        <v>239</v>
      </c>
      <c r="CT583" t="s">
        <v>239</v>
      </c>
      <c r="CU583" t="s">
        <v>239</v>
      </c>
    </row>
    <row r="584" spans="1:99" x14ac:dyDescent="0.25">
      <c r="A584" t="s">
        <v>152</v>
      </c>
      <c r="B584" t="s">
        <v>173</v>
      </c>
      <c r="C584" t="s">
        <v>168</v>
      </c>
      <c r="D584">
        <v>-1</v>
      </c>
      <c r="E584">
        <v>10</v>
      </c>
      <c r="F584">
        <v>-1</v>
      </c>
      <c r="G584">
        <v>-1</v>
      </c>
      <c r="H584">
        <v>-1</v>
      </c>
      <c r="I584">
        <v>22</v>
      </c>
      <c r="J584">
        <v>-1</v>
      </c>
      <c r="K584">
        <v>-1</v>
      </c>
      <c r="L584">
        <v>-1</v>
      </c>
      <c r="M584">
        <v>341.33333333333297</v>
      </c>
      <c r="N584">
        <v>181.442061553592</v>
      </c>
      <c r="O584">
        <v>-1</v>
      </c>
      <c r="P584">
        <v>-1</v>
      </c>
      <c r="Q584">
        <v>-1</v>
      </c>
      <c r="R584">
        <v>0.89600000000000002</v>
      </c>
      <c r="S584">
        <v>0.55500000000000005</v>
      </c>
      <c r="T584">
        <v>0.56100000000000005</v>
      </c>
      <c r="U584">
        <v>0.39300000000000002</v>
      </c>
      <c r="V584">
        <v>0.64100000000000001</v>
      </c>
      <c r="W584">
        <v>0.38200000000000001</v>
      </c>
      <c r="X584">
        <v>0.70199999999999996</v>
      </c>
      <c r="Y584">
        <v>0.41299999999999998</v>
      </c>
      <c r="Z584">
        <v>0.46800000000000003</v>
      </c>
      <c r="AA584">
        <v>0.36399999999999999</v>
      </c>
      <c r="AB584">
        <v>0.44600000000000001</v>
      </c>
      <c r="AC584">
        <v>0.45900000000000002</v>
      </c>
      <c r="AD584">
        <v>0.35899999999999999</v>
      </c>
      <c r="AE584">
        <v>0.41799999999999998</v>
      </c>
      <c r="AF584">
        <v>0.314</v>
      </c>
      <c r="AG584">
        <v>0.86699999999999999</v>
      </c>
      <c r="AH584">
        <v>0.51600000000000001</v>
      </c>
      <c r="AI584">
        <v>0.71499999999999997</v>
      </c>
      <c r="AJ584">
        <v>0.51600000000000001</v>
      </c>
      <c r="AK584">
        <v>0.28499999999999998</v>
      </c>
      <c r="AL584" t="s">
        <v>169</v>
      </c>
      <c r="AM584" t="s">
        <v>169</v>
      </c>
      <c r="AN584" t="s">
        <v>169</v>
      </c>
      <c r="AO584" t="s">
        <v>169</v>
      </c>
      <c r="AP584" t="s">
        <v>169</v>
      </c>
      <c r="AQ584" t="s">
        <v>169</v>
      </c>
      <c r="AR584" t="s">
        <v>169</v>
      </c>
      <c r="AS584" t="s">
        <v>169</v>
      </c>
      <c r="AT584" t="s">
        <v>169</v>
      </c>
      <c r="AU584" t="s">
        <v>169</v>
      </c>
      <c r="AV584" t="s">
        <v>169</v>
      </c>
      <c r="AW584" t="s">
        <v>169</v>
      </c>
      <c r="AX584" t="s">
        <v>169</v>
      </c>
      <c r="AY584" t="s">
        <v>169</v>
      </c>
      <c r="AZ584" t="s">
        <v>169</v>
      </c>
      <c r="BA584" t="s">
        <v>169</v>
      </c>
      <c r="BB584" t="s">
        <v>169</v>
      </c>
      <c r="BC584" t="s">
        <v>169</v>
      </c>
      <c r="BD584" t="s">
        <v>169</v>
      </c>
      <c r="BE584" t="s">
        <v>169</v>
      </c>
      <c r="BZ584">
        <v>0.66568845445389746</v>
      </c>
      <c r="CA584">
        <v>120.78388552853959</v>
      </c>
      <c r="CB584">
        <v>3.4008825856522802</v>
      </c>
      <c r="CC584">
        <v>0.50789271432284999</v>
      </c>
      <c r="CD584">
        <v>0.53004336096870697</v>
      </c>
      <c r="CE584">
        <v>0.12902303838451501</v>
      </c>
      <c r="CF584">
        <v>0.89981912004527898</v>
      </c>
      <c r="CG584">
        <v>0.115271087575072</v>
      </c>
      <c r="CH584">
        <v>1.29088387274873</v>
      </c>
      <c r="CI584">
        <v>0.15712690099898699</v>
      </c>
      <c r="CJ584">
        <v>0.25811002724854298</v>
      </c>
      <c r="CK584">
        <v>9.5170276931461406E-2</v>
      </c>
      <c r="CL584">
        <v>0.213200504996995</v>
      </c>
      <c r="CM584">
        <v>0.23895999556862099</v>
      </c>
      <c r="CN584">
        <v>9.0085273377207398E-2</v>
      </c>
      <c r="CO584">
        <v>0.164815737679887</v>
      </c>
      <c r="CP584">
        <v>5.2934588679892799E-2</v>
      </c>
      <c r="CQ584">
        <v>2.9844524024785399</v>
      </c>
      <c r="CR584">
        <v>0.38031911643132399</v>
      </c>
      <c r="CS584">
        <v>1.3884294787254301</v>
      </c>
      <c r="CT584">
        <v>0.38031911643132399</v>
      </c>
      <c r="CU584">
        <v>3.6029889832303701E-2</v>
      </c>
    </row>
    <row r="585" spans="1:99" x14ac:dyDescent="0.25">
      <c r="A585" t="s">
        <v>152</v>
      </c>
      <c r="B585" t="s">
        <v>170</v>
      </c>
      <c r="C585" t="s">
        <v>158</v>
      </c>
      <c r="D585">
        <v>-1</v>
      </c>
      <c r="E585">
        <v>20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640</v>
      </c>
      <c r="N585">
        <v>340.20386541298399</v>
      </c>
      <c r="O585">
        <v>-1</v>
      </c>
      <c r="P585">
        <v>-1</v>
      </c>
      <c r="Q585">
        <v>-1</v>
      </c>
      <c r="R585">
        <v>0.622</v>
      </c>
      <c r="S585">
        <v>0.73099999999999998</v>
      </c>
      <c r="T585">
        <v>0.59199999999999997</v>
      </c>
      <c r="U585">
        <v>0.72699999999999998</v>
      </c>
      <c r="V585">
        <v>0.874</v>
      </c>
      <c r="W585">
        <v>0.89900000000000002</v>
      </c>
      <c r="X585">
        <v>0.40500000000000003</v>
      </c>
      <c r="Y585">
        <v>0.84299999999999997</v>
      </c>
      <c r="Z585">
        <v>0.93200000000000005</v>
      </c>
      <c r="AA585">
        <v>0.82399999999999995</v>
      </c>
      <c r="AB585">
        <v>0.88800000000000001</v>
      </c>
      <c r="AC585">
        <v>0.77300000000000002</v>
      </c>
      <c r="AD585">
        <v>1.0760000000000001</v>
      </c>
      <c r="AE585">
        <v>0.49299999999999999</v>
      </c>
      <c r="AF585">
        <v>0.82699999999999996</v>
      </c>
      <c r="AG585">
        <v>0.86799999999999999</v>
      </c>
      <c r="AH585">
        <v>0.79200000000000004</v>
      </c>
      <c r="AI585">
        <v>0.41299999999999998</v>
      </c>
      <c r="AJ585">
        <v>0.60899999999999999</v>
      </c>
      <c r="AK585">
        <v>0.88600000000000001</v>
      </c>
      <c r="AL585" t="s">
        <v>159</v>
      </c>
      <c r="AM585" t="s">
        <v>159</v>
      </c>
      <c r="AN585" t="s">
        <v>159</v>
      </c>
      <c r="AO585" t="s">
        <v>159</v>
      </c>
      <c r="AP585" t="s">
        <v>159</v>
      </c>
      <c r="AQ585" t="s">
        <v>159</v>
      </c>
      <c r="AR585" t="s">
        <v>159</v>
      </c>
      <c r="AS585" t="s">
        <v>159</v>
      </c>
      <c r="AT585" t="s">
        <v>159</v>
      </c>
      <c r="AU585" t="s">
        <v>159</v>
      </c>
      <c r="AV585" t="s">
        <v>159</v>
      </c>
      <c r="AW585" t="s">
        <v>159</v>
      </c>
      <c r="AX585" t="s">
        <v>159</v>
      </c>
      <c r="AY585" t="s">
        <v>159</v>
      </c>
      <c r="AZ585" t="s">
        <v>159</v>
      </c>
      <c r="BA585" t="s">
        <v>159</v>
      </c>
      <c r="BB585" t="s">
        <v>159</v>
      </c>
      <c r="BC585" t="s">
        <v>159</v>
      </c>
      <c r="BD585" t="s">
        <v>159</v>
      </c>
      <c r="BE585" t="s">
        <v>159</v>
      </c>
      <c r="BZ585">
        <v>2.5268476683632146</v>
      </c>
      <c r="CA585">
        <v>859.64334408695152</v>
      </c>
      <c r="CB585">
        <v>1.2898486308599399</v>
      </c>
      <c r="CC585">
        <v>2.0403252539951202</v>
      </c>
      <c r="CD585">
        <v>1.1209021484494699</v>
      </c>
      <c r="CE585">
        <v>2.0087772505184098</v>
      </c>
      <c r="CF585">
        <v>3.38896062658115</v>
      </c>
      <c r="CG585">
        <v>3.6715680250095102</v>
      </c>
      <c r="CH585">
        <v>0.381369818757816</v>
      </c>
      <c r="CI585">
        <v>3.0586118474614601</v>
      </c>
      <c r="CJ585">
        <v>4.0673846525694302</v>
      </c>
      <c r="CK585">
        <v>2.86686561462442</v>
      </c>
      <c r="CL585">
        <v>3.5454133633147702</v>
      </c>
      <c r="CM585">
        <v>2.3911334626566698</v>
      </c>
      <c r="CN585">
        <v>6.1167524566253997</v>
      </c>
      <c r="CO585">
        <v>0.66659078437234298</v>
      </c>
      <c r="CP585">
        <v>2.8966078387124599</v>
      </c>
      <c r="CQ585">
        <v>3.3233040283772901</v>
      </c>
      <c r="CR585">
        <v>2.5618492485903599</v>
      </c>
      <c r="CS585">
        <v>0.40315514001432001</v>
      </c>
      <c r="CT585">
        <v>1.21475072117659</v>
      </c>
      <c r="CU585">
        <v>3.5227824545973601</v>
      </c>
    </row>
    <row r="586" spans="1:99" x14ac:dyDescent="0.25">
      <c r="A586" t="s">
        <v>152</v>
      </c>
      <c r="B586" t="s">
        <v>167</v>
      </c>
      <c r="C586" t="s">
        <v>168</v>
      </c>
      <c r="D586">
        <v>-1</v>
      </c>
      <c r="E586">
        <v>1</v>
      </c>
      <c r="F586">
        <v>-1</v>
      </c>
      <c r="G586">
        <v>-1</v>
      </c>
      <c r="H586">
        <v>-1</v>
      </c>
      <c r="I586">
        <v>7</v>
      </c>
      <c r="J586">
        <v>-1</v>
      </c>
      <c r="K586">
        <v>-1</v>
      </c>
      <c r="L586">
        <v>-1</v>
      </c>
      <c r="M586">
        <v>85.3333333333333</v>
      </c>
      <c r="N586">
        <v>45.3605153883979</v>
      </c>
      <c r="O586">
        <v>-1</v>
      </c>
      <c r="P586">
        <v>-1</v>
      </c>
      <c r="Q586">
        <v>-1</v>
      </c>
      <c r="R586">
        <v>0.748</v>
      </c>
      <c r="S586">
        <v>0.97899999999999998</v>
      </c>
      <c r="T586">
        <v>0.82099999999999995</v>
      </c>
      <c r="U586">
        <v>0.92900000000000005</v>
      </c>
      <c r="V586">
        <v>0.58799999999999997</v>
      </c>
      <c r="W586">
        <v>0.93</v>
      </c>
      <c r="X586">
        <v>0.46400000000000002</v>
      </c>
      <c r="Y586">
        <v>0.93799999999999994</v>
      </c>
      <c r="AL586" t="s">
        <v>169</v>
      </c>
      <c r="AM586" t="s">
        <v>169</v>
      </c>
      <c r="AN586" t="s">
        <v>169</v>
      </c>
      <c r="AO586" t="s">
        <v>169</v>
      </c>
      <c r="AP586" t="s">
        <v>169</v>
      </c>
      <c r="AQ586" t="s">
        <v>169</v>
      </c>
      <c r="AR586" t="s">
        <v>169</v>
      </c>
      <c r="AS586" t="s">
        <v>169</v>
      </c>
      <c r="BZ586">
        <v>3.0095337103059161</v>
      </c>
      <c r="CA586">
        <v>136.51400017823374</v>
      </c>
      <c r="CB586">
        <v>2.31171006928958</v>
      </c>
      <c r="CC586">
        <v>4.6414683995336796</v>
      </c>
      <c r="CD586">
        <v>2.94223260000398</v>
      </c>
      <c r="CE586">
        <v>4.0521818358685904</v>
      </c>
      <c r="CF586">
        <v>1.23941144088956</v>
      </c>
      <c r="CG586">
        <v>4.0634887617831703</v>
      </c>
      <c r="CH586">
        <v>0.671134857517246</v>
      </c>
      <c r="CI586">
        <v>4.1546417175615202</v>
      </c>
    </row>
    <row r="587" spans="1:99" x14ac:dyDescent="0.25">
      <c r="A587" t="s">
        <v>152</v>
      </c>
      <c r="B587" t="s">
        <v>174</v>
      </c>
      <c r="C587" t="s">
        <v>158</v>
      </c>
      <c r="D587">
        <v>-1</v>
      </c>
      <c r="E587">
        <v>0</v>
      </c>
      <c r="F587">
        <v>-1</v>
      </c>
      <c r="G587">
        <v>-1</v>
      </c>
      <c r="H587">
        <v>-1</v>
      </c>
      <c r="I587">
        <v>1</v>
      </c>
      <c r="J587">
        <v>-1</v>
      </c>
      <c r="K587">
        <v>-1</v>
      </c>
      <c r="L587">
        <v>-1</v>
      </c>
      <c r="M587">
        <v>10.6666666666667</v>
      </c>
      <c r="N587">
        <v>5.6700644235497402</v>
      </c>
      <c r="O587">
        <v>-1</v>
      </c>
      <c r="P587">
        <v>-1</v>
      </c>
      <c r="Q587">
        <v>-1</v>
      </c>
      <c r="R587">
        <v>0.51100000000000001</v>
      </c>
      <c r="AL587" t="s">
        <v>159</v>
      </c>
      <c r="BZ587">
        <v>0.47141687387345099</v>
      </c>
      <c r="CA587">
        <v>2.6729640452108896</v>
      </c>
      <c r="CB587">
        <v>0.47141687387345099</v>
      </c>
    </row>
    <row r="588" spans="1:99" x14ac:dyDescent="0.25">
      <c r="A588" t="s">
        <v>152</v>
      </c>
      <c r="B588" t="s">
        <v>166</v>
      </c>
      <c r="C588" t="s">
        <v>154</v>
      </c>
      <c r="D588">
        <v>-1</v>
      </c>
      <c r="E588">
        <v>2</v>
      </c>
      <c r="F588">
        <v>2</v>
      </c>
      <c r="G588">
        <v>-1</v>
      </c>
      <c r="H588">
        <v>-1</v>
      </c>
      <c r="I588">
        <v>1</v>
      </c>
      <c r="J588">
        <v>9</v>
      </c>
      <c r="K588">
        <v>-1</v>
      </c>
      <c r="L588">
        <v>-1</v>
      </c>
      <c r="M588">
        <v>149.333333333333</v>
      </c>
      <c r="N588">
        <v>79.380901929696293</v>
      </c>
      <c r="O588">
        <v>-1</v>
      </c>
      <c r="P588">
        <v>-1</v>
      </c>
      <c r="Q588">
        <v>-1</v>
      </c>
      <c r="R588">
        <v>1.054</v>
      </c>
      <c r="S588">
        <v>1.099</v>
      </c>
      <c r="T588">
        <v>0.88900000000000001</v>
      </c>
      <c r="U588">
        <v>0.85599999999999998</v>
      </c>
      <c r="V588">
        <v>0.85299999999999998</v>
      </c>
      <c r="W588">
        <v>0.79100000000000004</v>
      </c>
      <c r="X588">
        <v>0.77300000000000002</v>
      </c>
      <c r="Y588">
        <v>0.82599999999999996</v>
      </c>
      <c r="Z588">
        <v>0.82499999999999996</v>
      </c>
      <c r="AA588">
        <v>0.83699999999999997</v>
      </c>
      <c r="AB588">
        <v>0.93500000000000005</v>
      </c>
      <c r="AC588">
        <v>0.76800000000000002</v>
      </c>
      <c r="AD588">
        <v>0.874</v>
      </c>
      <c r="AE588">
        <v>0.83199999999999996</v>
      </c>
      <c r="AL588" t="s">
        <v>155</v>
      </c>
      <c r="AM588" t="s">
        <v>155</v>
      </c>
      <c r="AN588" t="s">
        <v>156</v>
      </c>
      <c r="AO588" t="s">
        <v>156</v>
      </c>
      <c r="AP588" t="s">
        <v>156</v>
      </c>
      <c r="AQ588" t="s">
        <v>156</v>
      </c>
      <c r="AR588" t="s">
        <v>156</v>
      </c>
      <c r="AS588" t="s">
        <v>156</v>
      </c>
      <c r="AT588" t="s">
        <v>156</v>
      </c>
      <c r="AU588" t="s">
        <v>156</v>
      </c>
      <c r="AV588" t="s">
        <v>155</v>
      </c>
      <c r="AW588" t="s">
        <v>156</v>
      </c>
      <c r="AX588" t="s">
        <v>156</v>
      </c>
      <c r="AY588" t="s">
        <v>156</v>
      </c>
      <c r="BZ588">
        <v>3.2873576511449465</v>
      </c>
      <c r="CA588">
        <v>260.95341531337374</v>
      </c>
      <c r="CB588">
        <v>6.4804634441976097</v>
      </c>
      <c r="CC588">
        <v>7.6504975231017696</v>
      </c>
      <c r="CD588">
        <v>3.2966195591682199</v>
      </c>
      <c r="CE588">
        <v>2.8369369622679099</v>
      </c>
      <c r="CF588">
        <v>2.79767005058727</v>
      </c>
      <c r="CG588">
        <v>2.07343048453611</v>
      </c>
      <c r="CH588">
        <v>1.89234985312063</v>
      </c>
      <c r="CI588">
        <v>2.4622924181654402</v>
      </c>
      <c r="CJ588">
        <v>2.4504791728531501</v>
      </c>
      <c r="CK588">
        <v>2.5950689907210802</v>
      </c>
      <c r="CL588">
        <v>4.0276426873798901</v>
      </c>
      <c r="CM588">
        <v>1.8442206623744499</v>
      </c>
      <c r="CN588">
        <v>3.0812662535889501</v>
      </c>
      <c r="CO588">
        <v>2.5340690539667698</v>
      </c>
    </row>
    <row r="589" spans="1:99" x14ac:dyDescent="0.25">
      <c r="A589" t="s">
        <v>152</v>
      </c>
      <c r="B589" t="s">
        <v>198</v>
      </c>
      <c r="C589" t="s">
        <v>199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15624</v>
      </c>
      <c r="N589">
        <v>8305.2268643944808</v>
      </c>
      <c r="O589">
        <v>51</v>
      </c>
      <c r="P589">
        <v>42</v>
      </c>
      <c r="Q589">
        <v>93</v>
      </c>
      <c r="R589">
        <v>7.9000000000000001E-2</v>
      </c>
      <c r="S589">
        <v>0.11600000000000001</v>
      </c>
      <c r="T589">
        <v>0.108</v>
      </c>
      <c r="U589">
        <v>9.8000000000000004E-2</v>
      </c>
      <c r="V589">
        <v>0.107</v>
      </c>
      <c r="W589">
        <v>9.4E-2</v>
      </c>
      <c r="X589">
        <v>0.114</v>
      </c>
      <c r="Y589">
        <v>0.1</v>
      </c>
      <c r="Z589">
        <v>0.124</v>
      </c>
      <c r="AA589">
        <v>0.107</v>
      </c>
      <c r="AB589">
        <v>0.123</v>
      </c>
      <c r="AC589">
        <v>0.114</v>
      </c>
      <c r="AD589">
        <v>0.157</v>
      </c>
      <c r="AE589">
        <v>9.7000000000000003E-2</v>
      </c>
      <c r="AF589">
        <v>0.10100000000000001</v>
      </c>
      <c r="AG589">
        <v>0.11799999999999999</v>
      </c>
      <c r="AH589">
        <v>8.7999999999999995E-2</v>
      </c>
      <c r="AI589">
        <v>9.2999999999999999E-2</v>
      </c>
      <c r="AJ589">
        <v>0.11</v>
      </c>
      <c r="AK589">
        <v>0.1</v>
      </c>
      <c r="BZ589">
        <v>0.17119940700552502</v>
      </c>
      <c r="CA589">
        <v>1421.8499142306912</v>
      </c>
      <c r="CB589">
        <v>9.962128283722127E-2</v>
      </c>
      <c r="CC589">
        <v>0.19035215896949942</v>
      </c>
      <c r="CD589">
        <v>0.16548421702607694</v>
      </c>
      <c r="CE589">
        <v>0.13891688780903549</v>
      </c>
      <c r="CF589">
        <v>0.16261343582795867</v>
      </c>
      <c r="CG589">
        <v>0.12952524767371265</v>
      </c>
      <c r="CH589">
        <v>0.18380507569726992</v>
      </c>
      <c r="CI589">
        <v>0.14386506690014328</v>
      </c>
      <c r="CJ589">
        <v>0.21895710101852087</v>
      </c>
      <c r="CK589">
        <v>0.16261343582795867</v>
      </c>
      <c r="CL589">
        <v>0.21515868483059278</v>
      </c>
      <c r="CM589">
        <v>0.18380507569726992</v>
      </c>
      <c r="CN589">
        <v>0.39008935367479419</v>
      </c>
      <c r="CO589">
        <v>0.13650699037718286</v>
      </c>
      <c r="CP589">
        <v>0.14640486397791924</v>
      </c>
      <c r="CQ589">
        <v>0.19713244744137251</v>
      </c>
      <c r="CR589">
        <v>0.11661475677470312</v>
      </c>
      <c r="CS589">
        <v>0.12727827420164603</v>
      </c>
      <c r="CT589">
        <v>0.17137871664747947</v>
      </c>
      <c r="CU589">
        <v>0.14386506690014328</v>
      </c>
    </row>
    <row r="590" spans="1:99" x14ac:dyDescent="0.25">
      <c r="A590" t="s">
        <v>152</v>
      </c>
      <c r="B590" t="s">
        <v>175</v>
      </c>
      <c r="C590" t="s">
        <v>168</v>
      </c>
      <c r="D590">
        <v>-1</v>
      </c>
      <c r="E590">
        <v>1</v>
      </c>
      <c r="F590">
        <v>-1</v>
      </c>
      <c r="G590">
        <v>-1</v>
      </c>
      <c r="H590">
        <v>-1</v>
      </c>
      <c r="I590">
        <v>0</v>
      </c>
      <c r="J590">
        <v>-1</v>
      </c>
      <c r="K590">
        <v>-1</v>
      </c>
      <c r="L590">
        <v>-1</v>
      </c>
      <c r="M590">
        <v>10.6666666666667</v>
      </c>
      <c r="N590">
        <v>5.6700644235497402</v>
      </c>
      <c r="O590">
        <v>-1</v>
      </c>
      <c r="P590">
        <v>-1</v>
      </c>
      <c r="Q590">
        <v>-1</v>
      </c>
      <c r="R590">
        <v>0.93799999999999994</v>
      </c>
      <c r="AL590" t="s">
        <v>169</v>
      </c>
      <c r="BZ590">
        <v>4.1546417175615202</v>
      </c>
      <c r="CA590">
        <v>23.557086195341164</v>
      </c>
      <c r="CB590">
        <v>4.1546417175615202</v>
      </c>
    </row>
    <row r="591" spans="1:99" x14ac:dyDescent="0.25">
      <c r="A591" t="s">
        <v>152</v>
      </c>
      <c r="B591" t="s">
        <v>164</v>
      </c>
      <c r="C591" t="s">
        <v>158</v>
      </c>
      <c r="D591">
        <v>-1</v>
      </c>
      <c r="E591">
        <v>5</v>
      </c>
      <c r="F591">
        <v>-1</v>
      </c>
      <c r="G591">
        <v>-1</v>
      </c>
      <c r="H591">
        <v>-1</v>
      </c>
      <c r="I591">
        <v>8</v>
      </c>
      <c r="J591">
        <v>-1</v>
      </c>
      <c r="K591">
        <v>-1</v>
      </c>
      <c r="L591">
        <v>-1</v>
      </c>
      <c r="M591">
        <v>138.666666666667</v>
      </c>
      <c r="N591">
        <v>73.710837506146603</v>
      </c>
      <c r="O591">
        <v>-1</v>
      </c>
      <c r="P591">
        <v>-1</v>
      </c>
      <c r="Q591">
        <v>-1</v>
      </c>
      <c r="R591">
        <v>0.35199999999999998</v>
      </c>
      <c r="S591">
        <v>0.379</v>
      </c>
      <c r="T591">
        <v>0.33700000000000002</v>
      </c>
      <c r="U591">
        <v>0.47299999999999998</v>
      </c>
      <c r="V591">
        <v>0.4</v>
      </c>
      <c r="W591">
        <v>0.33500000000000002</v>
      </c>
      <c r="X591">
        <v>0.42899999999999999</v>
      </c>
      <c r="Y591">
        <v>0.35</v>
      </c>
      <c r="Z591">
        <v>0.35299999999999998</v>
      </c>
      <c r="AA591">
        <v>0.44400000000000001</v>
      </c>
      <c r="AB591">
        <v>0.628</v>
      </c>
      <c r="AC591">
        <v>0.29599999999999999</v>
      </c>
      <c r="AD591">
        <v>0.311</v>
      </c>
      <c r="AL591" t="s">
        <v>159</v>
      </c>
      <c r="AM591" t="s">
        <v>159</v>
      </c>
      <c r="AN591" t="s">
        <v>159</v>
      </c>
      <c r="AO591" t="s">
        <v>159</v>
      </c>
      <c r="AP591" t="s">
        <v>159</v>
      </c>
      <c r="AQ591" t="s">
        <v>159</v>
      </c>
      <c r="AR591" t="s">
        <v>159</v>
      </c>
      <c r="AS591" t="s">
        <v>159</v>
      </c>
      <c r="AT591" t="s">
        <v>159</v>
      </c>
      <c r="AU591" t="s">
        <v>159</v>
      </c>
      <c r="AV591" t="s">
        <v>159</v>
      </c>
      <c r="AW591" t="s">
        <v>159</v>
      </c>
      <c r="AX591" t="s">
        <v>159</v>
      </c>
      <c r="BZ591">
        <v>1.5368142788840173</v>
      </c>
      <c r="CA591">
        <v>113.27986758794567</v>
      </c>
      <c r="CB591">
        <v>1.0729008108743201</v>
      </c>
      <c r="CC591">
        <v>1.29349226539731</v>
      </c>
      <c r="CD591">
        <v>0.96097100512477096</v>
      </c>
      <c r="CE591">
        <v>2.2657152144497799</v>
      </c>
      <c r="CF591">
        <v>1.4825809414743101</v>
      </c>
      <c r="CG591">
        <v>0.94660762129906295</v>
      </c>
      <c r="CH591">
        <v>1.7697975279662601</v>
      </c>
      <c r="CI591">
        <v>1.0575448316324201</v>
      </c>
      <c r="CJ591">
        <v>1.0806290531737199</v>
      </c>
      <c r="CK591">
        <v>1.93056998267832</v>
      </c>
      <c r="CL591">
        <v>4.6413522888495997</v>
      </c>
      <c r="CM591">
        <v>0.69210926641548298</v>
      </c>
      <c r="CN591">
        <v>0.78431481615687204</v>
      </c>
    </row>
    <row r="592" spans="1:99" x14ac:dyDescent="0.25">
      <c r="A592" t="s">
        <v>152</v>
      </c>
      <c r="B592" t="s">
        <v>200</v>
      </c>
      <c r="C592" t="s">
        <v>192</v>
      </c>
      <c r="D592">
        <v>-1</v>
      </c>
      <c r="E592">
        <v>-1</v>
      </c>
      <c r="F592">
        <v>-1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8568</v>
      </c>
      <c r="N592">
        <v>4554.4792482163302</v>
      </c>
      <c r="O592">
        <v>23</v>
      </c>
      <c r="P592">
        <v>28</v>
      </c>
      <c r="Q592">
        <v>51</v>
      </c>
      <c r="R592">
        <v>7.8E-2</v>
      </c>
      <c r="S592">
        <v>6.8000000000000005E-2</v>
      </c>
      <c r="T592">
        <v>7.5999999999999998E-2</v>
      </c>
      <c r="U592">
        <v>9.1999999999999998E-2</v>
      </c>
      <c r="V592">
        <v>9.4E-2</v>
      </c>
      <c r="W592">
        <v>0.105</v>
      </c>
      <c r="X592">
        <v>9.7000000000000003E-2</v>
      </c>
      <c r="Y592">
        <v>8.4000000000000005E-2</v>
      </c>
      <c r="Z592">
        <v>9.8000000000000004E-2</v>
      </c>
      <c r="AA592">
        <v>7.9000000000000001E-2</v>
      </c>
      <c r="AB592">
        <v>9.0999999999999998E-2</v>
      </c>
      <c r="AC592">
        <v>0.10100000000000001</v>
      </c>
      <c r="AD592">
        <v>0.107</v>
      </c>
      <c r="AE592">
        <v>9.1999999999999998E-2</v>
      </c>
      <c r="AF592">
        <v>7.1999999999999995E-2</v>
      </c>
      <c r="AG592">
        <v>8.2000000000000003E-2</v>
      </c>
      <c r="AH592">
        <v>9.5000000000000001E-2</v>
      </c>
      <c r="AI592">
        <v>8.2000000000000003E-2</v>
      </c>
      <c r="AJ592">
        <v>9.7000000000000003E-2</v>
      </c>
      <c r="AK592">
        <v>0.105</v>
      </c>
      <c r="BZ592">
        <v>1.5125725000000001E-2</v>
      </c>
      <c r="CA592">
        <v>68.889800626726952</v>
      </c>
      <c r="CB592">
        <v>9.4910399999999992E-3</v>
      </c>
      <c r="CC592">
        <v>6.2886399999999999E-3</v>
      </c>
      <c r="CD592">
        <v>8.7795200000000007E-3</v>
      </c>
      <c r="CE592">
        <v>1.5573760000000001E-2</v>
      </c>
      <c r="CF592">
        <v>1.661168E-2</v>
      </c>
      <c r="CG592">
        <v>2.3152499999999999E-2</v>
      </c>
      <c r="CH592">
        <v>1.8253459999999999E-2</v>
      </c>
      <c r="CI592">
        <v>1.1854079999999999E-2</v>
      </c>
      <c r="CJ592">
        <v>1.8823840000000001E-2</v>
      </c>
      <c r="CK592">
        <v>9.8607799999999995E-3</v>
      </c>
      <c r="CL592">
        <v>1.507142E-2</v>
      </c>
      <c r="CM592">
        <v>2.0606019999999999E-2</v>
      </c>
      <c r="CN592">
        <v>2.4500859999999999E-2</v>
      </c>
      <c r="CO592">
        <v>1.5573760000000001E-2</v>
      </c>
      <c r="CP592">
        <v>7.4649599999999997E-3</v>
      </c>
      <c r="CQ592">
        <v>1.102736E-2</v>
      </c>
      <c r="CR592">
        <v>1.71475E-2</v>
      </c>
      <c r="CS592">
        <v>1.102736E-2</v>
      </c>
      <c r="CT592">
        <v>1.8253459999999999E-2</v>
      </c>
      <c r="CU592">
        <v>2.3152499999999999E-2</v>
      </c>
    </row>
    <row r="593" spans="1:99" x14ac:dyDescent="0.25">
      <c r="A593" t="s">
        <v>152</v>
      </c>
      <c r="B593" t="s">
        <v>177</v>
      </c>
      <c r="C593" t="s">
        <v>168</v>
      </c>
      <c r="D593">
        <v>-1</v>
      </c>
      <c r="E593">
        <v>2</v>
      </c>
      <c r="F593">
        <v>-1</v>
      </c>
      <c r="G593">
        <v>-1</v>
      </c>
      <c r="H593">
        <v>-1</v>
      </c>
      <c r="I593">
        <v>2</v>
      </c>
      <c r="J593">
        <v>-1</v>
      </c>
      <c r="K593">
        <v>-1</v>
      </c>
      <c r="L593">
        <v>-1</v>
      </c>
      <c r="M593">
        <v>42.6666666666667</v>
      </c>
      <c r="N593">
        <v>22.6802576941989</v>
      </c>
      <c r="O593">
        <v>-1</v>
      </c>
      <c r="P593">
        <v>-1</v>
      </c>
      <c r="Q593">
        <v>-1</v>
      </c>
      <c r="R593">
        <v>0.315</v>
      </c>
      <c r="S593">
        <v>0.23400000000000001</v>
      </c>
      <c r="T593">
        <v>0.35099999999999998</v>
      </c>
      <c r="U593">
        <v>0.23200000000000001</v>
      </c>
      <c r="AL593" t="s">
        <v>169</v>
      </c>
      <c r="AM593" t="s">
        <v>169</v>
      </c>
      <c r="AN593" t="s">
        <v>169</v>
      </c>
      <c r="AO593" t="s">
        <v>169</v>
      </c>
      <c r="BZ593">
        <v>0.1993257050934005</v>
      </c>
      <c r="CA593">
        <v>4.5207583565962173</v>
      </c>
      <c r="CB593">
        <v>0.246123204282859</v>
      </c>
      <c r="CC593">
        <v>0.113971771030882</v>
      </c>
      <c r="CD593">
        <v>0.325741924493755</v>
      </c>
      <c r="CE593">
        <v>0.11146592056610601</v>
      </c>
    </row>
    <row r="594" spans="1:99" x14ac:dyDescent="0.25">
      <c r="A594" t="s">
        <v>152</v>
      </c>
      <c r="B594" t="s">
        <v>184</v>
      </c>
      <c r="C594" t="s">
        <v>154</v>
      </c>
      <c r="D594">
        <v>-1</v>
      </c>
      <c r="E594">
        <v>2</v>
      </c>
      <c r="F594">
        <v>0</v>
      </c>
      <c r="G594">
        <v>-1</v>
      </c>
      <c r="H594">
        <v>-1</v>
      </c>
      <c r="I594">
        <v>2</v>
      </c>
      <c r="J594">
        <v>0</v>
      </c>
      <c r="K594">
        <v>-1</v>
      </c>
      <c r="L594">
        <v>-1</v>
      </c>
      <c r="M594">
        <v>42.6666666666667</v>
      </c>
      <c r="N594">
        <v>22.6802576941989</v>
      </c>
      <c r="O594">
        <v>-1</v>
      </c>
      <c r="P594">
        <v>-1</v>
      </c>
      <c r="Q594">
        <v>-1</v>
      </c>
      <c r="R594">
        <v>0.48099999999999998</v>
      </c>
      <c r="S594">
        <v>0.58699999999999997</v>
      </c>
      <c r="T594">
        <v>0.59299999999999997</v>
      </c>
      <c r="U594">
        <v>0.60899999999999999</v>
      </c>
      <c r="AL594" t="s">
        <v>159</v>
      </c>
      <c r="AM594" t="s">
        <v>159</v>
      </c>
      <c r="AN594" t="s">
        <v>159</v>
      </c>
      <c r="AO594" t="s">
        <v>159</v>
      </c>
      <c r="BZ594">
        <v>1.148718971204397</v>
      </c>
      <c r="CA594">
        <v>26.053242285130771</v>
      </c>
      <c r="CB594">
        <v>0.73668864187058802</v>
      </c>
      <c r="CC594">
        <v>1.23395950733425</v>
      </c>
      <c r="CD594">
        <v>1.2668928410400799</v>
      </c>
      <c r="CE594">
        <v>1.35733489457267</v>
      </c>
    </row>
    <row r="595" spans="1:99" x14ac:dyDescent="0.25">
      <c r="A595" t="s">
        <v>152</v>
      </c>
      <c r="B595" t="s">
        <v>163</v>
      </c>
      <c r="C595" t="s">
        <v>158</v>
      </c>
      <c r="D595">
        <v>-1</v>
      </c>
      <c r="E595">
        <v>72</v>
      </c>
      <c r="F595">
        <v>-1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2304</v>
      </c>
      <c r="N595">
        <v>1224.73391548674</v>
      </c>
      <c r="O595">
        <v>-1</v>
      </c>
      <c r="P595">
        <v>-1</v>
      </c>
      <c r="Q595">
        <v>-1</v>
      </c>
      <c r="R595">
        <v>0.46800000000000003</v>
      </c>
      <c r="S595">
        <v>0.88600000000000001</v>
      </c>
      <c r="T595">
        <v>0.85099999999999998</v>
      </c>
      <c r="U595">
        <v>0.61899999999999999</v>
      </c>
      <c r="V595">
        <v>0.57099999999999995</v>
      </c>
      <c r="W595">
        <v>0.68899999999999995</v>
      </c>
      <c r="X595">
        <v>0.495</v>
      </c>
      <c r="Y595">
        <v>0.54</v>
      </c>
      <c r="Z595">
        <v>0.55400000000000005</v>
      </c>
      <c r="AA595">
        <v>0.42399999999999999</v>
      </c>
      <c r="AB595">
        <v>0.32500000000000001</v>
      </c>
      <c r="AC595">
        <v>0.55400000000000005</v>
      </c>
      <c r="AD595">
        <v>0.61499999999999999</v>
      </c>
      <c r="AE595">
        <v>0.58899999999999997</v>
      </c>
      <c r="AF595">
        <v>0.56399999999999995</v>
      </c>
      <c r="AG595">
        <v>0.69699999999999995</v>
      </c>
      <c r="AH595">
        <v>0.54700000000000004</v>
      </c>
      <c r="AI595">
        <v>0.52500000000000002</v>
      </c>
      <c r="AJ595">
        <v>0.47899999999999998</v>
      </c>
      <c r="AK595">
        <v>0.39900000000000002</v>
      </c>
      <c r="AL595" t="s">
        <v>159</v>
      </c>
      <c r="AM595" t="s">
        <v>159</v>
      </c>
      <c r="AN595" t="s">
        <v>159</v>
      </c>
      <c r="AO595" t="s">
        <v>159</v>
      </c>
      <c r="AP595" t="s">
        <v>159</v>
      </c>
      <c r="AQ595" t="s">
        <v>159</v>
      </c>
      <c r="AR595" t="s">
        <v>159</v>
      </c>
      <c r="AS595" t="s">
        <v>159</v>
      </c>
      <c r="AT595" t="s">
        <v>159</v>
      </c>
      <c r="AU595" t="s">
        <v>159</v>
      </c>
      <c r="AV595" t="s">
        <v>159</v>
      </c>
      <c r="AW595" t="s">
        <v>159</v>
      </c>
      <c r="AX595" t="s">
        <v>159</v>
      </c>
      <c r="AY595" t="s">
        <v>159</v>
      </c>
      <c r="AZ595" t="s">
        <v>159</v>
      </c>
      <c r="BA595" t="s">
        <v>159</v>
      </c>
      <c r="BB595" t="s">
        <v>159</v>
      </c>
      <c r="BC595" t="s">
        <v>159</v>
      </c>
      <c r="BD595" t="s">
        <v>159</v>
      </c>
      <c r="BE595" t="s">
        <v>159</v>
      </c>
      <c r="BZ595">
        <v>1.5874181420088982</v>
      </c>
      <c r="CA595">
        <v>1944.1648365772437</v>
      </c>
      <c r="CB595">
        <v>0.705304625931365</v>
      </c>
      <c r="CC595">
        <v>5.4026400512457204</v>
      </c>
      <c r="CD595">
        <v>4.7508110469440297</v>
      </c>
      <c r="CE595">
        <v>1.7210188668781801</v>
      </c>
      <c r="CF595">
        <v>1.33033692716872</v>
      </c>
      <c r="CG595">
        <v>2.42220992250386</v>
      </c>
      <c r="CH595">
        <v>0.84349603525331196</v>
      </c>
      <c r="CI595">
        <v>1.1133419026011599</v>
      </c>
      <c r="CJ595">
        <v>1.20806029430457</v>
      </c>
      <c r="CK595">
        <v>0.51474192636973903</v>
      </c>
      <c r="CL595">
        <v>0.220394312294833</v>
      </c>
      <c r="CM595">
        <v>1.20806029430457</v>
      </c>
      <c r="CN595">
        <v>1.68579235620992</v>
      </c>
      <c r="CO595">
        <v>1.4687918408554901</v>
      </c>
      <c r="CP595">
        <v>1.27900665047079</v>
      </c>
      <c r="CQ595">
        <v>2.5130725307792301</v>
      </c>
      <c r="CR595">
        <v>1.16003750880602</v>
      </c>
      <c r="CS595">
        <v>1.0176551595978101</v>
      </c>
      <c r="CT595">
        <v>0.75956115947888903</v>
      </c>
      <c r="CU595">
        <v>0.42402942817975098</v>
      </c>
    </row>
    <row r="596" spans="1:99" x14ac:dyDescent="0.25">
      <c r="A596" t="s">
        <v>152</v>
      </c>
      <c r="B596" t="s">
        <v>201</v>
      </c>
      <c r="C596" t="s">
        <v>192</v>
      </c>
      <c r="D596">
        <v>-1</v>
      </c>
      <c r="E596">
        <v>-1</v>
      </c>
      <c r="F596">
        <v>-1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8904</v>
      </c>
      <c r="N596">
        <v>4733.08627755814</v>
      </c>
      <c r="O596">
        <v>27</v>
      </c>
      <c r="P596">
        <v>26</v>
      </c>
      <c r="Q596">
        <v>53</v>
      </c>
      <c r="R596">
        <v>0.152</v>
      </c>
      <c r="S596">
        <v>0.157</v>
      </c>
      <c r="T596">
        <v>0.16400000000000001</v>
      </c>
      <c r="U596">
        <v>0.11700000000000001</v>
      </c>
      <c r="V596">
        <v>0.14199999999999999</v>
      </c>
      <c r="W596">
        <v>0.151</v>
      </c>
      <c r="X596">
        <v>0.13300000000000001</v>
      </c>
      <c r="Y596">
        <v>0.123</v>
      </c>
      <c r="Z596">
        <v>0.153</v>
      </c>
      <c r="AA596">
        <v>0.152</v>
      </c>
      <c r="AB596">
        <v>0.14799999999999999</v>
      </c>
      <c r="AC596">
        <v>0.154</v>
      </c>
      <c r="AD596">
        <v>0.16800000000000001</v>
      </c>
      <c r="AE596">
        <v>0.17699999999999999</v>
      </c>
      <c r="AF596">
        <v>0.14699999999999999</v>
      </c>
      <c r="AG596">
        <v>0.14799999999999999</v>
      </c>
      <c r="AH596">
        <v>0.14799999999999999</v>
      </c>
      <c r="AI596">
        <v>0.14499999999999999</v>
      </c>
      <c r="AJ596">
        <v>0.17799999999999999</v>
      </c>
      <c r="AK596">
        <v>0.153</v>
      </c>
      <c r="BZ596">
        <v>1.0675521527999996E-2</v>
      </c>
      <c r="CA596">
        <v>50.528164449953287</v>
      </c>
      <c r="CB596">
        <v>1.069345536E-2</v>
      </c>
      <c r="CC596">
        <v>1.1783824185E-2</v>
      </c>
      <c r="CD596">
        <v>1.343132448E-2</v>
      </c>
      <c r="CE596">
        <v>4.8769115850000001E-3</v>
      </c>
      <c r="CF596">
        <v>8.7187119600000001E-3</v>
      </c>
      <c r="CG596">
        <v>1.0483785795000001E-2</v>
      </c>
      <c r="CH596">
        <v>7.1637796649999998E-3</v>
      </c>
      <c r="CI596">
        <v>5.6663400150000001E-3</v>
      </c>
      <c r="CJ596">
        <v>1.0905901964999999E-2</v>
      </c>
      <c r="CK596">
        <v>1.069345536E-2</v>
      </c>
      <c r="CL596">
        <v>9.8712566399999993E-3</v>
      </c>
      <c r="CM596">
        <v>1.112114388E-2</v>
      </c>
      <c r="CN596">
        <v>1.443826944E-2</v>
      </c>
      <c r="CO596">
        <v>1.6885234485000001E-2</v>
      </c>
      <c r="CP596">
        <v>9.6725125350000003E-3</v>
      </c>
      <c r="CQ596">
        <v>9.8712566399999993E-3</v>
      </c>
      <c r="CR596">
        <v>9.8712566399999993E-3</v>
      </c>
      <c r="CS596">
        <v>9.2830631249999993E-3</v>
      </c>
      <c r="CT596">
        <v>1.7173044839999999E-2</v>
      </c>
      <c r="CU596">
        <v>1.0905901964999999E-2</v>
      </c>
    </row>
    <row r="597" spans="1:99" x14ac:dyDescent="0.25">
      <c r="A597" t="s">
        <v>152</v>
      </c>
      <c r="B597" t="s">
        <v>202</v>
      </c>
      <c r="C597" t="s">
        <v>192</v>
      </c>
      <c r="D597">
        <v>-1</v>
      </c>
      <c r="E597">
        <v>-1</v>
      </c>
      <c r="F597">
        <v>-1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-1</v>
      </c>
      <c r="M597">
        <v>6216</v>
      </c>
      <c r="N597">
        <v>3304.2300428236099</v>
      </c>
      <c r="O597">
        <v>18</v>
      </c>
      <c r="P597">
        <v>19</v>
      </c>
      <c r="Q597">
        <v>37</v>
      </c>
      <c r="R597">
        <v>0.10199999999999999</v>
      </c>
      <c r="S597">
        <v>9.6000000000000002E-2</v>
      </c>
      <c r="T597">
        <v>9.7000000000000003E-2</v>
      </c>
      <c r="U597">
        <v>0.109</v>
      </c>
      <c r="V597">
        <v>8.5000000000000006E-2</v>
      </c>
      <c r="W597">
        <v>0.10199999999999999</v>
      </c>
      <c r="X597">
        <v>0.124</v>
      </c>
      <c r="Y597">
        <v>0.128</v>
      </c>
      <c r="Z597">
        <v>0.10100000000000001</v>
      </c>
      <c r="AA597">
        <v>9.5000000000000001E-2</v>
      </c>
      <c r="AB597">
        <v>0.111</v>
      </c>
      <c r="AC597">
        <v>0.105</v>
      </c>
      <c r="AD597">
        <v>9.4E-2</v>
      </c>
      <c r="AE597">
        <v>8.5999999999999993E-2</v>
      </c>
      <c r="AF597">
        <v>9.7000000000000003E-2</v>
      </c>
      <c r="AG597">
        <v>8.5999999999999993E-2</v>
      </c>
      <c r="AH597">
        <v>8.5000000000000006E-2</v>
      </c>
      <c r="AI597">
        <v>0.13200000000000001</v>
      </c>
      <c r="AJ597">
        <v>8.7999999999999995E-2</v>
      </c>
      <c r="AK597">
        <v>9.5000000000000001E-2</v>
      </c>
      <c r="BZ597">
        <v>2.1713995999999998E-3</v>
      </c>
      <c r="CA597">
        <v>7.1748037932951689</v>
      </c>
      <c r="CB597">
        <v>2.1224159999999998E-3</v>
      </c>
      <c r="CC597">
        <v>1.769472E-3</v>
      </c>
      <c r="CD597">
        <v>1.825346E-3</v>
      </c>
      <c r="CE597">
        <v>2.5900580000000001E-3</v>
      </c>
      <c r="CF597">
        <v>1.22825E-3</v>
      </c>
      <c r="CG597">
        <v>2.1224159999999998E-3</v>
      </c>
      <c r="CH597">
        <v>3.813248E-3</v>
      </c>
      <c r="CI597">
        <v>4.1943040000000003E-3</v>
      </c>
      <c r="CJ597">
        <v>2.0606019999999999E-3</v>
      </c>
      <c r="CK597">
        <v>1.7147499999999999E-3</v>
      </c>
      <c r="CL597">
        <v>2.735262E-3</v>
      </c>
      <c r="CM597">
        <v>2.31525E-3</v>
      </c>
      <c r="CN597">
        <v>1.661168E-3</v>
      </c>
      <c r="CO597">
        <v>1.2721119999999999E-3</v>
      </c>
      <c r="CP597">
        <v>1.825346E-3</v>
      </c>
      <c r="CQ597">
        <v>1.2721119999999999E-3</v>
      </c>
      <c r="CR597">
        <v>1.22825E-3</v>
      </c>
      <c r="CS597">
        <v>4.5999359999999998E-3</v>
      </c>
      <c r="CT597">
        <v>1.362944E-3</v>
      </c>
      <c r="CU597">
        <v>1.7147499999999999E-3</v>
      </c>
    </row>
    <row r="598" spans="1:99" x14ac:dyDescent="0.25">
      <c r="A598" t="s">
        <v>152</v>
      </c>
      <c r="B598" t="s">
        <v>204</v>
      </c>
      <c r="C598" t="s">
        <v>192</v>
      </c>
      <c r="D598">
        <v>-1</v>
      </c>
      <c r="E598">
        <v>-1</v>
      </c>
      <c r="F598">
        <v>-1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2184</v>
      </c>
      <c r="N598">
        <v>1160.94569072181</v>
      </c>
      <c r="O598">
        <v>6</v>
      </c>
      <c r="P598">
        <v>7</v>
      </c>
      <c r="Q598">
        <v>13</v>
      </c>
      <c r="R598">
        <v>0.125</v>
      </c>
      <c r="S598">
        <v>0.11899999999999999</v>
      </c>
      <c r="T598">
        <v>0.13300000000000001</v>
      </c>
      <c r="U598">
        <v>0.13900000000000001</v>
      </c>
      <c r="V598">
        <v>0.11</v>
      </c>
      <c r="W598">
        <v>0.14000000000000001</v>
      </c>
      <c r="X598">
        <v>0.127</v>
      </c>
      <c r="Y598">
        <v>0.13700000000000001</v>
      </c>
      <c r="Z598">
        <v>0.13200000000000001</v>
      </c>
      <c r="AA598">
        <v>0.12</v>
      </c>
      <c r="AB598">
        <v>0.13100000000000001</v>
      </c>
      <c r="AC598">
        <v>0.13800000000000001</v>
      </c>
      <c r="AD598">
        <v>0.13300000000000001</v>
      </c>
      <c r="BZ598">
        <v>4.4043144615384614E-3</v>
      </c>
      <c r="CA598">
        <v>5.113169894706826</v>
      </c>
      <c r="CB598">
        <v>3.90625E-3</v>
      </c>
      <c r="CC598">
        <v>3.3703180000000002E-3</v>
      </c>
      <c r="CD598">
        <v>4.7052739999999997E-3</v>
      </c>
      <c r="CE598">
        <v>5.3712380000000004E-3</v>
      </c>
      <c r="CF598">
        <v>2.6619999999999999E-3</v>
      </c>
      <c r="CG598">
        <v>5.4879999999999998E-3</v>
      </c>
      <c r="CH598">
        <v>4.0967659999999999E-3</v>
      </c>
      <c r="CI598">
        <v>5.1427060000000004E-3</v>
      </c>
      <c r="CJ598">
        <v>4.5999359999999998E-3</v>
      </c>
      <c r="CK598">
        <v>3.4559999999999999E-3</v>
      </c>
      <c r="CL598">
        <v>4.4961819999999996E-3</v>
      </c>
      <c r="CM598">
        <v>5.2561439999999999E-3</v>
      </c>
      <c r="CN598">
        <v>4.7052739999999997E-3</v>
      </c>
    </row>
    <row r="599" spans="1:99" x14ac:dyDescent="0.25">
      <c r="A599" t="s">
        <v>152</v>
      </c>
      <c r="B599" t="s">
        <v>161</v>
      </c>
      <c r="C599" t="s">
        <v>154</v>
      </c>
      <c r="D599">
        <v>-1</v>
      </c>
      <c r="E599">
        <v>2</v>
      </c>
      <c r="F599">
        <v>1</v>
      </c>
      <c r="G599">
        <v>-1</v>
      </c>
      <c r="H599">
        <v>-1</v>
      </c>
      <c r="I599">
        <v>5</v>
      </c>
      <c r="J599">
        <v>2</v>
      </c>
      <c r="K599">
        <v>-1</v>
      </c>
      <c r="L599">
        <v>-1</v>
      </c>
      <c r="M599">
        <v>106.666666666667</v>
      </c>
      <c r="N599">
        <v>56.7006442354974</v>
      </c>
      <c r="O599">
        <v>-1</v>
      </c>
      <c r="P599">
        <v>-1</v>
      </c>
      <c r="Q599">
        <v>-1</v>
      </c>
      <c r="R599">
        <v>0.96199999999999997</v>
      </c>
      <c r="S599">
        <v>0.88600000000000001</v>
      </c>
      <c r="T599">
        <v>0.94099999999999995</v>
      </c>
      <c r="U599">
        <v>1.0089999999999999</v>
      </c>
      <c r="V599">
        <v>1.018</v>
      </c>
      <c r="W599">
        <v>1.59</v>
      </c>
      <c r="X599">
        <v>0.85699999999999998</v>
      </c>
      <c r="Y599">
        <v>0.873</v>
      </c>
      <c r="Z599">
        <v>0.91200000000000003</v>
      </c>
      <c r="AA599">
        <v>0.93600000000000005</v>
      </c>
      <c r="AL599" t="s">
        <v>155</v>
      </c>
      <c r="AM599" t="s">
        <v>159</v>
      </c>
      <c r="AN599" t="s">
        <v>156</v>
      </c>
      <c r="AO599" t="s">
        <v>155</v>
      </c>
      <c r="AP599" t="s">
        <v>159</v>
      </c>
      <c r="AQ599" t="s">
        <v>159</v>
      </c>
      <c r="AR599" t="s">
        <v>156</v>
      </c>
      <c r="AS599" t="s">
        <v>159</v>
      </c>
      <c r="AT599" t="s">
        <v>156</v>
      </c>
      <c r="AU599" t="s">
        <v>155</v>
      </c>
      <c r="BZ599">
        <v>5.3394104401772022</v>
      </c>
      <c r="CA599">
        <v>302.7480117957881</v>
      </c>
      <c r="CB599">
        <v>4.4355927281215202</v>
      </c>
      <c r="CC599">
        <v>3.5841119458046902</v>
      </c>
      <c r="CD599">
        <v>4.1891445941979901</v>
      </c>
      <c r="CE599">
        <v>5.0188746243326703</v>
      </c>
      <c r="CF599">
        <v>5.1356447118456696</v>
      </c>
      <c r="CG599">
        <v>16.298467777945</v>
      </c>
      <c r="CH599">
        <v>3.2881267857863699</v>
      </c>
      <c r="CI599">
        <v>3.4494918041937002</v>
      </c>
      <c r="CJ599">
        <v>3.86291238060014</v>
      </c>
      <c r="CK599">
        <v>4.1317370489442702</v>
      </c>
    </row>
    <row r="600" spans="1:99" x14ac:dyDescent="0.25">
      <c r="A600" t="s">
        <v>152</v>
      </c>
      <c r="B600" t="s">
        <v>165</v>
      </c>
      <c r="C600" t="s">
        <v>158</v>
      </c>
      <c r="D600">
        <v>-1</v>
      </c>
      <c r="E600">
        <v>0</v>
      </c>
      <c r="F600">
        <v>-1</v>
      </c>
      <c r="G600">
        <v>-1</v>
      </c>
      <c r="H600">
        <v>-1</v>
      </c>
      <c r="I600">
        <v>3</v>
      </c>
      <c r="J600">
        <v>-1</v>
      </c>
      <c r="K600">
        <v>7</v>
      </c>
      <c r="L600">
        <v>-1</v>
      </c>
      <c r="M600">
        <v>45.714285714285701</v>
      </c>
      <c r="N600">
        <v>24.300276100927402</v>
      </c>
      <c r="O600">
        <v>-1</v>
      </c>
      <c r="P600">
        <v>-1</v>
      </c>
      <c r="Q600">
        <v>-1</v>
      </c>
      <c r="R600">
        <v>3.9750000000000001</v>
      </c>
      <c r="S600">
        <v>3.5659999999999998</v>
      </c>
      <c r="T600">
        <v>3.8</v>
      </c>
      <c r="U600">
        <v>1.738</v>
      </c>
      <c r="V600">
        <v>3.339</v>
      </c>
      <c r="W600">
        <v>3.2690000000000001</v>
      </c>
      <c r="X600">
        <v>3.2669999999999999</v>
      </c>
      <c r="Y600">
        <v>1.298</v>
      </c>
      <c r="Z600">
        <v>1.6579999999999999</v>
      </c>
      <c r="AA600">
        <v>1.98</v>
      </c>
      <c r="AL600" t="s">
        <v>159</v>
      </c>
      <c r="AM600" t="s">
        <v>159</v>
      </c>
      <c r="AN600" t="s">
        <v>159</v>
      </c>
      <c r="AO600" t="s">
        <v>159</v>
      </c>
      <c r="AP600" t="s">
        <v>159</v>
      </c>
      <c r="AQ600" t="s">
        <v>159</v>
      </c>
      <c r="AR600" t="s">
        <v>159</v>
      </c>
      <c r="AS600" t="s">
        <v>159</v>
      </c>
      <c r="AT600" t="s">
        <v>159</v>
      </c>
      <c r="AU600" t="s">
        <v>159</v>
      </c>
      <c r="BZ600">
        <v>8.5107870722954129</v>
      </c>
      <c r="CA600">
        <v>206.81447569298211</v>
      </c>
      <c r="CB600">
        <v>17.508142832862799</v>
      </c>
      <c r="CC600">
        <v>13.101894877804099</v>
      </c>
      <c r="CD600">
        <v>15.5250189460354</v>
      </c>
      <c r="CE600">
        <v>1.9228385806646899</v>
      </c>
      <c r="CF600">
        <v>10.9917229862642</v>
      </c>
      <c r="CG600">
        <v>10.3871827798363</v>
      </c>
      <c r="CH600">
        <v>10.3702237025089</v>
      </c>
      <c r="CI600">
        <v>0.88196908978267496</v>
      </c>
      <c r="CJ600">
        <v>1.69551103577486</v>
      </c>
      <c r="CK600">
        <v>2.7233658914202299</v>
      </c>
    </row>
    <row r="601" spans="1:99" x14ac:dyDescent="0.25">
      <c r="A601" t="s">
        <v>152</v>
      </c>
      <c r="B601" t="s">
        <v>212</v>
      </c>
      <c r="C601" t="s">
        <v>192</v>
      </c>
      <c r="D601">
        <v>-1</v>
      </c>
      <c r="E601">
        <v>-1</v>
      </c>
      <c r="F601">
        <v>-1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672</v>
      </c>
      <c r="N601">
        <v>357.21405868363303</v>
      </c>
      <c r="O601">
        <v>1</v>
      </c>
      <c r="P601">
        <v>3</v>
      </c>
      <c r="Q601">
        <v>4</v>
      </c>
      <c r="R601">
        <v>0.28199999999999997</v>
      </c>
      <c r="S601">
        <v>0.42599999999999999</v>
      </c>
      <c r="T601">
        <v>0.30299999999999999</v>
      </c>
      <c r="U601">
        <v>0.316</v>
      </c>
      <c r="BZ601">
        <v>0.39776791750000001</v>
      </c>
      <c r="CA601">
        <v>142.08829222431152</v>
      </c>
      <c r="CB601">
        <v>0.22425767999999999</v>
      </c>
      <c r="CC601">
        <v>0.77308776000000001</v>
      </c>
      <c r="CD601">
        <v>0.27818126999999998</v>
      </c>
      <c r="CE601">
        <v>0.31554495999999999</v>
      </c>
    </row>
    <row r="602" spans="1:99" x14ac:dyDescent="0.25">
      <c r="A602" t="s">
        <v>152</v>
      </c>
      <c r="B602" t="s">
        <v>207</v>
      </c>
      <c r="C602" t="s">
        <v>192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672</v>
      </c>
      <c r="N602">
        <v>357.21405868363303</v>
      </c>
      <c r="O602">
        <v>3</v>
      </c>
      <c r="P602">
        <v>1</v>
      </c>
      <c r="Q602">
        <v>4</v>
      </c>
      <c r="R602">
        <v>0.20399999999999999</v>
      </c>
      <c r="S602">
        <v>0.17499999999999999</v>
      </c>
      <c r="T602">
        <v>0.13200000000000001</v>
      </c>
      <c r="U602">
        <v>0.104</v>
      </c>
      <c r="BZ602">
        <v>4.3184677499999997E-2</v>
      </c>
      <c r="CA602">
        <v>15.426173922718766</v>
      </c>
      <c r="CB602">
        <v>8.4896639999999995E-2</v>
      </c>
      <c r="CC602">
        <v>5.3593750000000002E-2</v>
      </c>
      <c r="CD602">
        <v>2.2999680000000002E-2</v>
      </c>
      <c r="CE602">
        <v>1.1248640000000001E-2</v>
      </c>
    </row>
    <row r="603" spans="1:99" x14ac:dyDescent="0.25">
      <c r="A603" t="s">
        <v>152</v>
      </c>
      <c r="B603" t="s">
        <v>209</v>
      </c>
      <c r="C603" t="s">
        <v>192</v>
      </c>
      <c r="D603">
        <v>-1</v>
      </c>
      <c r="E603">
        <v>-1</v>
      </c>
      <c r="F603">
        <v>-1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4032</v>
      </c>
      <c r="N603">
        <v>2143.2843521017999</v>
      </c>
      <c r="O603">
        <v>12</v>
      </c>
      <c r="P603">
        <v>12</v>
      </c>
      <c r="Q603">
        <v>24</v>
      </c>
      <c r="R603">
        <v>7.0999999999999994E-2</v>
      </c>
      <c r="S603">
        <v>7.8E-2</v>
      </c>
      <c r="T603">
        <v>0.122</v>
      </c>
      <c r="U603">
        <v>0.121</v>
      </c>
      <c r="V603">
        <v>9.1999999999999998E-2</v>
      </c>
      <c r="W603">
        <v>0.08</v>
      </c>
      <c r="X603">
        <v>0.11</v>
      </c>
      <c r="Y603">
        <v>0.115</v>
      </c>
      <c r="Z603">
        <v>9.1999999999999998E-2</v>
      </c>
      <c r="AA603">
        <v>9.9000000000000005E-2</v>
      </c>
      <c r="AB603">
        <v>0.111</v>
      </c>
      <c r="AC603">
        <v>8.2000000000000003E-2</v>
      </c>
      <c r="AD603">
        <v>8.5000000000000006E-2</v>
      </c>
      <c r="AE603">
        <v>0.09</v>
      </c>
      <c r="AF603">
        <v>9.4E-2</v>
      </c>
      <c r="AG603">
        <v>9.4E-2</v>
      </c>
      <c r="AH603">
        <v>7.4999999999999997E-2</v>
      </c>
      <c r="AI603">
        <v>0.1</v>
      </c>
      <c r="AJ603">
        <v>0.111</v>
      </c>
      <c r="AK603">
        <v>0.11600000000000001</v>
      </c>
      <c r="BZ603">
        <v>3.0161078639999998E-2</v>
      </c>
      <c r="CA603">
        <v>64.643767891623838</v>
      </c>
      <c r="CB603">
        <v>1.1023658800000001E-2</v>
      </c>
      <c r="CC603">
        <v>1.46162016E-2</v>
      </c>
      <c r="CD603">
        <v>5.5928118399999997E-2</v>
      </c>
      <c r="CE603">
        <v>5.4564078799999999E-2</v>
      </c>
      <c r="CF603">
        <v>2.3983590400000001E-2</v>
      </c>
      <c r="CG603">
        <v>1.5769600000000002E-2</v>
      </c>
      <c r="CH603">
        <v>4.0994799999999998E-2</v>
      </c>
      <c r="CI603">
        <v>4.6842950000000001E-2</v>
      </c>
      <c r="CJ603">
        <v>2.3983590400000001E-2</v>
      </c>
      <c r="CK603">
        <v>2.9885209199999999E-2</v>
      </c>
      <c r="CL603">
        <v>4.21230348E-2</v>
      </c>
      <c r="CM603">
        <v>1.6982134400000001E-2</v>
      </c>
      <c r="CN603">
        <v>1.8915049999999999E-2</v>
      </c>
      <c r="CO603">
        <v>2.24532E-2</v>
      </c>
      <c r="CP603">
        <v>2.55819872E-2</v>
      </c>
      <c r="CQ603">
        <v>2.55819872E-2</v>
      </c>
      <c r="CR603">
        <v>1.299375E-2</v>
      </c>
      <c r="CS603">
        <v>3.0800000000000001E-2</v>
      </c>
      <c r="CT603">
        <v>4.21230348E-2</v>
      </c>
      <c r="CU603">
        <v>4.8075596800000002E-2</v>
      </c>
    </row>
    <row r="604" spans="1:99" x14ac:dyDescent="0.25">
      <c r="A604" t="s">
        <v>152</v>
      </c>
      <c r="B604" t="s">
        <v>213</v>
      </c>
      <c r="C604" t="s">
        <v>192</v>
      </c>
      <c r="D604">
        <v>-1</v>
      </c>
      <c r="E604">
        <v>-1</v>
      </c>
      <c r="F604">
        <v>-1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168</v>
      </c>
      <c r="N604">
        <v>89.303514670908399</v>
      </c>
      <c r="O604">
        <v>1</v>
      </c>
      <c r="P604">
        <v>0</v>
      </c>
      <c r="Q604">
        <v>1</v>
      </c>
      <c r="R604">
        <v>7.6999999999999999E-2</v>
      </c>
      <c r="BZ604">
        <v>1.40612164E-2</v>
      </c>
      <c r="CA604">
        <v>1.2557160450682177</v>
      </c>
      <c r="CB604">
        <v>1.40612164E-2</v>
      </c>
    </row>
    <row r="605" spans="1:99" x14ac:dyDescent="0.25">
      <c r="A605" t="s">
        <v>152</v>
      </c>
      <c r="B605" t="s">
        <v>178</v>
      </c>
      <c r="C605" t="s">
        <v>158</v>
      </c>
      <c r="D605">
        <v>-1</v>
      </c>
      <c r="E605">
        <v>47</v>
      </c>
      <c r="F605">
        <v>-1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1504</v>
      </c>
      <c r="N605">
        <v>799.47908372051302</v>
      </c>
      <c r="O605">
        <v>-1</v>
      </c>
      <c r="P605">
        <v>-1</v>
      </c>
      <c r="Q605">
        <v>-1</v>
      </c>
      <c r="R605">
        <v>0.46200000000000002</v>
      </c>
      <c r="S605">
        <v>0.33400000000000002</v>
      </c>
      <c r="T605">
        <v>0.59199999999999997</v>
      </c>
      <c r="U605">
        <v>0.60399999999999998</v>
      </c>
      <c r="V605">
        <v>0.48599999999999999</v>
      </c>
      <c r="W605">
        <v>0.621</v>
      </c>
      <c r="X605">
        <v>0.52</v>
      </c>
      <c r="Y605">
        <v>0.46800000000000003</v>
      </c>
      <c r="Z605">
        <v>0.69599999999999995</v>
      </c>
      <c r="AA605">
        <v>0.65600000000000003</v>
      </c>
      <c r="AB605">
        <v>0.52100000000000002</v>
      </c>
      <c r="AC605">
        <v>0.46600000000000003</v>
      </c>
      <c r="AD605">
        <v>0.58799999999999997</v>
      </c>
      <c r="AE605">
        <v>0.54600000000000004</v>
      </c>
      <c r="AF605">
        <v>0.42</v>
      </c>
      <c r="AG605">
        <v>0.42599999999999999</v>
      </c>
      <c r="AH605">
        <v>0.48799999999999999</v>
      </c>
      <c r="AI605">
        <v>0.32400000000000001</v>
      </c>
      <c r="AJ605">
        <v>0.40699999999999997</v>
      </c>
      <c r="AK605">
        <v>0.52200000000000002</v>
      </c>
      <c r="AL605" t="s">
        <v>159</v>
      </c>
      <c r="AM605" t="s">
        <v>159</v>
      </c>
      <c r="AN605" t="s">
        <v>159</v>
      </c>
      <c r="AO605" t="s">
        <v>159</v>
      </c>
      <c r="AP605" t="s">
        <v>159</v>
      </c>
      <c r="AQ605" t="s">
        <v>159</v>
      </c>
      <c r="AR605" t="s">
        <v>159</v>
      </c>
      <c r="AS605" t="s">
        <v>159</v>
      </c>
      <c r="AT605" t="s">
        <v>159</v>
      </c>
      <c r="AU605" t="s">
        <v>159</v>
      </c>
      <c r="AV605" t="s">
        <v>159</v>
      </c>
      <c r="AW605" t="s">
        <v>159</v>
      </c>
      <c r="AX605" t="s">
        <v>159</v>
      </c>
      <c r="AY605" t="s">
        <v>159</v>
      </c>
      <c r="AZ605" t="s">
        <v>159</v>
      </c>
      <c r="BA605" t="s">
        <v>159</v>
      </c>
      <c r="BB605" t="s">
        <v>159</v>
      </c>
      <c r="BC605" t="s">
        <v>159</v>
      </c>
      <c r="BD605" t="s">
        <v>159</v>
      </c>
      <c r="BE605" t="s">
        <v>159</v>
      </c>
      <c r="BZ605">
        <v>3.9142739955386938</v>
      </c>
      <c r="CA605">
        <v>3129.3801873843063</v>
      </c>
      <c r="CB605">
        <v>3.0611500111974101</v>
      </c>
      <c r="CC605">
        <v>1.5239098242715301</v>
      </c>
      <c r="CD605">
        <v>5.2167020716303396</v>
      </c>
      <c r="CE605">
        <v>5.4467041125443503</v>
      </c>
      <c r="CF605">
        <v>3.41328336465364</v>
      </c>
      <c r="CG605">
        <v>5.7816434509614298</v>
      </c>
      <c r="CH605">
        <v>3.9474037924182199</v>
      </c>
      <c r="CI605">
        <v>3.14726237106817</v>
      </c>
      <c r="CJ605">
        <v>7.3877846988674296</v>
      </c>
      <c r="CK605">
        <v>6.5050047776232596</v>
      </c>
      <c r="CL605">
        <v>3.9637428378579398</v>
      </c>
      <c r="CM605">
        <v>3.1184162587169699</v>
      </c>
      <c r="CN605">
        <v>5.1412132278959097</v>
      </c>
      <c r="CO605">
        <v>4.3839798266067502</v>
      </c>
      <c r="CP605">
        <v>2.4939649150962202</v>
      </c>
      <c r="CQ605">
        <v>2.5711949313121498</v>
      </c>
      <c r="CR605">
        <v>3.4435546720916901</v>
      </c>
      <c r="CS605">
        <v>1.4275000665127699</v>
      </c>
      <c r="CT605">
        <v>2.3309467112366899</v>
      </c>
      <c r="CU605">
        <v>3.980117988211</v>
      </c>
    </row>
    <row r="606" spans="1:99" x14ac:dyDescent="0.25">
      <c r="A606" t="s">
        <v>152</v>
      </c>
      <c r="B606" t="s">
        <v>153</v>
      </c>
      <c r="C606" t="s">
        <v>154</v>
      </c>
      <c r="D606">
        <v>-1</v>
      </c>
      <c r="E606">
        <v>3</v>
      </c>
      <c r="F606">
        <v>0</v>
      </c>
      <c r="G606">
        <v>-1</v>
      </c>
      <c r="H606">
        <v>-1</v>
      </c>
      <c r="I606">
        <v>1</v>
      </c>
      <c r="J606">
        <v>0</v>
      </c>
      <c r="K606">
        <v>-1</v>
      </c>
      <c r="L606">
        <v>-1</v>
      </c>
      <c r="M606">
        <v>42.6666666666667</v>
      </c>
      <c r="N606">
        <v>22.6802576941989</v>
      </c>
      <c r="O606">
        <v>-1</v>
      </c>
      <c r="P606">
        <v>-1</v>
      </c>
      <c r="Q606">
        <v>-1</v>
      </c>
      <c r="R606">
        <v>1.1759999999999999</v>
      </c>
      <c r="S606">
        <v>1.0569999999999999</v>
      </c>
      <c r="T606">
        <v>1.1599999999999999</v>
      </c>
      <c r="U606">
        <v>1.1859999999999999</v>
      </c>
      <c r="AL606" t="s">
        <v>155</v>
      </c>
      <c r="AM606" t="s">
        <v>155</v>
      </c>
      <c r="AN606" t="s">
        <v>155</v>
      </c>
      <c r="AO606" t="s">
        <v>155</v>
      </c>
      <c r="BZ606">
        <v>6.98840977594128</v>
      </c>
      <c r="CA606">
        <v>158.49893459100701</v>
      </c>
      <c r="CB606">
        <v>7.4624801604122801</v>
      </c>
      <c r="CC606">
        <v>5.6608603776044504</v>
      </c>
      <c r="CD606">
        <v>7.2023532525725997</v>
      </c>
      <c r="CE606">
        <v>7.6279453131757897</v>
      </c>
    </row>
    <row r="607" spans="1:99" x14ac:dyDescent="0.25">
      <c r="A607" t="s">
        <v>152</v>
      </c>
      <c r="B607" t="s">
        <v>185</v>
      </c>
      <c r="C607" t="s">
        <v>154</v>
      </c>
      <c r="D607">
        <v>-1</v>
      </c>
      <c r="E607">
        <v>1</v>
      </c>
      <c r="F607">
        <v>0</v>
      </c>
      <c r="G607">
        <v>-1</v>
      </c>
      <c r="H607">
        <v>-1</v>
      </c>
      <c r="I607">
        <v>0</v>
      </c>
      <c r="J607">
        <v>0</v>
      </c>
      <c r="K607">
        <v>-1</v>
      </c>
      <c r="L607">
        <v>-1</v>
      </c>
      <c r="M607">
        <v>10.6666666666667</v>
      </c>
      <c r="N607">
        <v>5.6700644235497402</v>
      </c>
      <c r="O607">
        <v>-1</v>
      </c>
      <c r="P607">
        <v>-1</v>
      </c>
      <c r="Q607">
        <v>-1</v>
      </c>
      <c r="R607">
        <v>1.07</v>
      </c>
      <c r="AL607" t="s">
        <v>155</v>
      </c>
      <c r="BZ607">
        <v>5.8429505449105203</v>
      </c>
      <c r="CA607">
        <v>33.12990601325771</v>
      </c>
      <c r="CB607">
        <v>5.8429505449105203</v>
      </c>
    </row>
    <row r="608" spans="1:99" x14ac:dyDescent="0.25">
      <c r="A608" t="s">
        <v>152</v>
      </c>
      <c r="B608" t="s">
        <v>210</v>
      </c>
      <c r="C608" t="s">
        <v>192</v>
      </c>
      <c r="D608">
        <v>-1</v>
      </c>
      <c r="E608">
        <v>-1</v>
      </c>
      <c r="F608">
        <v>-1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6720</v>
      </c>
      <c r="N608">
        <v>3572.1405868363299</v>
      </c>
      <c r="O608">
        <v>19</v>
      </c>
      <c r="P608">
        <v>21</v>
      </c>
      <c r="Q608">
        <v>40</v>
      </c>
      <c r="R608">
        <v>0.105</v>
      </c>
      <c r="S608">
        <v>0.16500000000000001</v>
      </c>
      <c r="T608">
        <v>0.113</v>
      </c>
      <c r="U608">
        <v>0.122</v>
      </c>
      <c r="V608">
        <v>0.18099999999999999</v>
      </c>
      <c r="W608">
        <v>0.109</v>
      </c>
      <c r="X608">
        <v>0.129</v>
      </c>
      <c r="Y608">
        <v>9.9000000000000005E-2</v>
      </c>
      <c r="Z608">
        <v>0.13900000000000001</v>
      </c>
      <c r="AA608">
        <v>9.6000000000000002E-2</v>
      </c>
      <c r="AB608">
        <v>0.11</v>
      </c>
      <c r="AC608">
        <v>0.105</v>
      </c>
      <c r="AD608">
        <v>0.123</v>
      </c>
      <c r="AE608">
        <v>0.115</v>
      </c>
      <c r="AF608">
        <v>0.108</v>
      </c>
      <c r="AG608">
        <v>0.11600000000000001</v>
      </c>
      <c r="AH608">
        <v>0.10299999999999999</v>
      </c>
      <c r="AI608">
        <v>9.4E-2</v>
      </c>
      <c r="AJ608">
        <v>0.192</v>
      </c>
      <c r="AK608">
        <v>0.11799999999999999</v>
      </c>
      <c r="BZ608">
        <v>2.1077907E-2</v>
      </c>
      <c r="CA608">
        <v>75.29324708026158</v>
      </c>
      <c r="CB608">
        <v>1.157625E-2</v>
      </c>
      <c r="CC608">
        <v>4.4921250000000003E-2</v>
      </c>
      <c r="CD608">
        <v>1.4428969999999999E-2</v>
      </c>
      <c r="CE608">
        <v>1.8158480000000001E-2</v>
      </c>
      <c r="CF608">
        <v>5.9297410000000002E-2</v>
      </c>
      <c r="CG608">
        <v>1.295029E-2</v>
      </c>
      <c r="CH608">
        <v>2.1466889999999999E-2</v>
      </c>
      <c r="CI608">
        <v>9.7029899999999999E-3</v>
      </c>
      <c r="CJ608">
        <v>2.6856189999999999E-2</v>
      </c>
      <c r="CK608">
        <v>8.8473600000000003E-3</v>
      </c>
      <c r="CL608">
        <v>1.3310000000000001E-2</v>
      </c>
      <c r="CM608">
        <v>1.157625E-2</v>
      </c>
      <c r="CN608">
        <v>1.8608670000000001E-2</v>
      </c>
      <c r="CO608">
        <v>1.520875E-2</v>
      </c>
      <c r="CP608">
        <v>1.259712E-2</v>
      </c>
      <c r="CQ608">
        <v>1.560896E-2</v>
      </c>
      <c r="CR608">
        <v>1.0927269999999999E-2</v>
      </c>
      <c r="CS608">
        <v>8.3058400000000001E-3</v>
      </c>
      <c r="CT608">
        <v>7.0778880000000002E-2</v>
      </c>
      <c r="CU608">
        <v>1.6430320000000002E-2</v>
      </c>
    </row>
    <row r="609" spans="1:81" x14ac:dyDescent="0.25">
      <c r="A609" t="s">
        <v>152</v>
      </c>
      <c r="B609" t="s">
        <v>211</v>
      </c>
      <c r="C609" t="s">
        <v>192</v>
      </c>
      <c r="D609">
        <v>-1</v>
      </c>
      <c r="E609">
        <v>-1</v>
      </c>
      <c r="F609">
        <v>-1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168</v>
      </c>
      <c r="N609">
        <v>89.303514670908399</v>
      </c>
      <c r="O609">
        <v>0</v>
      </c>
      <c r="P609">
        <v>1</v>
      </c>
      <c r="Q609">
        <v>1</v>
      </c>
      <c r="R609">
        <v>0.35499999999999998</v>
      </c>
      <c r="BF609">
        <v>0.12241379310344799</v>
      </c>
      <c r="BZ609">
        <v>0.27828537800237801</v>
      </c>
      <c r="CA609">
        <v>24.851862337134655</v>
      </c>
      <c r="CB609">
        <v>0.27828537800237801</v>
      </c>
    </row>
    <row r="610" spans="1:81" x14ac:dyDescent="0.25">
      <c r="A610" t="s">
        <v>152</v>
      </c>
      <c r="B610" t="s">
        <v>214</v>
      </c>
      <c r="C610" t="s">
        <v>192</v>
      </c>
      <c r="D610">
        <v>-1</v>
      </c>
      <c r="E610">
        <v>-1</v>
      </c>
      <c r="F610">
        <v>-1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336</v>
      </c>
      <c r="N610">
        <v>178.607029341817</v>
      </c>
      <c r="O610">
        <v>2</v>
      </c>
      <c r="P610">
        <v>0</v>
      </c>
      <c r="Q610">
        <v>2</v>
      </c>
      <c r="R610">
        <v>0.16700000000000001</v>
      </c>
      <c r="S610">
        <v>0.30199999999999999</v>
      </c>
      <c r="BF610">
        <v>4.9117647058823502E-2</v>
      </c>
      <c r="BG610">
        <v>8.8823529411764704E-2</v>
      </c>
      <c r="BZ610">
        <v>7.2859101477162805E-2</v>
      </c>
      <c r="CA610">
        <v>13.013147675350039</v>
      </c>
      <c r="CB610">
        <v>2.1076228759169601E-2</v>
      </c>
      <c r="CC610">
        <v>0.12464197419515601</v>
      </c>
    </row>
  </sheetData>
  <sortState xmlns:xlrd2="http://schemas.microsoft.com/office/spreadsheetml/2017/richdata2" ref="A2:CV610">
    <sortCondition ref="A2:A610"/>
    <sortCondition ref="C2:C610"/>
    <sortCondition ref="B2:B6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F356-EFC2-3E44-B1D7-13A537EB0EC8}">
  <dimension ref="A1:CX358"/>
  <sheetViews>
    <sheetView workbookViewId="0">
      <selection activeCell="F17" sqref="F17"/>
    </sheetView>
  </sheetViews>
  <sheetFormatPr defaultColWidth="11" defaultRowHeight="15.75" x14ac:dyDescent="0.25"/>
  <cols>
    <col min="1" max="2" width="10.875" style="6"/>
  </cols>
  <sheetData>
    <row r="1" spans="1:102" x14ac:dyDescent="0.25">
      <c r="A1" s="6" t="s">
        <v>236</v>
      </c>
      <c r="B1" s="6" t="s">
        <v>238</v>
      </c>
      <c r="C1" s="3" t="s">
        <v>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  <c r="BC1" s="3" t="s">
        <v>63</v>
      </c>
      <c r="BD1" s="3" t="s">
        <v>64</v>
      </c>
      <c r="BE1" s="3" t="s">
        <v>65</v>
      </c>
      <c r="BF1" s="3" t="s">
        <v>66</v>
      </c>
      <c r="BG1" s="3" t="s">
        <v>67</v>
      </c>
      <c r="BH1" s="3" t="s">
        <v>68</v>
      </c>
      <c r="BI1" s="3" t="s">
        <v>69</v>
      </c>
      <c r="BJ1" s="3" t="s">
        <v>70</v>
      </c>
      <c r="BK1" s="3" t="s">
        <v>71</v>
      </c>
      <c r="BL1" s="3" t="s">
        <v>72</v>
      </c>
      <c r="BM1" s="3" t="s">
        <v>73</v>
      </c>
      <c r="BN1" s="3" t="s">
        <v>74</v>
      </c>
      <c r="BO1" s="3" t="s">
        <v>75</v>
      </c>
      <c r="BP1" s="3" t="s">
        <v>76</v>
      </c>
      <c r="BQ1" s="3" t="s">
        <v>77</v>
      </c>
      <c r="BR1" s="3" t="s">
        <v>78</v>
      </c>
      <c r="BS1" s="3" t="s">
        <v>79</v>
      </c>
      <c r="BT1" s="3" t="s">
        <v>80</v>
      </c>
      <c r="BU1" s="3" t="s">
        <v>81</v>
      </c>
      <c r="BV1" s="3" t="s">
        <v>82</v>
      </c>
      <c r="BW1" s="3" t="s">
        <v>83</v>
      </c>
      <c r="BX1" s="3" t="s">
        <v>84</v>
      </c>
      <c r="BY1" s="3" t="s">
        <v>85</v>
      </c>
      <c r="BZ1" s="3" t="s">
        <v>86</v>
      </c>
      <c r="CA1" s="3" t="s">
        <v>87</v>
      </c>
      <c r="CB1" s="3" t="s">
        <v>88</v>
      </c>
      <c r="CC1" s="3" t="s">
        <v>89</v>
      </c>
      <c r="CD1" s="3" t="s">
        <v>90</v>
      </c>
      <c r="CE1" s="3" t="s">
        <v>91</v>
      </c>
      <c r="CF1" s="3" t="s">
        <v>92</v>
      </c>
      <c r="CG1" s="3" t="s">
        <v>93</v>
      </c>
      <c r="CH1" s="3" t="s">
        <v>94</v>
      </c>
      <c r="CI1" s="3" t="s">
        <v>95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103</v>
      </c>
      <c r="CR1" s="3" t="s">
        <v>104</v>
      </c>
      <c r="CS1" s="3" t="s">
        <v>105</v>
      </c>
      <c r="CT1" s="3" t="s">
        <v>106</v>
      </c>
      <c r="CU1" s="3" t="s">
        <v>107</v>
      </c>
      <c r="CV1" s="3" t="s">
        <v>108</v>
      </c>
      <c r="CW1" s="3" t="s">
        <v>109</v>
      </c>
      <c r="CX1" s="3" t="s">
        <v>110</v>
      </c>
    </row>
    <row r="2" spans="1:102" x14ac:dyDescent="0.25">
      <c r="A2" s="6">
        <v>183</v>
      </c>
      <c r="B2" s="6">
        <v>2</v>
      </c>
      <c r="C2" t="s">
        <v>132</v>
      </c>
      <c r="D2" t="s">
        <v>217</v>
      </c>
      <c r="E2" t="s">
        <v>192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784</v>
      </c>
      <c r="P2">
        <v>320.94519831920297</v>
      </c>
      <c r="Q2">
        <v>0</v>
      </c>
      <c r="R2">
        <v>1</v>
      </c>
      <c r="S2">
        <v>1</v>
      </c>
      <c r="T2">
        <v>9.7000000000000003E-2</v>
      </c>
      <c r="CB2">
        <f>AVERAGE(CD2:CW2)</f>
        <v>1.0952076E-2</v>
      </c>
      <c r="CC2">
        <f t="shared" ref="CC2:CC65" si="0">CB2*P2</f>
        <v>3.515016203826983</v>
      </c>
      <c r="CD2">
        <v>1.0952076E-2</v>
      </c>
    </row>
    <row r="3" spans="1:102" x14ac:dyDescent="0.25">
      <c r="A3" s="6">
        <v>147</v>
      </c>
      <c r="B3" s="6">
        <v>2</v>
      </c>
      <c r="C3" t="s">
        <v>136</v>
      </c>
      <c r="D3" t="s">
        <v>217</v>
      </c>
      <c r="E3" t="s">
        <v>192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1280</v>
      </c>
      <c r="P3">
        <v>735.27932202161105</v>
      </c>
      <c r="Q3">
        <v>1</v>
      </c>
      <c r="R3">
        <v>1</v>
      </c>
      <c r="S3">
        <v>2</v>
      </c>
      <c r="T3">
        <v>0.14000000000000001</v>
      </c>
      <c r="U3">
        <v>0.15</v>
      </c>
      <c r="CB3">
        <f t="shared" ref="CB3:CB66" si="1">AVERAGE(CD3:CW3)</f>
        <v>3.6713999999999997E-2</v>
      </c>
      <c r="CC3">
        <f t="shared" si="0"/>
        <v>26.995045028701426</v>
      </c>
      <c r="CD3">
        <v>3.2927999999999999E-2</v>
      </c>
      <c r="CE3">
        <v>4.0500000000000001E-2</v>
      </c>
    </row>
    <row r="4" spans="1:102" x14ac:dyDescent="0.25">
      <c r="A4" s="6">
        <v>73</v>
      </c>
      <c r="B4" s="6">
        <v>2</v>
      </c>
      <c r="C4" t="s">
        <v>141</v>
      </c>
      <c r="D4" t="s">
        <v>217</v>
      </c>
      <c r="E4" t="s">
        <v>192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1968</v>
      </c>
      <c r="P4">
        <v>687.16177815402</v>
      </c>
      <c r="Q4">
        <v>0</v>
      </c>
      <c r="R4">
        <v>2</v>
      </c>
      <c r="S4">
        <v>2</v>
      </c>
      <c r="T4">
        <v>0.152</v>
      </c>
      <c r="U4">
        <v>0.13700000000000001</v>
      </c>
      <c r="CB4">
        <f t="shared" si="1"/>
        <v>3.6498966000000001E-2</v>
      </c>
      <c r="CC4">
        <f t="shared" si="0"/>
        <v>25.080694377343118</v>
      </c>
      <c r="CD4">
        <v>4.2141695999999999E-2</v>
      </c>
      <c r="CE4">
        <v>3.0856235999999999E-2</v>
      </c>
    </row>
    <row r="5" spans="1:102" x14ac:dyDescent="0.25">
      <c r="A5" s="6">
        <v>92</v>
      </c>
      <c r="B5" s="6">
        <v>2</v>
      </c>
      <c r="C5" t="s">
        <v>143</v>
      </c>
      <c r="D5" t="s">
        <v>217</v>
      </c>
      <c r="E5" t="s">
        <v>192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2368</v>
      </c>
      <c r="P5">
        <v>818.80134209591097</v>
      </c>
      <c r="Q5">
        <v>0</v>
      </c>
      <c r="R5">
        <v>1</v>
      </c>
      <c r="S5">
        <v>1</v>
      </c>
      <c r="T5">
        <v>7.5999999999999998E-2</v>
      </c>
      <c r="CB5">
        <f t="shared" si="1"/>
        <v>5.2677119999999999E-3</v>
      </c>
      <c r="CC5">
        <f t="shared" si="0"/>
        <v>4.3132096553747354</v>
      </c>
      <c r="CD5">
        <v>5.2677119999999999E-3</v>
      </c>
    </row>
    <row r="6" spans="1:102" x14ac:dyDescent="0.25">
      <c r="A6" s="6">
        <v>127</v>
      </c>
      <c r="B6" s="6">
        <v>2</v>
      </c>
      <c r="C6" t="s">
        <v>145</v>
      </c>
      <c r="D6" t="s">
        <v>217</v>
      </c>
      <c r="E6" t="s">
        <v>192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1088</v>
      </c>
      <c r="P6">
        <v>445.39333644297602</v>
      </c>
      <c r="Q6">
        <v>0</v>
      </c>
      <c r="R6">
        <v>2</v>
      </c>
      <c r="S6">
        <v>2</v>
      </c>
      <c r="T6">
        <v>0.13</v>
      </c>
      <c r="U6">
        <v>8.8999999999999996E-2</v>
      </c>
      <c r="CB6">
        <f t="shared" si="1"/>
        <v>1.7411813999999998E-2</v>
      </c>
      <c r="CC6">
        <f t="shared" si="0"/>
        <v>7.7551059309845192</v>
      </c>
      <c r="CD6">
        <v>2.6363999999999999E-2</v>
      </c>
      <c r="CE6">
        <v>8.4596280000000003E-3</v>
      </c>
    </row>
    <row r="7" spans="1:102" x14ac:dyDescent="0.25">
      <c r="A7" s="6">
        <v>184</v>
      </c>
      <c r="B7" s="6">
        <v>2</v>
      </c>
      <c r="C7" t="s">
        <v>132</v>
      </c>
      <c r="D7" t="s">
        <v>191</v>
      </c>
      <c r="E7" t="s">
        <v>192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5488</v>
      </c>
      <c r="P7">
        <v>2246.6163882344199</v>
      </c>
      <c r="Q7">
        <v>2</v>
      </c>
      <c r="R7">
        <v>5</v>
      </c>
      <c r="S7">
        <v>7</v>
      </c>
      <c r="T7">
        <v>0.115</v>
      </c>
      <c r="U7">
        <v>0.10299999999999999</v>
      </c>
      <c r="V7">
        <v>9.8000000000000004E-2</v>
      </c>
      <c r="W7">
        <v>0.106</v>
      </c>
      <c r="X7">
        <v>9.2999999999999999E-2</v>
      </c>
      <c r="Y7">
        <v>8.5000000000000006E-2</v>
      </c>
      <c r="Z7">
        <v>0.11700000000000001</v>
      </c>
      <c r="CB7">
        <f t="shared" si="1"/>
        <v>1.3312979999999999E-2</v>
      </c>
      <c r="CC7">
        <f t="shared" si="0"/>
        <v>29.909159044237065</v>
      </c>
      <c r="CD7">
        <v>1.8250499999999999E-2</v>
      </c>
      <c r="CE7">
        <v>1.3112723999999999E-2</v>
      </c>
      <c r="CF7">
        <v>1.1294304E-2</v>
      </c>
      <c r="CG7">
        <v>1.4292192E-2</v>
      </c>
      <c r="CH7">
        <v>9.6522840000000006E-3</v>
      </c>
      <c r="CI7">
        <v>7.3695000000000002E-3</v>
      </c>
      <c r="CJ7">
        <v>1.9219356E-2</v>
      </c>
    </row>
    <row r="8" spans="1:102" x14ac:dyDescent="0.25">
      <c r="A8" s="6">
        <v>206</v>
      </c>
      <c r="B8" s="6">
        <v>2</v>
      </c>
      <c r="C8" t="s">
        <v>135</v>
      </c>
      <c r="D8" t="s">
        <v>191</v>
      </c>
      <c r="E8" t="s">
        <v>192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17568</v>
      </c>
      <c r="P8">
        <v>6586.1677797293696</v>
      </c>
      <c r="Q8">
        <v>9</v>
      </c>
      <c r="R8">
        <v>9</v>
      </c>
      <c r="S8">
        <v>18</v>
      </c>
      <c r="T8">
        <v>9.6000000000000002E-2</v>
      </c>
      <c r="U8">
        <v>0.09</v>
      </c>
      <c r="V8">
        <v>0.108</v>
      </c>
      <c r="W8">
        <v>0.10199999999999999</v>
      </c>
      <c r="X8">
        <v>9.7000000000000003E-2</v>
      </c>
      <c r="Y8">
        <v>9.9000000000000005E-2</v>
      </c>
      <c r="Z8">
        <v>9.9000000000000005E-2</v>
      </c>
      <c r="AA8">
        <v>0.105</v>
      </c>
      <c r="AB8">
        <v>0.104</v>
      </c>
      <c r="AC8">
        <v>0.112</v>
      </c>
      <c r="AD8">
        <v>0.107</v>
      </c>
      <c r="AE8">
        <v>9.8000000000000004E-2</v>
      </c>
      <c r="AF8">
        <v>9.5000000000000001E-2</v>
      </c>
      <c r="AG8">
        <v>0.106</v>
      </c>
      <c r="AH8">
        <v>9.6000000000000002E-2</v>
      </c>
      <c r="AI8">
        <v>0.105</v>
      </c>
      <c r="AJ8">
        <v>9.8000000000000004E-2</v>
      </c>
      <c r="AK8">
        <v>9.6000000000000002E-2</v>
      </c>
      <c r="CB8">
        <f t="shared" si="1"/>
        <v>1.2372172666666667E-2</v>
      </c>
      <c r="CC8">
        <f t="shared" si="0"/>
        <v>81.485204982448394</v>
      </c>
      <c r="CD8">
        <v>1.0616832E-2</v>
      </c>
      <c r="CE8">
        <v>8.7480000000000006E-3</v>
      </c>
      <c r="CF8">
        <v>1.5116544000000001E-2</v>
      </c>
      <c r="CG8">
        <v>1.2734496E-2</v>
      </c>
      <c r="CH8">
        <v>1.0952076E-2</v>
      </c>
      <c r="CI8">
        <v>1.1643588E-2</v>
      </c>
      <c r="CJ8">
        <v>1.1643588E-2</v>
      </c>
      <c r="CK8">
        <v>1.3891499999999999E-2</v>
      </c>
      <c r="CL8">
        <v>1.3498368E-2</v>
      </c>
      <c r="CM8">
        <v>1.6859136E-2</v>
      </c>
      <c r="CN8">
        <v>1.4700516E-2</v>
      </c>
      <c r="CO8">
        <v>1.1294304E-2</v>
      </c>
      <c r="CP8">
        <v>1.0288500000000001E-2</v>
      </c>
      <c r="CQ8">
        <v>1.4292192E-2</v>
      </c>
      <c r="CR8">
        <v>1.0616832E-2</v>
      </c>
      <c r="CS8">
        <v>1.3891499999999999E-2</v>
      </c>
      <c r="CT8">
        <v>1.1294304E-2</v>
      </c>
      <c r="CU8">
        <v>1.0616832E-2</v>
      </c>
    </row>
    <row r="9" spans="1:102" x14ac:dyDescent="0.25">
      <c r="A9" s="6">
        <v>148</v>
      </c>
      <c r="B9" s="6">
        <v>2</v>
      </c>
      <c r="C9" t="s">
        <v>136</v>
      </c>
      <c r="D9" t="s">
        <v>191</v>
      </c>
      <c r="E9" t="s">
        <v>192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32000</v>
      </c>
      <c r="P9">
        <v>18381.983050540301</v>
      </c>
      <c r="Q9">
        <v>18</v>
      </c>
      <c r="R9">
        <v>32</v>
      </c>
      <c r="S9">
        <v>50</v>
      </c>
      <c r="T9">
        <v>0.11600000000000001</v>
      </c>
      <c r="U9">
        <v>0.122</v>
      </c>
      <c r="V9">
        <v>9.8000000000000004E-2</v>
      </c>
      <c r="W9">
        <v>0.128</v>
      </c>
      <c r="X9">
        <v>0.10299999999999999</v>
      </c>
      <c r="Y9">
        <v>0.11799999999999999</v>
      </c>
      <c r="Z9">
        <v>0.10100000000000001</v>
      </c>
      <c r="AA9">
        <v>0.11</v>
      </c>
      <c r="AB9">
        <v>0.111</v>
      </c>
      <c r="AC9">
        <v>0.115</v>
      </c>
      <c r="AD9">
        <v>0.11</v>
      </c>
      <c r="AE9">
        <v>0.10199999999999999</v>
      </c>
      <c r="AF9">
        <v>0.10199999999999999</v>
      </c>
      <c r="AG9">
        <v>9.5000000000000001E-2</v>
      </c>
      <c r="AH9">
        <v>0.10199999999999999</v>
      </c>
      <c r="AI9">
        <v>0.11899999999999999</v>
      </c>
      <c r="AJ9">
        <v>9.8000000000000004E-2</v>
      </c>
      <c r="AK9">
        <v>0.121</v>
      </c>
      <c r="AL9">
        <v>0.108</v>
      </c>
      <c r="AM9">
        <v>0.11700000000000001</v>
      </c>
      <c r="CB9">
        <f t="shared" si="1"/>
        <v>1.6219134000000003E-2</v>
      </c>
      <c r="CC9">
        <f t="shared" si="0"/>
        <v>298.13984628244197</v>
      </c>
      <c r="CD9">
        <v>1.8730752E-2</v>
      </c>
      <c r="CE9">
        <v>2.1790176000000001E-2</v>
      </c>
      <c r="CF9">
        <v>1.1294304E-2</v>
      </c>
      <c r="CG9">
        <v>2.5165824E-2</v>
      </c>
      <c r="CH9">
        <v>1.3112723999999999E-2</v>
      </c>
      <c r="CI9">
        <v>1.9716384E-2</v>
      </c>
      <c r="CJ9">
        <v>1.2363612E-2</v>
      </c>
      <c r="CK9">
        <v>1.5972E-2</v>
      </c>
      <c r="CL9">
        <v>1.6411571999999999E-2</v>
      </c>
      <c r="CM9">
        <v>1.8250499999999999E-2</v>
      </c>
      <c r="CN9">
        <v>1.5972E-2</v>
      </c>
      <c r="CO9">
        <v>1.2734496E-2</v>
      </c>
      <c r="CP9">
        <v>1.2734496E-2</v>
      </c>
      <c r="CQ9">
        <v>1.0288500000000001E-2</v>
      </c>
      <c r="CR9">
        <v>1.2734496E-2</v>
      </c>
      <c r="CS9">
        <v>2.0221908E-2</v>
      </c>
      <c r="CT9">
        <v>1.1294304E-2</v>
      </c>
      <c r="CU9">
        <v>2.1258731999999999E-2</v>
      </c>
      <c r="CV9">
        <v>1.5116544000000001E-2</v>
      </c>
      <c r="CW9">
        <v>1.9219356E-2</v>
      </c>
    </row>
    <row r="10" spans="1:102" x14ac:dyDescent="0.25">
      <c r="A10" s="6">
        <v>167</v>
      </c>
      <c r="B10" s="6">
        <v>2</v>
      </c>
      <c r="C10" t="s">
        <v>138</v>
      </c>
      <c r="D10" t="s">
        <v>191</v>
      </c>
      <c r="E10" t="s">
        <v>192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27104</v>
      </c>
      <c r="P10">
        <v>19306.229158321399</v>
      </c>
      <c r="Q10">
        <v>5</v>
      </c>
      <c r="R10">
        <v>9</v>
      </c>
      <c r="S10">
        <v>14</v>
      </c>
      <c r="T10">
        <v>0.09</v>
      </c>
      <c r="U10">
        <v>0.123</v>
      </c>
      <c r="V10">
        <v>0.121</v>
      </c>
      <c r="W10">
        <v>0.105</v>
      </c>
      <c r="X10">
        <v>0.112</v>
      </c>
      <c r="Y10">
        <v>8.6999999999999994E-2</v>
      </c>
      <c r="Z10">
        <v>9.8000000000000004E-2</v>
      </c>
      <c r="AA10">
        <v>0.114</v>
      </c>
      <c r="AB10">
        <v>9.7000000000000003E-2</v>
      </c>
      <c r="AC10">
        <v>0.1</v>
      </c>
      <c r="AD10">
        <v>9.6000000000000002E-2</v>
      </c>
      <c r="AE10">
        <v>0.1</v>
      </c>
      <c r="AF10">
        <v>9.5000000000000001E-2</v>
      </c>
      <c r="AG10">
        <v>0.1</v>
      </c>
      <c r="CB10">
        <f t="shared" si="1"/>
        <v>1.3422860571428575E-2</v>
      </c>
      <c r="CC10">
        <f t="shared" si="0"/>
        <v>259.14482215219698</v>
      </c>
      <c r="CD10">
        <v>8.7480000000000006E-3</v>
      </c>
      <c r="CE10">
        <v>2.2330404000000002E-2</v>
      </c>
      <c r="CF10">
        <v>2.1258731999999999E-2</v>
      </c>
      <c r="CG10">
        <v>1.3891499999999999E-2</v>
      </c>
      <c r="CH10">
        <v>1.6859136E-2</v>
      </c>
      <c r="CI10">
        <v>7.9020359999999994E-3</v>
      </c>
      <c r="CJ10">
        <v>1.1294304E-2</v>
      </c>
      <c r="CK10">
        <v>1.7778527999999998E-2</v>
      </c>
      <c r="CL10">
        <v>1.0952076E-2</v>
      </c>
      <c r="CM10">
        <v>1.2E-2</v>
      </c>
      <c r="CN10">
        <v>1.0616832E-2</v>
      </c>
      <c r="CO10">
        <v>1.2E-2</v>
      </c>
      <c r="CP10">
        <v>1.0288500000000001E-2</v>
      </c>
      <c r="CQ10">
        <v>1.2E-2</v>
      </c>
    </row>
    <row r="11" spans="1:102" x14ac:dyDescent="0.25">
      <c r="A11" s="6">
        <v>74</v>
      </c>
      <c r="B11" s="6">
        <v>2</v>
      </c>
      <c r="C11" t="s">
        <v>141</v>
      </c>
      <c r="D11" t="s">
        <v>191</v>
      </c>
      <c r="E11" t="s">
        <v>192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29520</v>
      </c>
      <c r="P11">
        <v>10307.426672310299</v>
      </c>
      <c r="Q11">
        <v>17</v>
      </c>
      <c r="R11">
        <v>13</v>
      </c>
      <c r="S11">
        <v>30</v>
      </c>
      <c r="T11">
        <v>8.4000000000000005E-2</v>
      </c>
      <c r="U11">
        <v>8.5999999999999993E-2</v>
      </c>
      <c r="V11">
        <v>8.8999999999999996E-2</v>
      </c>
      <c r="W11">
        <v>0.11</v>
      </c>
      <c r="X11">
        <v>9.9000000000000005E-2</v>
      </c>
      <c r="Y11">
        <v>9.8000000000000004E-2</v>
      </c>
      <c r="Z11">
        <v>9.1999999999999998E-2</v>
      </c>
      <c r="AA11">
        <v>8.7999999999999995E-2</v>
      </c>
      <c r="AB11">
        <v>9.7000000000000003E-2</v>
      </c>
      <c r="AC11">
        <v>0.10100000000000001</v>
      </c>
      <c r="AD11">
        <v>0.1</v>
      </c>
      <c r="AE11">
        <v>0.10299999999999999</v>
      </c>
      <c r="AF11">
        <v>9.7000000000000003E-2</v>
      </c>
      <c r="AG11">
        <v>0.10100000000000001</v>
      </c>
      <c r="AH11">
        <v>8.7999999999999995E-2</v>
      </c>
      <c r="AI11">
        <v>0.10199999999999999</v>
      </c>
      <c r="AJ11">
        <v>0.10100000000000001</v>
      </c>
      <c r="AK11">
        <v>9.7000000000000003E-2</v>
      </c>
      <c r="AL11">
        <v>8.8999999999999996E-2</v>
      </c>
      <c r="AM11">
        <v>0.107</v>
      </c>
      <c r="CB11">
        <f t="shared" si="1"/>
        <v>1.0938432600000001E-2</v>
      </c>
      <c r="CC11">
        <f t="shared" si="0"/>
        <v>112.7470919345085</v>
      </c>
      <c r="CD11">
        <v>7.1124480000000004E-3</v>
      </c>
      <c r="CE11">
        <v>7.6326720000000001E-3</v>
      </c>
      <c r="CF11">
        <v>8.4596280000000003E-3</v>
      </c>
      <c r="CG11">
        <v>1.5972E-2</v>
      </c>
      <c r="CH11">
        <v>1.1643588E-2</v>
      </c>
      <c r="CI11">
        <v>1.1294304E-2</v>
      </c>
      <c r="CJ11">
        <v>9.3442560000000004E-3</v>
      </c>
      <c r="CK11">
        <v>8.1776639999999994E-3</v>
      </c>
      <c r="CL11">
        <v>1.0952076E-2</v>
      </c>
      <c r="CM11">
        <v>1.2363612E-2</v>
      </c>
      <c r="CN11">
        <v>1.2E-2</v>
      </c>
      <c r="CO11">
        <v>1.3112723999999999E-2</v>
      </c>
      <c r="CP11">
        <v>1.0952076E-2</v>
      </c>
      <c r="CQ11">
        <v>1.2363612E-2</v>
      </c>
      <c r="CR11">
        <v>8.1776639999999994E-3</v>
      </c>
      <c r="CS11">
        <v>1.2734496E-2</v>
      </c>
      <c r="CT11">
        <v>1.2363612E-2</v>
      </c>
      <c r="CU11">
        <v>1.0952076E-2</v>
      </c>
      <c r="CV11">
        <v>8.4596280000000003E-3</v>
      </c>
      <c r="CW11">
        <v>1.4700516E-2</v>
      </c>
    </row>
    <row r="12" spans="1:102" x14ac:dyDescent="0.25">
      <c r="A12" s="6">
        <v>93</v>
      </c>
      <c r="B12" s="6">
        <v>2</v>
      </c>
      <c r="C12" t="s">
        <v>143</v>
      </c>
      <c r="D12" t="s">
        <v>191</v>
      </c>
      <c r="E12" t="s">
        <v>192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16576</v>
      </c>
      <c r="P12">
        <v>5731.60939467137</v>
      </c>
      <c r="Q12">
        <v>5</v>
      </c>
      <c r="R12">
        <v>2</v>
      </c>
      <c r="S12">
        <v>7</v>
      </c>
      <c r="T12">
        <v>0.13</v>
      </c>
      <c r="U12">
        <v>0.11700000000000001</v>
      </c>
      <c r="V12">
        <v>9.8000000000000004E-2</v>
      </c>
      <c r="W12">
        <v>0.106</v>
      </c>
      <c r="X12">
        <v>0.09</v>
      </c>
      <c r="Y12">
        <v>0.112</v>
      </c>
      <c r="Z12">
        <v>0.10100000000000001</v>
      </c>
      <c r="CB12">
        <f t="shared" si="1"/>
        <v>1.5591514285714285E-2</v>
      </c>
      <c r="CC12">
        <f t="shared" si="0"/>
        <v>89.364469757152861</v>
      </c>
      <c r="CD12">
        <v>2.6363999999999999E-2</v>
      </c>
      <c r="CE12">
        <v>1.9219356E-2</v>
      </c>
      <c r="CF12">
        <v>1.1294304E-2</v>
      </c>
      <c r="CG12">
        <v>1.4292192E-2</v>
      </c>
      <c r="CH12">
        <v>8.7480000000000006E-3</v>
      </c>
      <c r="CI12">
        <v>1.6859136E-2</v>
      </c>
      <c r="CJ12">
        <v>1.2363612E-2</v>
      </c>
    </row>
    <row r="13" spans="1:102" x14ac:dyDescent="0.25">
      <c r="A13" s="6">
        <v>111</v>
      </c>
      <c r="B13" s="6">
        <v>2</v>
      </c>
      <c r="C13" t="s">
        <v>144</v>
      </c>
      <c r="D13" t="s">
        <v>191</v>
      </c>
      <c r="E13" t="s">
        <v>192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3584</v>
      </c>
      <c r="P13">
        <v>1501.6998859170801</v>
      </c>
      <c r="Q13">
        <v>1</v>
      </c>
      <c r="R13">
        <v>3</v>
      </c>
      <c r="S13">
        <v>4</v>
      </c>
      <c r="T13">
        <v>8.5000000000000006E-2</v>
      </c>
      <c r="U13">
        <v>0.104</v>
      </c>
      <c r="V13">
        <v>0.107</v>
      </c>
      <c r="W13">
        <v>9.2999999999999999E-2</v>
      </c>
      <c r="CB13">
        <f t="shared" si="1"/>
        <v>1.1305167000000001E-2</v>
      </c>
      <c r="CC13">
        <f t="shared" si="0"/>
        <v>16.976967994173542</v>
      </c>
      <c r="CD13">
        <v>7.3695000000000002E-3</v>
      </c>
      <c r="CE13">
        <v>1.3498368E-2</v>
      </c>
      <c r="CF13">
        <v>1.4700516E-2</v>
      </c>
      <c r="CG13">
        <v>9.6522840000000006E-3</v>
      </c>
    </row>
    <row r="14" spans="1:102" x14ac:dyDescent="0.25">
      <c r="A14" s="6">
        <v>128</v>
      </c>
      <c r="B14" s="6">
        <v>2</v>
      </c>
      <c r="C14" t="s">
        <v>145</v>
      </c>
      <c r="D14" t="s">
        <v>191</v>
      </c>
      <c r="E14" t="s">
        <v>192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4352</v>
      </c>
      <c r="P14">
        <v>1781.5733457719</v>
      </c>
      <c r="Q14">
        <v>5</v>
      </c>
      <c r="R14">
        <v>3</v>
      </c>
      <c r="S14">
        <v>8</v>
      </c>
      <c r="T14">
        <v>8.5000000000000006E-2</v>
      </c>
      <c r="U14">
        <v>0.10100000000000001</v>
      </c>
      <c r="V14">
        <v>9.2999999999999999E-2</v>
      </c>
      <c r="W14">
        <v>0.1</v>
      </c>
      <c r="X14">
        <v>9.2999999999999999E-2</v>
      </c>
      <c r="Y14">
        <v>0.105</v>
      </c>
      <c r="Z14">
        <v>9.7000000000000003E-2</v>
      </c>
      <c r="AA14">
        <v>0.10299999999999999</v>
      </c>
      <c r="CB14">
        <f t="shared" si="1"/>
        <v>1.11242475E-2</v>
      </c>
      <c r="CC14">
        <f t="shared" si="0"/>
        <v>19.818662837769693</v>
      </c>
      <c r="CD14">
        <v>7.3695000000000002E-3</v>
      </c>
      <c r="CE14">
        <v>1.2363612E-2</v>
      </c>
      <c r="CF14">
        <v>9.6522840000000006E-3</v>
      </c>
      <c r="CG14">
        <v>1.2E-2</v>
      </c>
      <c r="CH14">
        <v>9.6522840000000006E-3</v>
      </c>
      <c r="CI14">
        <v>1.3891499999999999E-2</v>
      </c>
      <c r="CJ14">
        <v>1.0952076E-2</v>
      </c>
      <c r="CK14">
        <v>1.3112723999999999E-2</v>
      </c>
    </row>
    <row r="15" spans="1:102" x14ac:dyDescent="0.25">
      <c r="A15" s="6">
        <v>37</v>
      </c>
      <c r="B15" s="6">
        <v>2</v>
      </c>
      <c r="C15" t="s">
        <v>146</v>
      </c>
      <c r="D15" t="s">
        <v>191</v>
      </c>
      <c r="E15" t="s">
        <v>192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22080</v>
      </c>
      <c r="P15">
        <v>7863.8123490211301</v>
      </c>
      <c r="Q15">
        <v>7</v>
      </c>
      <c r="R15">
        <v>8</v>
      </c>
      <c r="S15">
        <v>15</v>
      </c>
      <c r="T15">
        <v>9.4E-2</v>
      </c>
      <c r="U15">
        <v>9.6000000000000002E-2</v>
      </c>
      <c r="V15">
        <v>9.4E-2</v>
      </c>
      <c r="W15">
        <v>0.109</v>
      </c>
      <c r="X15">
        <v>0.09</v>
      </c>
      <c r="Y15">
        <v>8.8999999999999996E-2</v>
      </c>
      <c r="Z15">
        <v>0.13600000000000001</v>
      </c>
      <c r="AA15">
        <v>9.9000000000000005E-2</v>
      </c>
      <c r="AB15">
        <v>0.108</v>
      </c>
      <c r="AC15">
        <v>0.1</v>
      </c>
      <c r="AD15">
        <v>0.11799999999999999</v>
      </c>
      <c r="AE15">
        <v>9.7000000000000003E-2</v>
      </c>
      <c r="AF15">
        <v>0.13700000000000001</v>
      </c>
      <c r="AG15">
        <v>8.1000000000000003E-2</v>
      </c>
      <c r="AH15">
        <v>9.2999999999999999E-2</v>
      </c>
      <c r="CB15">
        <f t="shared" si="1"/>
        <v>1.3986580000000002E-2</v>
      </c>
      <c r="CC15">
        <f t="shared" si="0"/>
        <v>109.98784052457198</v>
      </c>
      <c r="CD15">
        <v>9.9670079999999994E-3</v>
      </c>
      <c r="CE15">
        <v>1.0616832E-2</v>
      </c>
      <c r="CF15">
        <v>9.9670079999999994E-3</v>
      </c>
      <c r="CG15">
        <v>1.5540348000000001E-2</v>
      </c>
      <c r="CH15">
        <v>8.7480000000000006E-3</v>
      </c>
      <c r="CI15">
        <v>8.4596280000000003E-3</v>
      </c>
      <c r="CJ15">
        <v>3.0185472000000001E-2</v>
      </c>
      <c r="CK15">
        <v>1.1643588E-2</v>
      </c>
      <c r="CL15">
        <v>1.5116544000000001E-2</v>
      </c>
      <c r="CM15">
        <v>1.2E-2</v>
      </c>
      <c r="CN15">
        <v>1.9716384E-2</v>
      </c>
      <c r="CO15">
        <v>1.0952076E-2</v>
      </c>
      <c r="CP15">
        <v>3.0856235999999999E-2</v>
      </c>
      <c r="CQ15">
        <v>6.3772919999999997E-3</v>
      </c>
      <c r="CR15">
        <v>9.6522840000000006E-3</v>
      </c>
    </row>
    <row r="16" spans="1:102" x14ac:dyDescent="0.25">
      <c r="A16" s="6">
        <v>56</v>
      </c>
      <c r="B16" s="6">
        <v>2</v>
      </c>
      <c r="C16" t="s">
        <v>148</v>
      </c>
      <c r="D16" t="s">
        <v>191</v>
      </c>
      <c r="E16" t="s">
        <v>192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12992</v>
      </c>
      <c r="P16">
        <v>4131.3506906089297</v>
      </c>
      <c r="Q16">
        <v>5</v>
      </c>
      <c r="R16">
        <v>2</v>
      </c>
      <c r="S16">
        <v>7</v>
      </c>
      <c r="T16">
        <v>0.154</v>
      </c>
      <c r="U16">
        <v>9.9000000000000005E-2</v>
      </c>
      <c r="V16">
        <v>0.104</v>
      </c>
      <c r="W16">
        <v>0.10299999999999999</v>
      </c>
      <c r="X16">
        <v>9.5000000000000001E-2</v>
      </c>
      <c r="Y16">
        <v>9.8000000000000004E-2</v>
      </c>
      <c r="Z16">
        <v>0.10299999999999999</v>
      </c>
      <c r="CB16">
        <f t="shared" si="1"/>
        <v>1.6682482285714284E-2</v>
      </c>
      <c r="CC16">
        <f t="shared" si="0"/>
        <v>68.921184712156943</v>
      </c>
      <c r="CD16">
        <v>4.3827168E-2</v>
      </c>
      <c r="CE16">
        <v>1.1643588E-2</v>
      </c>
      <c r="CF16">
        <v>1.3498368E-2</v>
      </c>
      <c r="CG16">
        <v>1.3112723999999999E-2</v>
      </c>
      <c r="CH16">
        <v>1.0288500000000001E-2</v>
      </c>
      <c r="CI16">
        <v>1.1294304E-2</v>
      </c>
      <c r="CJ16">
        <v>1.3112723999999999E-2</v>
      </c>
    </row>
    <row r="17" spans="1:89" x14ac:dyDescent="0.25">
      <c r="A17" s="6">
        <v>223</v>
      </c>
      <c r="B17" s="6">
        <v>2</v>
      </c>
      <c r="C17" t="s">
        <v>150</v>
      </c>
      <c r="D17" t="s">
        <v>191</v>
      </c>
      <c r="E17" t="s">
        <v>192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1088</v>
      </c>
      <c r="P17">
        <v>387.49220270538899</v>
      </c>
      <c r="Q17">
        <v>0</v>
      </c>
      <c r="R17">
        <v>2</v>
      </c>
      <c r="S17">
        <v>2</v>
      </c>
      <c r="T17">
        <v>9.6000000000000002E-2</v>
      </c>
      <c r="U17">
        <v>9.6000000000000002E-2</v>
      </c>
      <c r="CB17">
        <f t="shared" si="1"/>
        <v>1.0616832E-2</v>
      </c>
      <c r="CC17">
        <f t="shared" si="0"/>
        <v>4.1139396174330605</v>
      </c>
      <c r="CD17">
        <v>1.0616832E-2</v>
      </c>
      <c r="CE17">
        <v>1.0616832E-2</v>
      </c>
    </row>
    <row r="18" spans="1:89" x14ac:dyDescent="0.25">
      <c r="A18" s="6">
        <v>2</v>
      </c>
      <c r="B18" s="6">
        <v>2</v>
      </c>
      <c r="C18" t="s">
        <v>151</v>
      </c>
      <c r="D18" t="s">
        <v>191</v>
      </c>
      <c r="E18" t="s">
        <v>192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8320</v>
      </c>
      <c r="P18">
        <v>3367.2450769853299</v>
      </c>
      <c r="Q18">
        <v>4</v>
      </c>
      <c r="R18">
        <v>4</v>
      </c>
      <c r="S18">
        <v>8</v>
      </c>
      <c r="T18">
        <v>0.127</v>
      </c>
      <c r="U18">
        <v>0.123</v>
      </c>
      <c r="V18">
        <v>0.109</v>
      </c>
      <c r="W18">
        <v>0.13300000000000001</v>
      </c>
      <c r="X18">
        <v>9.0999999999999998E-2</v>
      </c>
      <c r="Y18">
        <v>9.2999999999999999E-2</v>
      </c>
      <c r="Z18">
        <v>0.115</v>
      </c>
      <c r="AA18">
        <v>9.8000000000000004E-2</v>
      </c>
      <c r="CB18">
        <f t="shared" si="1"/>
        <v>1.73653665E-2</v>
      </c>
      <c r="CC18">
        <f t="shared" si="0"/>
        <v>58.473444857170968</v>
      </c>
      <c r="CD18">
        <v>2.4580596E-2</v>
      </c>
      <c r="CE18">
        <v>2.2330404000000002E-2</v>
      </c>
      <c r="CF18">
        <v>1.5540348000000001E-2</v>
      </c>
      <c r="CG18">
        <v>2.8231644E-2</v>
      </c>
      <c r="CH18">
        <v>9.0428520000000005E-3</v>
      </c>
      <c r="CI18">
        <v>9.6522840000000006E-3</v>
      </c>
      <c r="CJ18">
        <v>1.8250499999999999E-2</v>
      </c>
      <c r="CK18">
        <v>1.1294304E-2</v>
      </c>
    </row>
    <row r="19" spans="1:89" x14ac:dyDescent="0.25">
      <c r="A19" s="6">
        <v>20</v>
      </c>
      <c r="B19" s="6">
        <v>2</v>
      </c>
      <c r="C19" t="s">
        <v>152</v>
      </c>
      <c r="D19" t="s">
        <v>191</v>
      </c>
      <c r="E19" t="s">
        <v>192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1344</v>
      </c>
      <c r="P19">
        <v>714.42811736726696</v>
      </c>
      <c r="Q19">
        <v>3</v>
      </c>
      <c r="R19">
        <v>5</v>
      </c>
      <c r="S19">
        <v>8</v>
      </c>
      <c r="T19">
        <v>9.6000000000000002E-2</v>
      </c>
      <c r="U19">
        <v>9.7000000000000003E-2</v>
      </c>
      <c r="V19">
        <v>9.9000000000000005E-2</v>
      </c>
      <c r="W19">
        <v>9.5000000000000001E-2</v>
      </c>
      <c r="X19">
        <v>9.5000000000000001E-2</v>
      </c>
      <c r="Y19">
        <v>0.10299999999999999</v>
      </c>
      <c r="Z19">
        <v>0.105</v>
      </c>
      <c r="AA19">
        <v>9.5000000000000001E-2</v>
      </c>
      <c r="CB19">
        <f t="shared" si="1"/>
        <v>1.1385277499999999E-2</v>
      </c>
      <c r="CC19">
        <f t="shared" si="0"/>
        <v>8.1339623700289039</v>
      </c>
      <c r="CD19">
        <v>1.0616832E-2</v>
      </c>
      <c r="CE19">
        <v>1.0952076E-2</v>
      </c>
      <c r="CF19">
        <v>1.1643588E-2</v>
      </c>
      <c r="CG19">
        <v>1.0288500000000001E-2</v>
      </c>
      <c r="CH19">
        <v>1.0288500000000001E-2</v>
      </c>
      <c r="CI19">
        <v>1.3112723999999999E-2</v>
      </c>
      <c r="CJ19">
        <v>1.3891499999999999E-2</v>
      </c>
      <c r="CK19">
        <v>1.0288500000000001E-2</v>
      </c>
    </row>
    <row r="20" spans="1:89" x14ac:dyDescent="0.25">
      <c r="A20" s="6">
        <v>185</v>
      </c>
      <c r="B20" s="6">
        <v>2</v>
      </c>
      <c r="C20" t="s">
        <v>132</v>
      </c>
      <c r="D20" t="s">
        <v>218</v>
      </c>
      <c r="E20" t="s">
        <v>192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2352</v>
      </c>
      <c r="P20">
        <v>962.83559495761006</v>
      </c>
      <c r="Q20">
        <v>1</v>
      </c>
      <c r="R20">
        <v>2</v>
      </c>
      <c r="S20">
        <v>3</v>
      </c>
      <c r="T20">
        <v>0.68100000000000005</v>
      </c>
      <c r="U20">
        <v>0.55700000000000005</v>
      </c>
      <c r="V20">
        <v>0.56299999999999994</v>
      </c>
      <c r="CB20">
        <f t="shared" si="1"/>
        <v>1.9945796081899998</v>
      </c>
      <c r="CC20">
        <f t="shared" si="0"/>
        <v>1920.4522437419353</v>
      </c>
      <c r="CD20">
        <v>2.83291653177</v>
      </c>
      <c r="CE20">
        <v>1.5500939762099999</v>
      </c>
      <c r="CF20">
        <v>1.6007283165899999</v>
      </c>
    </row>
    <row r="21" spans="1:89" x14ac:dyDescent="0.25">
      <c r="A21" s="6">
        <v>149</v>
      </c>
      <c r="B21" s="6">
        <v>2</v>
      </c>
      <c r="C21" t="s">
        <v>136</v>
      </c>
      <c r="D21" t="s">
        <v>218</v>
      </c>
      <c r="E21" t="s">
        <v>192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1280</v>
      </c>
      <c r="P21">
        <v>735.27932202161105</v>
      </c>
      <c r="Q21">
        <v>1</v>
      </c>
      <c r="R21">
        <v>1</v>
      </c>
      <c r="S21">
        <v>2</v>
      </c>
      <c r="T21">
        <v>0.83099999999999996</v>
      </c>
      <c r="U21">
        <v>0.69399999999999995</v>
      </c>
      <c r="CB21">
        <f t="shared" si="1"/>
        <v>4.0728804138749997</v>
      </c>
      <c r="CC21">
        <f t="shared" si="0"/>
        <v>2994.7047493891082</v>
      </c>
      <c r="CD21">
        <v>5.1474900332700004</v>
      </c>
      <c r="CE21">
        <v>2.9982707944799998</v>
      </c>
    </row>
    <row r="22" spans="1:89" x14ac:dyDescent="0.25">
      <c r="A22" s="6">
        <v>75</v>
      </c>
      <c r="B22" s="6">
        <v>2</v>
      </c>
      <c r="C22" t="s">
        <v>141</v>
      </c>
      <c r="D22" t="s">
        <v>218</v>
      </c>
      <c r="E22" t="s">
        <v>192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1968</v>
      </c>
      <c r="P22">
        <v>687.16177815402</v>
      </c>
      <c r="Q22">
        <v>0</v>
      </c>
      <c r="R22">
        <v>2</v>
      </c>
      <c r="S22">
        <v>2</v>
      </c>
      <c r="T22">
        <v>9.5000000000000001E-2</v>
      </c>
      <c r="U22">
        <v>0.89500000000000002</v>
      </c>
      <c r="CB22">
        <f t="shared" si="1"/>
        <v>3.21921975375</v>
      </c>
      <c r="CC22">
        <f t="shared" si="0"/>
        <v>2212.1247702553965</v>
      </c>
      <c r="CD22">
        <v>7.69065375E-3</v>
      </c>
      <c r="CE22">
        <v>6.4307488537499999</v>
      </c>
    </row>
    <row r="23" spans="1:89" x14ac:dyDescent="0.25">
      <c r="A23" s="6">
        <v>186</v>
      </c>
      <c r="B23" s="6">
        <v>2</v>
      </c>
      <c r="C23" t="s">
        <v>132</v>
      </c>
      <c r="D23" t="s">
        <v>193</v>
      </c>
      <c r="E23" t="s">
        <v>192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784</v>
      </c>
      <c r="P23">
        <v>320.94519831920297</v>
      </c>
      <c r="Q23">
        <v>0</v>
      </c>
      <c r="R23">
        <v>1</v>
      </c>
      <c r="S23">
        <v>1</v>
      </c>
      <c r="T23">
        <v>0.45900000000000002</v>
      </c>
      <c r="CB23">
        <f t="shared" si="1"/>
        <v>0.86742213362999998</v>
      </c>
      <c r="CC23">
        <f t="shared" si="0"/>
        <v>278.39496870434652</v>
      </c>
      <c r="CD23">
        <v>0.86742213362999998</v>
      </c>
    </row>
    <row r="24" spans="1:89" x14ac:dyDescent="0.25">
      <c r="A24" s="6">
        <v>150</v>
      </c>
      <c r="B24" s="6">
        <v>2</v>
      </c>
      <c r="C24" t="s">
        <v>136</v>
      </c>
      <c r="D24" t="s">
        <v>193</v>
      </c>
      <c r="E24" t="s">
        <v>192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1280</v>
      </c>
      <c r="P24">
        <v>735.27932202161105</v>
      </c>
      <c r="Q24">
        <v>0</v>
      </c>
      <c r="R24">
        <v>2</v>
      </c>
      <c r="S24">
        <v>2</v>
      </c>
      <c r="T24">
        <v>0.68400000000000005</v>
      </c>
      <c r="U24">
        <v>0.71699999999999997</v>
      </c>
      <c r="CB24">
        <f t="shared" si="1"/>
        <v>3.0884396967449996</v>
      </c>
      <c r="CC24">
        <f t="shared" si="0"/>
        <v>2270.8658463272932</v>
      </c>
      <c r="CD24">
        <v>2.8705211308799998</v>
      </c>
      <c r="CE24">
        <v>3.3063582626099999</v>
      </c>
    </row>
    <row r="25" spans="1:89" x14ac:dyDescent="0.25">
      <c r="A25" s="6">
        <v>168</v>
      </c>
      <c r="B25" s="6">
        <v>2</v>
      </c>
      <c r="C25" t="s">
        <v>138</v>
      </c>
      <c r="D25" t="s">
        <v>193</v>
      </c>
      <c r="E25" t="s">
        <v>192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5808</v>
      </c>
      <c r="P25">
        <v>4137.0491053545902</v>
      </c>
      <c r="Q25">
        <v>0</v>
      </c>
      <c r="R25">
        <v>3</v>
      </c>
      <c r="S25">
        <v>3</v>
      </c>
      <c r="T25">
        <v>0.63500000000000001</v>
      </c>
      <c r="U25">
        <v>0.57099999999999995</v>
      </c>
      <c r="V25">
        <v>0.49</v>
      </c>
      <c r="CB25">
        <f t="shared" si="1"/>
        <v>1.6740001951399999</v>
      </c>
      <c r="CC25">
        <f t="shared" si="0"/>
        <v>6925.421009667346</v>
      </c>
      <c r="CD25">
        <v>2.29674943875</v>
      </c>
      <c r="CE25">
        <v>1.66993961667</v>
      </c>
      <c r="CF25">
        <v>1.05531153</v>
      </c>
    </row>
    <row r="26" spans="1:89" x14ac:dyDescent="0.25">
      <c r="A26" s="6">
        <v>76</v>
      </c>
      <c r="B26" s="6">
        <v>2</v>
      </c>
      <c r="C26" t="s">
        <v>141</v>
      </c>
      <c r="D26" t="s">
        <v>193</v>
      </c>
      <c r="E26" t="s">
        <v>192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3936</v>
      </c>
      <c r="P26">
        <v>1374.32355630804</v>
      </c>
      <c r="Q26">
        <v>2</v>
      </c>
      <c r="R26">
        <v>2</v>
      </c>
      <c r="S26">
        <v>4</v>
      </c>
      <c r="T26">
        <v>0.64</v>
      </c>
      <c r="U26">
        <v>0.49099999999999999</v>
      </c>
      <c r="V26">
        <v>0.81699999999999995</v>
      </c>
      <c r="W26">
        <v>0.51500000000000001</v>
      </c>
      <c r="CB26">
        <f t="shared" si="1"/>
        <v>2.3825310265575004</v>
      </c>
      <c r="CC26">
        <f t="shared" si="0"/>
        <v>3274.3685134327493</v>
      </c>
      <c r="CD26">
        <v>2.3514316800000001</v>
      </c>
      <c r="CE26">
        <v>1.06178581587</v>
      </c>
      <c r="CF26">
        <v>4.89168646161</v>
      </c>
      <c r="CG26">
        <v>1.2252201487500001</v>
      </c>
    </row>
    <row r="27" spans="1:89" x14ac:dyDescent="0.25">
      <c r="A27" s="6">
        <v>94</v>
      </c>
      <c r="B27" s="6">
        <v>2</v>
      </c>
      <c r="C27" t="s">
        <v>143</v>
      </c>
      <c r="D27" t="s">
        <v>193</v>
      </c>
      <c r="E27" t="s">
        <v>192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2368</v>
      </c>
      <c r="P27">
        <v>818.80134209591097</v>
      </c>
      <c r="Q27">
        <v>0</v>
      </c>
      <c r="R27">
        <v>1</v>
      </c>
      <c r="S27">
        <v>1</v>
      </c>
      <c r="T27">
        <v>0.64400000000000002</v>
      </c>
      <c r="CB27">
        <f t="shared" si="1"/>
        <v>2.39579715648</v>
      </c>
      <c r="CC27">
        <f t="shared" si="0"/>
        <v>1961.6819271153913</v>
      </c>
      <c r="CD27">
        <v>2.39579715648</v>
      </c>
    </row>
    <row r="28" spans="1:89" x14ac:dyDescent="0.25">
      <c r="A28" s="6">
        <v>112</v>
      </c>
      <c r="B28" s="6">
        <v>2</v>
      </c>
      <c r="C28" t="s">
        <v>144</v>
      </c>
      <c r="D28" t="s">
        <v>193</v>
      </c>
      <c r="E28" t="s">
        <v>192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7168</v>
      </c>
      <c r="P28">
        <v>3003.3997718341602</v>
      </c>
      <c r="Q28">
        <v>5</v>
      </c>
      <c r="R28">
        <v>3</v>
      </c>
      <c r="S28">
        <v>8</v>
      </c>
      <c r="T28">
        <v>0.442</v>
      </c>
      <c r="U28">
        <v>0.68899999999999995</v>
      </c>
      <c r="V28">
        <v>0.73399999999999999</v>
      </c>
      <c r="W28">
        <v>0.66400000000000003</v>
      </c>
      <c r="X28">
        <v>0.71099999999999997</v>
      </c>
      <c r="Y28">
        <v>0.68200000000000005</v>
      </c>
      <c r="Z28">
        <v>0.80400000000000005</v>
      </c>
      <c r="AA28">
        <v>0.748</v>
      </c>
      <c r="CB28">
        <f t="shared" si="1"/>
        <v>3.0458789439</v>
      </c>
      <c r="CC28">
        <f t="shared" si="0"/>
        <v>9147.9921251437336</v>
      </c>
      <c r="CD28">
        <v>0.77456746535999998</v>
      </c>
      <c r="CE28">
        <v>2.9339324379299998</v>
      </c>
      <c r="CF28">
        <v>3.5471587288799999</v>
      </c>
      <c r="CG28">
        <v>2.6260118476800001</v>
      </c>
      <c r="CH28">
        <v>3.2240461160699998</v>
      </c>
      <c r="CI28">
        <v>2.8454146749599998</v>
      </c>
      <c r="CJ28">
        <v>4.66187462208</v>
      </c>
      <c r="CK28">
        <v>3.7540256582399998</v>
      </c>
    </row>
    <row r="29" spans="1:89" x14ac:dyDescent="0.25">
      <c r="A29" s="6">
        <v>129</v>
      </c>
      <c r="B29" s="6">
        <v>2</v>
      </c>
      <c r="C29" t="s">
        <v>145</v>
      </c>
      <c r="D29" t="s">
        <v>193</v>
      </c>
      <c r="E29" t="s">
        <v>192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1088</v>
      </c>
      <c r="P29">
        <v>445.39333644297602</v>
      </c>
      <c r="Q29">
        <v>2</v>
      </c>
      <c r="R29">
        <v>0</v>
      </c>
      <c r="S29">
        <v>2</v>
      </c>
      <c r="T29">
        <v>0.68899999999999995</v>
      </c>
      <c r="U29">
        <v>0.38600000000000001</v>
      </c>
      <c r="CB29">
        <f t="shared" si="1"/>
        <v>1.724909584125</v>
      </c>
      <c r="CC29">
        <f t="shared" si="0"/>
        <v>768.26323473589991</v>
      </c>
      <c r="CD29">
        <v>2.9339324379299998</v>
      </c>
      <c r="CE29">
        <v>0.51588673031999999</v>
      </c>
    </row>
    <row r="30" spans="1:89" x14ac:dyDescent="0.25">
      <c r="A30" s="6">
        <v>38</v>
      </c>
      <c r="B30" s="6">
        <v>2</v>
      </c>
      <c r="C30" t="s">
        <v>146</v>
      </c>
      <c r="D30" t="s">
        <v>193</v>
      </c>
      <c r="E30" t="s">
        <v>192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8832</v>
      </c>
      <c r="P30">
        <v>3145.52493960845</v>
      </c>
      <c r="Q30">
        <v>3</v>
      </c>
      <c r="R30">
        <v>3</v>
      </c>
      <c r="S30">
        <v>6</v>
      </c>
      <c r="T30">
        <v>0.505</v>
      </c>
      <c r="U30">
        <v>0.69199999999999995</v>
      </c>
      <c r="V30">
        <v>0.625</v>
      </c>
      <c r="W30">
        <v>0.106</v>
      </c>
      <c r="X30">
        <v>0.70799999999999996</v>
      </c>
      <c r="Y30">
        <v>0.56100000000000005</v>
      </c>
      <c r="CB30">
        <f t="shared" si="1"/>
        <v>1.8492350877649999</v>
      </c>
      <c r="CC30">
        <f t="shared" si="0"/>
        <v>5816.8150877638282</v>
      </c>
      <c r="CD30">
        <v>1.1552249962500001</v>
      </c>
      <c r="CE30">
        <v>2.9724237753599998</v>
      </c>
      <c r="CF30">
        <v>2.18994140625</v>
      </c>
      <c r="CG30">
        <v>1.0683413520000001E-2</v>
      </c>
      <c r="CH30">
        <v>3.18340736064</v>
      </c>
      <c r="CI30">
        <v>1.58372957457</v>
      </c>
    </row>
    <row r="31" spans="1:89" x14ac:dyDescent="0.25">
      <c r="A31" s="6">
        <v>57</v>
      </c>
      <c r="B31" s="6">
        <v>2</v>
      </c>
      <c r="C31" t="s">
        <v>148</v>
      </c>
      <c r="D31" t="s">
        <v>193</v>
      </c>
      <c r="E31" t="s">
        <v>192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1856</v>
      </c>
      <c r="P31">
        <v>590.19295580127505</v>
      </c>
      <c r="Q31">
        <v>1</v>
      </c>
      <c r="R31">
        <v>0</v>
      </c>
      <c r="S31">
        <v>1</v>
      </c>
      <c r="T31">
        <v>0.65600000000000003</v>
      </c>
      <c r="CB31">
        <f t="shared" si="1"/>
        <v>2.53223473152</v>
      </c>
      <c r="CC31">
        <f t="shared" si="0"/>
        <v>1494.5071009784369</v>
      </c>
      <c r="CD31">
        <v>2.53223473152</v>
      </c>
    </row>
    <row r="32" spans="1:89" x14ac:dyDescent="0.25">
      <c r="A32" s="6">
        <v>224</v>
      </c>
      <c r="B32" s="6">
        <v>2</v>
      </c>
      <c r="C32" t="s">
        <v>150</v>
      </c>
      <c r="D32" t="s">
        <v>193</v>
      </c>
      <c r="E32" t="s">
        <v>192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1088</v>
      </c>
      <c r="P32">
        <v>387.49220270538899</v>
      </c>
      <c r="Q32">
        <v>1</v>
      </c>
      <c r="R32">
        <v>1</v>
      </c>
      <c r="S32">
        <v>2</v>
      </c>
      <c r="T32">
        <v>0.75</v>
      </c>
      <c r="U32">
        <v>0.77500000000000002</v>
      </c>
      <c r="CB32">
        <f t="shared" si="1"/>
        <v>3.9798067968750002</v>
      </c>
      <c r="CC32">
        <f t="shared" si="0"/>
        <v>1542.1441020629725</v>
      </c>
      <c r="CD32">
        <v>3.78421875</v>
      </c>
      <c r="CE32">
        <v>4.1753948437500004</v>
      </c>
    </row>
    <row r="33" spans="1:93" x14ac:dyDescent="0.25">
      <c r="A33" s="6">
        <v>3</v>
      </c>
      <c r="B33" s="6">
        <v>2</v>
      </c>
      <c r="C33" t="s">
        <v>151</v>
      </c>
      <c r="D33" t="s">
        <v>193</v>
      </c>
      <c r="E33" t="s">
        <v>192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1040</v>
      </c>
      <c r="P33">
        <v>420.90563462316697</v>
      </c>
      <c r="Q33">
        <v>0</v>
      </c>
      <c r="R33">
        <v>1</v>
      </c>
      <c r="S33">
        <v>1</v>
      </c>
      <c r="T33">
        <v>0.53300000000000003</v>
      </c>
      <c r="CB33">
        <f t="shared" si="1"/>
        <v>1.35823234989</v>
      </c>
      <c r="CC33">
        <f t="shared" si="0"/>
        <v>571.68764919616581</v>
      </c>
      <c r="CD33">
        <v>1.35823234989</v>
      </c>
    </row>
    <row r="34" spans="1:93" x14ac:dyDescent="0.25">
      <c r="A34" s="6">
        <v>21</v>
      </c>
      <c r="B34" s="6">
        <v>2</v>
      </c>
      <c r="C34" t="s">
        <v>152</v>
      </c>
      <c r="D34" t="s">
        <v>193</v>
      </c>
      <c r="E34" t="s">
        <v>192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504</v>
      </c>
      <c r="P34">
        <v>267.91054401272498</v>
      </c>
      <c r="Q34">
        <v>2</v>
      </c>
      <c r="R34">
        <v>1</v>
      </c>
      <c r="S34">
        <v>3</v>
      </c>
      <c r="T34">
        <v>0.71</v>
      </c>
      <c r="U34">
        <v>0.64100000000000001</v>
      </c>
      <c r="V34">
        <v>0.54900000000000004</v>
      </c>
      <c r="CB34">
        <f t="shared" si="1"/>
        <v>2.3523970613</v>
      </c>
      <c r="CC34">
        <f t="shared" si="0"/>
        <v>630.23197642681862</v>
      </c>
      <c r="CD34">
        <v>3.2104616699999999</v>
      </c>
      <c r="CE34">
        <v>2.3624712473699998</v>
      </c>
      <c r="CF34">
        <v>1.4842582665299999</v>
      </c>
    </row>
    <row r="35" spans="1:93" x14ac:dyDescent="0.25">
      <c r="A35" s="6">
        <v>239</v>
      </c>
      <c r="B35" s="6">
        <v>2</v>
      </c>
      <c r="C35" t="s">
        <v>112</v>
      </c>
      <c r="D35" t="s">
        <v>219</v>
      </c>
      <c r="E35" t="s">
        <v>192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103.5</v>
      </c>
      <c r="P35">
        <v>15.7293259584723</v>
      </c>
      <c r="Q35">
        <v>2</v>
      </c>
      <c r="R35">
        <v>-1</v>
      </c>
      <c r="S35">
        <v>2</v>
      </c>
      <c r="T35">
        <v>0.252</v>
      </c>
      <c r="U35">
        <v>0.32800000000000001</v>
      </c>
      <c r="CB35">
        <f t="shared" si="1"/>
        <v>0.33851769600000003</v>
      </c>
      <c r="CC35">
        <f t="shared" si="0"/>
        <v>5.324655183095035</v>
      </c>
      <c r="CD35">
        <v>0.21123970559999999</v>
      </c>
      <c r="CE35">
        <v>0.46579568640000002</v>
      </c>
    </row>
    <row r="36" spans="1:93" x14ac:dyDescent="0.25">
      <c r="A36" s="6">
        <v>305</v>
      </c>
      <c r="B36" s="6">
        <v>2</v>
      </c>
      <c r="C36" t="s">
        <v>117</v>
      </c>
      <c r="D36" t="s">
        <v>224</v>
      </c>
      <c r="E36" t="s">
        <v>192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2</v>
      </c>
      <c r="P36">
        <v>0.43738905693406999</v>
      </c>
      <c r="Q36">
        <v>2</v>
      </c>
      <c r="R36">
        <v>-1</v>
      </c>
      <c r="S36">
        <v>2</v>
      </c>
      <c r="T36">
        <v>0.20899999999999999</v>
      </c>
      <c r="U36">
        <v>0.17599999999999999</v>
      </c>
      <c r="CB36">
        <f t="shared" si="1"/>
        <v>7.6550801249999995E-2</v>
      </c>
      <c r="CC36">
        <f t="shared" si="0"/>
        <v>3.3482482766284925E-2</v>
      </c>
      <c r="CD36">
        <v>9.5857954499999995E-2</v>
      </c>
      <c r="CE36">
        <v>5.7243648000000001E-2</v>
      </c>
    </row>
    <row r="37" spans="1:93" x14ac:dyDescent="0.25">
      <c r="A37" s="6">
        <v>274</v>
      </c>
      <c r="B37" s="6">
        <v>2</v>
      </c>
      <c r="C37" t="s">
        <v>123</v>
      </c>
      <c r="D37" t="s">
        <v>224</v>
      </c>
      <c r="E37" t="s">
        <v>192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1</v>
      </c>
      <c r="P37">
        <v>0.28692722134874998</v>
      </c>
      <c r="Q37">
        <v>1</v>
      </c>
      <c r="R37">
        <v>-1</v>
      </c>
      <c r="S37">
        <v>1</v>
      </c>
      <c r="T37">
        <v>0.17</v>
      </c>
      <c r="CB37">
        <f t="shared" si="1"/>
        <v>5.15865E-2</v>
      </c>
      <c r="CC37">
        <f t="shared" si="0"/>
        <v>1.4801571104107292E-2</v>
      </c>
      <c r="CD37">
        <v>5.15865E-2</v>
      </c>
    </row>
    <row r="38" spans="1:93" x14ac:dyDescent="0.25">
      <c r="A38" s="6">
        <v>251</v>
      </c>
      <c r="B38" s="6">
        <v>2</v>
      </c>
      <c r="C38" t="s">
        <v>127</v>
      </c>
      <c r="D38" t="s">
        <v>224</v>
      </c>
      <c r="E38" t="s">
        <v>192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6</v>
      </c>
      <c r="P38">
        <v>3.07422022873661</v>
      </c>
      <c r="Q38">
        <v>6</v>
      </c>
      <c r="R38">
        <v>-1</v>
      </c>
      <c r="S38">
        <v>6</v>
      </c>
      <c r="T38">
        <v>0.24099999999999999</v>
      </c>
      <c r="U38">
        <v>0.23200000000000001</v>
      </c>
      <c r="V38">
        <v>0.20799999999999999</v>
      </c>
      <c r="W38">
        <v>0.158</v>
      </c>
      <c r="X38">
        <v>0.188</v>
      </c>
      <c r="Y38">
        <v>0.13300000000000001</v>
      </c>
      <c r="CB38">
        <f t="shared" si="1"/>
        <v>8.4744138499999996E-2</v>
      </c>
      <c r="CC38">
        <f t="shared" si="0"/>
        <v>0.26052214484355696</v>
      </c>
      <c r="CD38">
        <v>0.1469739705</v>
      </c>
      <c r="CE38">
        <v>0.13111526400000001</v>
      </c>
      <c r="CF38">
        <v>9.4488576000000005E-2</v>
      </c>
      <c r="CG38">
        <v>4.1415276000000001E-2</v>
      </c>
      <c r="CH38">
        <v>6.9769055999999996E-2</v>
      </c>
      <c r="CI38">
        <v>2.47026885E-2</v>
      </c>
    </row>
    <row r="39" spans="1:93" x14ac:dyDescent="0.25">
      <c r="A39" s="6">
        <v>347</v>
      </c>
      <c r="B39" s="6">
        <v>2</v>
      </c>
      <c r="C39" t="s">
        <v>121</v>
      </c>
      <c r="D39" t="s">
        <v>194</v>
      </c>
      <c r="E39" t="s">
        <v>192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68.75</v>
      </c>
      <c r="P39">
        <v>8.0318593109635898</v>
      </c>
      <c r="Q39">
        <v>5</v>
      </c>
      <c r="R39">
        <v>-1</v>
      </c>
      <c r="S39">
        <v>5</v>
      </c>
      <c r="BH39">
        <v>4.5999999999999999E-2</v>
      </c>
      <c r="BI39">
        <v>4.4999999999999998E-2</v>
      </c>
      <c r="BJ39">
        <v>4.9000000000000002E-2</v>
      </c>
      <c r="BK39">
        <v>5.1999999999999998E-2</v>
      </c>
      <c r="BL39">
        <v>4.7E-2</v>
      </c>
      <c r="CB39">
        <f t="shared" si="1"/>
        <v>1.9819476000000003E-2</v>
      </c>
      <c r="CC39">
        <f t="shared" si="0"/>
        <v>0.15918724284901942</v>
      </c>
      <c r="CD39">
        <v>1.7520480000000001E-2</v>
      </c>
      <c r="CE39">
        <v>1.64025E-2</v>
      </c>
      <c r="CF39">
        <v>2.1176819999999999E-2</v>
      </c>
      <c r="CG39">
        <v>2.5309439999999999E-2</v>
      </c>
      <c r="CH39">
        <v>1.8688139999999999E-2</v>
      </c>
    </row>
    <row r="40" spans="1:93" x14ac:dyDescent="0.25">
      <c r="A40" s="6">
        <v>252</v>
      </c>
      <c r="B40" s="6">
        <v>2</v>
      </c>
      <c r="C40" t="s">
        <v>127</v>
      </c>
      <c r="D40" t="s">
        <v>194</v>
      </c>
      <c r="E40" t="s">
        <v>192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2</v>
      </c>
      <c r="P40">
        <v>1.0247400762455401</v>
      </c>
      <c r="Q40">
        <v>2</v>
      </c>
      <c r="R40">
        <v>-1</v>
      </c>
      <c r="S40">
        <v>2</v>
      </c>
      <c r="BH40">
        <v>3.7999999999999999E-2</v>
      </c>
      <c r="BI40">
        <v>0.06</v>
      </c>
      <c r="CB40">
        <f t="shared" si="1"/>
        <v>2.4378480000000001E-2</v>
      </c>
      <c r="CC40">
        <f t="shared" si="0"/>
        <v>2.4981605453950374E-2</v>
      </c>
      <c r="CD40">
        <v>9.8769600000000006E-3</v>
      </c>
      <c r="CE40">
        <v>3.8879999999999998E-2</v>
      </c>
    </row>
    <row r="41" spans="1:93" x14ac:dyDescent="0.25">
      <c r="A41" s="6">
        <v>287</v>
      </c>
      <c r="B41" s="6">
        <v>2</v>
      </c>
      <c r="C41" t="s">
        <v>129</v>
      </c>
      <c r="D41" t="s">
        <v>194</v>
      </c>
      <c r="E41" t="s">
        <v>192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2.25</v>
      </c>
      <c r="P41">
        <v>1.4672414728061101</v>
      </c>
      <c r="Q41">
        <v>1</v>
      </c>
      <c r="R41">
        <v>-1</v>
      </c>
      <c r="S41">
        <v>1</v>
      </c>
      <c r="BH41">
        <v>0.05</v>
      </c>
      <c r="CB41">
        <f t="shared" si="1"/>
        <v>2.2499999999999999E-2</v>
      </c>
      <c r="CC41">
        <f t="shared" si="0"/>
        <v>3.3012933138137475E-2</v>
      </c>
      <c r="CD41">
        <v>2.2499999999999999E-2</v>
      </c>
    </row>
    <row r="42" spans="1:93" x14ac:dyDescent="0.25">
      <c r="A42" s="6">
        <v>187</v>
      </c>
      <c r="B42" s="6">
        <v>2</v>
      </c>
      <c r="C42" t="s">
        <v>132</v>
      </c>
      <c r="D42" t="s">
        <v>194</v>
      </c>
      <c r="E42" t="s">
        <v>192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3136</v>
      </c>
      <c r="P42">
        <v>1283.7807932768101</v>
      </c>
      <c r="Q42">
        <v>2</v>
      </c>
      <c r="R42">
        <v>2</v>
      </c>
      <c r="S42">
        <v>4</v>
      </c>
      <c r="BH42">
        <v>2.3E-2</v>
      </c>
      <c r="BI42">
        <v>3.7999999999999999E-2</v>
      </c>
      <c r="BJ42">
        <v>3.1E-2</v>
      </c>
      <c r="BK42">
        <v>3.9E-2</v>
      </c>
      <c r="CB42">
        <f t="shared" si="1"/>
        <v>7.0267050000000003E-3</v>
      </c>
      <c r="CC42">
        <f t="shared" si="0"/>
        <v>9.0207489190221288</v>
      </c>
      <c r="CD42">
        <v>2.1900600000000002E-3</v>
      </c>
      <c r="CE42">
        <v>9.8769600000000006E-3</v>
      </c>
      <c r="CF42">
        <v>5.3623799999999999E-3</v>
      </c>
      <c r="CG42">
        <v>1.067742E-2</v>
      </c>
    </row>
    <row r="43" spans="1:93" x14ac:dyDescent="0.25">
      <c r="A43" s="6">
        <v>207</v>
      </c>
      <c r="B43" s="6">
        <v>2</v>
      </c>
      <c r="C43" t="s">
        <v>135</v>
      </c>
      <c r="D43" t="s">
        <v>194</v>
      </c>
      <c r="E43" t="s">
        <v>192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10736</v>
      </c>
      <c r="P43">
        <v>4024.8803098346102</v>
      </c>
      <c r="Q43">
        <v>6</v>
      </c>
      <c r="R43">
        <v>5</v>
      </c>
      <c r="S43">
        <v>11</v>
      </c>
      <c r="BH43">
        <v>3.7999999999999999E-2</v>
      </c>
      <c r="BI43">
        <v>4.7E-2</v>
      </c>
      <c r="BJ43">
        <v>5.3999999999999999E-2</v>
      </c>
      <c r="BK43">
        <v>3.2000000000000001E-2</v>
      </c>
      <c r="BL43">
        <v>5.3999999999999999E-2</v>
      </c>
      <c r="BM43">
        <v>3.3000000000000002E-2</v>
      </c>
      <c r="BN43">
        <v>4.3999999999999997E-2</v>
      </c>
      <c r="BO43">
        <v>4.2999999999999997E-2</v>
      </c>
      <c r="BP43">
        <v>3.5999999999999997E-2</v>
      </c>
      <c r="BQ43">
        <v>0.05</v>
      </c>
      <c r="BR43">
        <v>6.5000000000000002E-2</v>
      </c>
      <c r="CB43">
        <f t="shared" si="1"/>
        <v>1.8872181818181819E-2</v>
      </c>
      <c r="CC43">
        <f t="shared" si="0"/>
        <v>75.958273003618743</v>
      </c>
      <c r="CD43">
        <v>9.8769600000000006E-3</v>
      </c>
      <c r="CE43">
        <v>1.8688139999999999E-2</v>
      </c>
      <c r="CF43">
        <v>2.8343520000000001E-2</v>
      </c>
      <c r="CG43">
        <v>5.8982399999999999E-3</v>
      </c>
      <c r="CH43">
        <v>2.8343520000000001E-2</v>
      </c>
      <c r="CI43">
        <v>6.4686600000000002E-3</v>
      </c>
      <c r="CJ43">
        <v>1.533312E-2</v>
      </c>
      <c r="CK43">
        <v>1.4311259999999999E-2</v>
      </c>
      <c r="CL43">
        <v>8.3980800000000005E-3</v>
      </c>
      <c r="CM43">
        <v>2.2499999999999999E-2</v>
      </c>
      <c r="CN43">
        <v>4.9432499999999997E-2</v>
      </c>
    </row>
    <row r="44" spans="1:93" x14ac:dyDescent="0.25">
      <c r="A44" s="6">
        <v>151</v>
      </c>
      <c r="B44" s="6">
        <v>2</v>
      </c>
      <c r="C44" t="s">
        <v>136</v>
      </c>
      <c r="D44" t="s">
        <v>194</v>
      </c>
      <c r="E44" t="s">
        <v>192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7680</v>
      </c>
      <c r="P44">
        <v>4411.6759321296704</v>
      </c>
      <c r="Q44">
        <v>4</v>
      </c>
      <c r="R44">
        <v>8</v>
      </c>
      <c r="S44">
        <v>12</v>
      </c>
      <c r="BH44">
        <v>2.9000000000000001E-2</v>
      </c>
      <c r="BI44">
        <v>7.2999999999999995E-2</v>
      </c>
      <c r="BJ44">
        <v>5.8999999999999997E-2</v>
      </c>
      <c r="BK44">
        <v>3.9E-2</v>
      </c>
      <c r="BL44">
        <v>2.3E-2</v>
      </c>
      <c r="BM44">
        <v>4.1000000000000002E-2</v>
      </c>
      <c r="BN44">
        <v>4.2999999999999997E-2</v>
      </c>
      <c r="BO44">
        <v>5.3999999999999999E-2</v>
      </c>
      <c r="BP44">
        <v>5.2999999999999999E-2</v>
      </c>
      <c r="BQ44">
        <v>4.8000000000000001E-2</v>
      </c>
      <c r="BR44">
        <v>0.03</v>
      </c>
      <c r="BS44">
        <v>3.9E-2</v>
      </c>
      <c r="CB44">
        <f t="shared" si="1"/>
        <v>2.0129264999999997E-2</v>
      </c>
      <c r="CC44">
        <f t="shared" si="0"/>
        <v>88.803793931960129</v>
      </c>
      <c r="CD44">
        <v>4.3900199999999997E-3</v>
      </c>
      <c r="CE44">
        <v>7.0023059999999998E-2</v>
      </c>
      <c r="CF44">
        <v>3.6968220000000003E-2</v>
      </c>
      <c r="CG44">
        <v>1.067742E-2</v>
      </c>
      <c r="CH44">
        <v>2.1900600000000002E-3</v>
      </c>
      <c r="CI44">
        <v>1.240578E-2</v>
      </c>
      <c r="CJ44">
        <v>1.4311259999999999E-2</v>
      </c>
      <c r="CK44">
        <v>2.8343520000000001E-2</v>
      </c>
      <c r="CL44">
        <v>2.679786E-2</v>
      </c>
      <c r="CM44">
        <v>1.990656E-2</v>
      </c>
      <c r="CN44">
        <v>4.8599999999999997E-3</v>
      </c>
      <c r="CO44">
        <v>1.067742E-2</v>
      </c>
    </row>
    <row r="45" spans="1:93" x14ac:dyDescent="0.25">
      <c r="A45" s="6">
        <v>169</v>
      </c>
      <c r="B45" s="6">
        <v>2</v>
      </c>
      <c r="C45" t="s">
        <v>138</v>
      </c>
      <c r="D45" t="s">
        <v>194</v>
      </c>
      <c r="E45" t="s">
        <v>192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9680</v>
      </c>
      <c r="P45">
        <v>6895.0818422576604</v>
      </c>
      <c r="Q45">
        <v>2</v>
      </c>
      <c r="R45">
        <v>3</v>
      </c>
      <c r="S45">
        <v>5</v>
      </c>
      <c r="BH45">
        <v>3.2000000000000001E-2</v>
      </c>
      <c r="BI45">
        <v>4.2999999999999997E-2</v>
      </c>
      <c r="BJ45">
        <v>0.04</v>
      </c>
      <c r="BK45">
        <v>3.9E-2</v>
      </c>
      <c r="BL45">
        <v>0.04</v>
      </c>
      <c r="CB45">
        <f t="shared" si="1"/>
        <v>1.0785384E-2</v>
      </c>
      <c r="CC45">
        <f t="shared" si="0"/>
        <v>74.366105380176293</v>
      </c>
      <c r="CD45">
        <v>5.8982399999999999E-3</v>
      </c>
      <c r="CE45">
        <v>1.4311259999999999E-2</v>
      </c>
      <c r="CF45">
        <v>1.1520000000000001E-2</v>
      </c>
      <c r="CG45">
        <v>1.067742E-2</v>
      </c>
      <c r="CH45">
        <v>1.1520000000000001E-2</v>
      </c>
    </row>
    <row r="46" spans="1:93" x14ac:dyDescent="0.25">
      <c r="A46" s="6">
        <v>77</v>
      </c>
      <c r="B46" s="6">
        <v>2</v>
      </c>
      <c r="C46" t="s">
        <v>141</v>
      </c>
      <c r="D46" t="s">
        <v>194</v>
      </c>
      <c r="E46" t="s">
        <v>192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3936</v>
      </c>
      <c r="P46">
        <v>1374.32355630804</v>
      </c>
      <c r="Q46">
        <v>1</v>
      </c>
      <c r="R46">
        <v>3</v>
      </c>
      <c r="S46">
        <v>4</v>
      </c>
      <c r="BH46">
        <v>5.8999999999999997E-2</v>
      </c>
      <c r="BI46">
        <v>4.2999999999999997E-2</v>
      </c>
      <c r="BJ46">
        <v>5.2999999999999999E-2</v>
      </c>
      <c r="BK46">
        <v>3.2000000000000001E-2</v>
      </c>
      <c r="CB46">
        <f t="shared" si="1"/>
        <v>2.0993894999999999E-2</v>
      </c>
      <c r="CC46">
        <f t="shared" si="0"/>
        <v>28.852404437157578</v>
      </c>
      <c r="CD46">
        <v>3.6968220000000003E-2</v>
      </c>
      <c r="CE46">
        <v>1.4311259999999999E-2</v>
      </c>
      <c r="CF46">
        <v>2.679786E-2</v>
      </c>
      <c r="CG46">
        <v>5.8982399999999999E-3</v>
      </c>
    </row>
    <row r="47" spans="1:93" x14ac:dyDescent="0.25">
      <c r="A47" s="6">
        <v>95</v>
      </c>
      <c r="B47" s="6">
        <v>2</v>
      </c>
      <c r="C47" t="s">
        <v>143</v>
      </c>
      <c r="D47" t="s">
        <v>194</v>
      </c>
      <c r="E47" t="s">
        <v>192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11840</v>
      </c>
      <c r="P47">
        <v>4094.0067104795498</v>
      </c>
      <c r="Q47">
        <v>3</v>
      </c>
      <c r="R47">
        <v>2</v>
      </c>
      <c r="S47">
        <v>5</v>
      </c>
      <c r="BH47">
        <v>4.2000000000000003E-2</v>
      </c>
      <c r="BI47">
        <v>3.1E-2</v>
      </c>
      <c r="BJ47">
        <v>0.03</v>
      </c>
      <c r="BK47">
        <v>3.5999999999999997E-2</v>
      </c>
      <c r="BL47">
        <v>2.7E-2</v>
      </c>
      <c r="CB47">
        <f t="shared" si="1"/>
        <v>7.0998480000000006E-3</v>
      </c>
      <c r="CC47">
        <f t="shared" si="0"/>
        <v>29.066825355384815</v>
      </c>
      <c r="CD47">
        <v>1.333584E-2</v>
      </c>
      <c r="CE47">
        <v>5.3623799999999999E-3</v>
      </c>
      <c r="CF47">
        <v>4.8599999999999997E-3</v>
      </c>
      <c r="CG47">
        <v>8.3980800000000005E-3</v>
      </c>
      <c r="CH47">
        <v>3.5429400000000001E-3</v>
      </c>
    </row>
    <row r="48" spans="1:93" x14ac:dyDescent="0.25">
      <c r="A48" s="6">
        <v>113</v>
      </c>
      <c r="B48" s="6">
        <v>2</v>
      </c>
      <c r="C48" t="s">
        <v>144</v>
      </c>
      <c r="D48" t="s">
        <v>194</v>
      </c>
      <c r="E48" t="s">
        <v>192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6272</v>
      </c>
      <c r="P48">
        <v>2627.9748003548898</v>
      </c>
      <c r="Q48">
        <v>2</v>
      </c>
      <c r="R48">
        <v>5</v>
      </c>
      <c r="S48">
        <v>7</v>
      </c>
      <c r="BH48">
        <v>3.2000000000000001E-2</v>
      </c>
      <c r="BI48">
        <v>3.1E-2</v>
      </c>
      <c r="BJ48">
        <v>3.3000000000000002E-2</v>
      </c>
      <c r="BK48">
        <v>2.5999999999999999E-2</v>
      </c>
      <c r="BL48">
        <v>0.04</v>
      </c>
      <c r="BM48">
        <v>4.2999999999999997E-2</v>
      </c>
      <c r="BN48">
        <v>3.1E-2</v>
      </c>
      <c r="CB48">
        <f t="shared" si="1"/>
        <v>7.4409428571428566E-3</v>
      </c>
      <c r="CC48">
        <f t="shared" si="0"/>
        <v>19.554610319452141</v>
      </c>
      <c r="CD48">
        <v>5.8982399999999999E-3</v>
      </c>
      <c r="CE48">
        <v>5.3623799999999999E-3</v>
      </c>
      <c r="CF48">
        <v>6.4686600000000002E-3</v>
      </c>
      <c r="CG48">
        <v>3.1636799999999999E-3</v>
      </c>
      <c r="CH48">
        <v>1.1520000000000001E-2</v>
      </c>
      <c r="CI48">
        <v>1.4311259999999999E-2</v>
      </c>
      <c r="CJ48">
        <v>5.3623799999999999E-3</v>
      </c>
    </row>
    <row r="49" spans="1:101" x14ac:dyDescent="0.25">
      <c r="A49" s="6">
        <v>130</v>
      </c>
      <c r="B49" s="6">
        <v>2</v>
      </c>
      <c r="C49" t="s">
        <v>145</v>
      </c>
      <c r="D49" t="s">
        <v>194</v>
      </c>
      <c r="E49" t="s">
        <v>192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3808</v>
      </c>
      <c r="P49">
        <v>1558.87667755042</v>
      </c>
      <c r="Q49">
        <v>5</v>
      </c>
      <c r="R49">
        <v>2</v>
      </c>
      <c r="S49">
        <v>7</v>
      </c>
      <c r="BH49">
        <v>3.5999999999999997E-2</v>
      </c>
      <c r="BI49">
        <v>3.2000000000000001E-2</v>
      </c>
      <c r="BJ49">
        <v>3.1E-2</v>
      </c>
      <c r="BK49">
        <v>5.2999999999999999E-2</v>
      </c>
      <c r="BL49">
        <v>3.7999999999999999E-2</v>
      </c>
      <c r="BM49">
        <v>3.5999999999999997E-2</v>
      </c>
      <c r="BN49">
        <v>0.03</v>
      </c>
      <c r="CB49">
        <f t="shared" si="1"/>
        <v>9.9416571428571441E-3</v>
      </c>
      <c r="CC49">
        <f t="shared" si="0"/>
        <v>15.497817456202545</v>
      </c>
      <c r="CD49">
        <v>8.3980800000000005E-3</v>
      </c>
      <c r="CE49">
        <v>5.8982399999999999E-3</v>
      </c>
      <c r="CF49">
        <v>5.3623799999999999E-3</v>
      </c>
      <c r="CG49">
        <v>2.679786E-2</v>
      </c>
      <c r="CH49">
        <v>9.8769600000000006E-3</v>
      </c>
      <c r="CI49">
        <v>8.3980800000000005E-3</v>
      </c>
      <c r="CJ49">
        <v>4.8599999999999997E-3</v>
      </c>
    </row>
    <row r="50" spans="1:101" x14ac:dyDescent="0.25">
      <c r="A50" s="6">
        <v>39</v>
      </c>
      <c r="B50" s="6">
        <v>2</v>
      </c>
      <c r="C50" t="s">
        <v>146</v>
      </c>
      <c r="D50" t="s">
        <v>194</v>
      </c>
      <c r="E50" t="s">
        <v>192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13248</v>
      </c>
      <c r="P50">
        <v>4718.2874094126801</v>
      </c>
      <c r="Q50">
        <v>6</v>
      </c>
      <c r="R50">
        <v>3</v>
      </c>
      <c r="S50">
        <v>9</v>
      </c>
      <c r="BH50">
        <v>0.04</v>
      </c>
      <c r="BI50">
        <v>0.03</v>
      </c>
      <c r="BJ50">
        <v>2.9000000000000001E-2</v>
      </c>
      <c r="BK50">
        <v>3.1E-2</v>
      </c>
      <c r="BL50">
        <v>3.3000000000000002E-2</v>
      </c>
      <c r="BM50">
        <v>4.8000000000000001E-2</v>
      </c>
      <c r="BN50">
        <v>5.8000000000000003E-2</v>
      </c>
      <c r="BO50">
        <v>4.8000000000000001E-2</v>
      </c>
      <c r="BP50">
        <v>0.03</v>
      </c>
      <c r="CB50">
        <f t="shared" si="1"/>
        <v>1.2488260000000001E-2</v>
      </c>
      <c r="CC50">
        <f t="shared" si="0"/>
        <v>58.923199923471998</v>
      </c>
      <c r="CD50">
        <v>1.1520000000000001E-2</v>
      </c>
      <c r="CE50">
        <v>4.8599999999999997E-3</v>
      </c>
      <c r="CF50">
        <v>4.3900199999999997E-3</v>
      </c>
      <c r="CG50">
        <v>5.3623799999999999E-3</v>
      </c>
      <c r="CH50">
        <v>6.4686600000000002E-3</v>
      </c>
      <c r="CI50">
        <v>1.990656E-2</v>
      </c>
      <c r="CJ50">
        <v>3.5120159999999997E-2</v>
      </c>
      <c r="CK50">
        <v>1.990656E-2</v>
      </c>
      <c r="CL50">
        <v>4.8599999999999997E-3</v>
      </c>
    </row>
    <row r="51" spans="1:101" x14ac:dyDescent="0.25">
      <c r="A51" s="6">
        <v>58</v>
      </c>
      <c r="B51" s="6">
        <v>2</v>
      </c>
      <c r="C51" t="s">
        <v>148</v>
      </c>
      <c r="D51" t="s">
        <v>194</v>
      </c>
      <c r="E51" t="s">
        <v>192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7424</v>
      </c>
      <c r="P51">
        <v>2360.7718232051002</v>
      </c>
      <c r="Q51">
        <v>3</v>
      </c>
      <c r="R51">
        <v>1</v>
      </c>
      <c r="S51">
        <v>4</v>
      </c>
      <c r="BH51">
        <v>0.03</v>
      </c>
      <c r="BI51">
        <v>3.4000000000000002E-2</v>
      </c>
      <c r="BJ51">
        <v>3.5999999999999997E-2</v>
      </c>
      <c r="BK51">
        <v>3.5000000000000003E-2</v>
      </c>
      <c r="CB51">
        <f t="shared" si="1"/>
        <v>7.0125750000000001E-3</v>
      </c>
      <c r="CC51">
        <f t="shared" si="0"/>
        <v>16.555089468112506</v>
      </c>
      <c r="CD51">
        <v>4.8599999999999997E-3</v>
      </c>
      <c r="CE51">
        <v>7.0747199999999996E-3</v>
      </c>
      <c r="CF51">
        <v>8.3980800000000005E-3</v>
      </c>
      <c r="CG51">
        <v>7.7175000000000004E-3</v>
      </c>
    </row>
    <row r="52" spans="1:101" x14ac:dyDescent="0.25">
      <c r="A52" s="6">
        <v>225</v>
      </c>
      <c r="B52" s="6">
        <v>2</v>
      </c>
      <c r="C52" t="s">
        <v>150</v>
      </c>
      <c r="D52" t="s">
        <v>194</v>
      </c>
      <c r="E52" t="s">
        <v>192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6528</v>
      </c>
      <c r="P52">
        <v>2324.9532162323299</v>
      </c>
      <c r="Q52">
        <v>8</v>
      </c>
      <c r="R52">
        <v>4</v>
      </c>
      <c r="S52">
        <v>12</v>
      </c>
      <c r="BH52">
        <v>2.5000000000000001E-2</v>
      </c>
      <c r="BI52">
        <v>3.5000000000000003E-2</v>
      </c>
      <c r="BJ52">
        <v>5.3999999999999999E-2</v>
      </c>
      <c r="BK52">
        <v>3.6999999999999998E-2</v>
      </c>
      <c r="BL52">
        <v>3.5000000000000003E-2</v>
      </c>
      <c r="BM52">
        <v>0.03</v>
      </c>
      <c r="BN52">
        <v>0.04</v>
      </c>
      <c r="BO52">
        <v>3.7999999999999999E-2</v>
      </c>
      <c r="BP52">
        <v>3.1E-2</v>
      </c>
      <c r="BQ52">
        <v>3.7999999999999999E-2</v>
      </c>
      <c r="BR52">
        <v>3.2000000000000001E-2</v>
      </c>
      <c r="BS52">
        <v>3.4000000000000002E-2</v>
      </c>
      <c r="CB52">
        <f t="shared" si="1"/>
        <v>9.1814850000000014E-3</v>
      </c>
      <c r="CC52">
        <f t="shared" si="0"/>
        <v>21.346523080538898</v>
      </c>
      <c r="CD52">
        <v>2.8124999999999999E-3</v>
      </c>
      <c r="CE52">
        <v>7.7175000000000004E-3</v>
      </c>
      <c r="CF52">
        <v>2.8343520000000001E-2</v>
      </c>
      <c r="CG52">
        <v>9.1175400000000004E-3</v>
      </c>
      <c r="CH52">
        <v>7.7175000000000004E-3</v>
      </c>
      <c r="CI52">
        <v>4.8599999999999997E-3</v>
      </c>
      <c r="CJ52">
        <v>1.1520000000000001E-2</v>
      </c>
      <c r="CK52">
        <v>9.8769600000000006E-3</v>
      </c>
      <c r="CL52">
        <v>5.3623799999999999E-3</v>
      </c>
      <c r="CM52">
        <v>9.8769600000000006E-3</v>
      </c>
      <c r="CN52">
        <v>5.8982399999999999E-3</v>
      </c>
      <c r="CO52">
        <v>7.0747199999999996E-3</v>
      </c>
    </row>
    <row r="53" spans="1:101" x14ac:dyDescent="0.25">
      <c r="A53" s="6">
        <v>4</v>
      </c>
      <c r="B53" s="6">
        <v>2</v>
      </c>
      <c r="C53" t="s">
        <v>151</v>
      </c>
      <c r="D53" t="s">
        <v>194</v>
      </c>
      <c r="E53" t="s">
        <v>192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3120</v>
      </c>
      <c r="P53">
        <v>1262.7169038694999</v>
      </c>
      <c r="Q53">
        <v>2</v>
      </c>
      <c r="R53">
        <v>1</v>
      </c>
      <c r="S53">
        <v>3</v>
      </c>
      <c r="BH53">
        <v>3.5999999999999997E-2</v>
      </c>
      <c r="BI53">
        <v>0.04</v>
      </c>
      <c r="BJ53">
        <v>4.5999999999999999E-2</v>
      </c>
      <c r="CB53">
        <f t="shared" si="1"/>
        <v>1.2479520000000001E-2</v>
      </c>
      <c r="CC53">
        <f t="shared" si="0"/>
        <v>15.758100856177503</v>
      </c>
      <c r="CD53">
        <v>8.3980800000000005E-3</v>
      </c>
      <c r="CE53">
        <v>1.1520000000000001E-2</v>
      </c>
      <c r="CF53">
        <v>1.7520480000000001E-2</v>
      </c>
    </row>
    <row r="54" spans="1:101" x14ac:dyDescent="0.25">
      <c r="A54" s="6">
        <v>22</v>
      </c>
      <c r="B54" s="6">
        <v>2</v>
      </c>
      <c r="C54" t="s">
        <v>152</v>
      </c>
      <c r="D54" t="s">
        <v>194</v>
      </c>
      <c r="E54" t="s">
        <v>192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1344</v>
      </c>
      <c r="P54">
        <v>714.42811736726696</v>
      </c>
      <c r="Q54">
        <v>3</v>
      </c>
      <c r="R54">
        <v>5</v>
      </c>
      <c r="S54">
        <v>8</v>
      </c>
      <c r="BH54">
        <v>3.1E-2</v>
      </c>
      <c r="BI54">
        <v>4.9000000000000002E-2</v>
      </c>
      <c r="BJ54">
        <v>4.1000000000000002E-2</v>
      </c>
      <c r="BK54">
        <v>5.6000000000000001E-2</v>
      </c>
      <c r="BL54">
        <v>3.6999999999999998E-2</v>
      </c>
      <c r="BM54">
        <v>3.9E-2</v>
      </c>
      <c r="BN54">
        <v>3.5000000000000003E-2</v>
      </c>
      <c r="BO54">
        <v>3.9E-2</v>
      </c>
      <c r="CB54">
        <f t="shared" si="1"/>
        <v>1.3593217500000001E-2</v>
      </c>
      <c r="CC54">
        <f t="shared" si="0"/>
        <v>9.7113767874887884</v>
      </c>
      <c r="CD54">
        <v>5.3623799999999999E-3</v>
      </c>
      <c r="CE54">
        <v>2.1176819999999999E-2</v>
      </c>
      <c r="CF54">
        <v>1.240578E-2</v>
      </c>
      <c r="CG54">
        <v>3.1610880000000001E-2</v>
      </c>
      <c r="CH54">
        <v>9.1175400000000004E-3</v>
      </c>
      <c r="CI54">
        <v>1.067742E-2</v>
      </c>
      <c r="CJ54">
        <v>7.7175000000000004E-3</v>
      </c>
      <c r="CK54">
        <v>1.067742E-2</v>
      </c>
    </row>
    <row r="55" spans="1:101" x14ac:dyDescent="0.25">
      <c r="A55" s="6">
        <v>330</v>
      </c>
      <c r="B55" s="6">
        <v>2</v>
      </c>
      <c r="C55" t="s">
        <v>119</v>
      </c>
      <c r="D55" t="s">
        <v>195</v>
      </c>
      <c r="E55" t="s">
        <v>192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31.25</v>
      </c>
      <c r="P55">
        <v>16.728499379008301</v>
      </c>
      <c r="Q55">
        <v>1</v>
      </c>
      <c r="R55">
        <v>-1</v>
      </c>
      <c r="S55">
        <v>1</v>
      </c>
      <c r="T55">
        <v>0.126</v>
      </c>
      <c r="BH55">
        <v>7.2999999999999995E-2</v>
      </c>
      <c r="CB55">
        <f t="shared" si="1"/>
        <v>1.7457804E-2</v>
      </c>
      <c r="CC55">
        <f t="shared" si="0"/>
        <v>0.29204286337284863</v>
      </c>
      <c r="CD55">
        <v>1.7457804E-2</v>
      </c>
    </row>
    <row r="56" spans="1:101" x14ac:dyDescent="0.25">
      <c r="A56" s="6">
        <v>348</v>
      </c>
      <c r="B56" s="6">
        <v>2</v>
      </c>
      <c r="C56" t="s">
        <v>121</v>
      </c>
      <c r="D56" t="s">
        <v>195</v>
      </c>
      <c r="E56" t="s">
        <v>192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13.75</v>
      </c>
      <c r="P56">
        <v>1.6063718621927201</v>
      </c>
      <c r="Q56">
        <v>1</v>
      </c>
      <c r="R56">
        <v>-1</v>
      </c>
      <c r="S56">
        <v>1</v>
      </c>
      <c r="T56">
        <v>0.14799999999999999</v>
      </c>
      <c r="BH56">
        <v>5.3999999999999999E-2</v>
      </c>
      <c r="CB56">
        <f t="shared" si="1"/>
        <v>1.1220768000000001E-2</v>
      </c>
      <c r="CC56">
        <f t="shared" si="0"/>
        <v>1.8024725987392486E-2</v>
      </c>
      <c r="CD56">
        <v>1.1220768000000001E-2</v>
      </c>
    </row>
    <row r="57" spans="1:101" x14ac:dyDescent="0.25">
      <c r="A57" s="6">
        <v>275</v>
      </c>
      <c r="B57" s="6">
        <v>2</v>
      </c>
      <c r="C57" t="s">
        <v>123</v>
      </c>
      <c r="D57" t="s">
        <v>195</v>
      </c>
      <c r="E57" t="s">
        <v>192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1</v>
      </c>
      <c r="P57">
        <v>0.28692722134874998</v>
      </c>
      <c r="Q57">
        <v>1</v>
      </c>
      <c r="R57">
        <v>-1</v>
      </c>
      <c r="S57">
        <v>1</v>
      </c>
      <c r="T57">
        <v>0.14499999999999999</v>
      </c>
      <c r="BH57">
        <v>8.5000000000000006E-2</v>
      </c>
      <c r="CB57">
        <f t="shared" si="1"/>
        <v>2.7238249999999999E-2</v>
      </c>
      <c r="CC57">
        <f t="shared" si="0"/>
        <v>7.8153953869025891E-3</v>
      </c>
      <c r="CD57">
        <v>2.7238249999999999E-2</v>
      </c>
    </row>
    <row r="58" spans="1:101" x14ac:dyDescent="0.25">
      <c r="A58" s="6">
        <v>265</v>
      </c>
      <c r="B58" s="6">
        <v>2</v>
      </c>
      <c r="C58" t="s">
        <v>125</v>
      </c>
      <c r="D58" t="s">
        <v>195</v>
      </c>
      <c r="E58" t="s">
        <v>192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12</v>
      </c>
      <c r="P58">
        <v>1.4639143946364801</v>
      </c>
      <c r="Q58">
        <v>2</v>
      </c>
      <c r="R58">
        <v>-1</v>
      </c>
      <c r="S58">
        <v>2</v>
      </c>
      <c r="T58">
        <v>0.151</v>
      </c>
      <c r="U58">
        <v>0.156</v>
      </c>
      <c r="BH58">
        <v>5.3999999999999999E-2</v>
      </c>
      <c r="BI58">
        <v>9.2999999999999999E-2</v>
      </c>
      <c r="CB58">
        <f t="shared" si="1"/>
        <v>2.3264279999999998E-2</v>
      </c>
      <c r="CC58">
        <f t="shared" si="0"/>
        <v>3.4056914372853568E-2</v>
      </c>
      <c r="CD58">
        <v>1.1448216000000001E-2</v>
      </c>
      <c r="CE58">
        <v>3.5080343999999999E-2</v>
      </c>
    </row>
    <row r="59" spans="1:101" x14ac:dyDescent="0.25">
      <c r="A59" s="6">
        <v>253</v>
      </c>
      <c r="B59" s="6">
        <v>2</v>
      </c>
      <c r="C59" t="s">
        <v>127</v>
      </c>
      <c r="D59" t="s">
        <v>195</v>
      </c>
      <c r="E59" t="s">
        <v>192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2</v>
      </c>
      <c r="P59">
        <v>1.0247400762455401</v>
      </c>
      <c r="Q59">
        <v>2</v>
      </c>
      <c r="R59">
        <v>-1</v>
      </c>
      <c r="S59">
        <v>2</v>
      </c>
      <c r="T59">
        <v>9.9000000000000005E-2</v>
      </c>
      <c r="U59">
        <v>0.154</v>
      </c>
      <c r="BH59">
        <v>5.2999999999999999E-2</v>
      </c>
      <c r="BI59">
        <v>5.1999999999999998E-2</v>
      </c>
      <c r="CB59">
        <f t="shared" si="1"/>
        <v>9.028590999999999E-3</v>
      </c>
      <c r="CC59">
        <f t="shared" si="0"/>
        <v>9.2519590297297956E-3</v>
      </c>
      <c r="CD59">
        <v>7.2303660000000002E-3</v>
      </c>
      <c r="CE59">
        <v>1.0826816E-2</v>
      </c>
    </row>
    <row r="60" spans="1:101" x14ac:dyDescent="0.25">
      <c r="A60" s="6">
        <v>288</v>
      </c>
      <c r="B60" s="6">
        <v>2</v>
      </c>
      <c r="C60" t="s">
        <v>129</v>
      </c>
      <c r="D60" t="s">
        <v>195</v>
      </c>
      <c r="E60" t="s">
        <v>192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6.75</v>
      </c>
      <c r="P60">
        <v>4.40172441841833</v>
      </c>
      <c r="Q60">
        <v>3</v>
      </c>
      <c r="R60">
        <v>-1</v>
      </c>
      <c r="S60">
        <v>3</v>
      </c>
      <c r="T60">
        <v>0.11899999999999999</v>
      </c>
      <c r="U60">
        <v>0.11799999999999999</v>
      </c>
      <c r="V60">
        <v>0.113</v>
      </c>
      <c r="BH60">
        <v>5.8000000000000003E-2</v>
      </c>
      <c r="BI60">
        <v>7.5999999999999998E-2</v>
      </c>
      <c r="BJ60">
        <v>7.2999999999999995E-2</v>
      </c>
      <c r="CB60">
        <f t="shared" si="1"/>
        <v>1.4595195333333333E-2</v>
      </c>
      <c r="CC60">
        <f t="shared" si="0"/>
        <v>6.4244027690318589E-2</v>
      </c>
      <c r="CD60">
        <v>1.0408216E-2</v>
      </c>
      <c r="CE60">
        <v>1.7720768000000001E-2</v>
      </c>
      <c r="CF60">
        <v>1.5656601999999999E-2</v>
      </c>
    </row>
    <row r="61" spans="1:101" x14ac:dyDescent="0.25">
      <c r="A61" s="6">
        <v>188</v>
      </c>
      <c r="B61" s="6">
        <v>2</v>
      </c>
      <c r="C61" t="s">
        <v>132</v>
      </c>
      <c r="D61" t="s">
        <v>195</v>
      </c>
      <c r="E61" t="s">
        <v>192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64288</v>
      </c>
      <c r="P61">
        <v>26317.506262174698</v>
      </c>
      <c r="Q61">
        <v>41</v>
      </c>
      <c r="R61">
        <v>41</v>
      </c>
      <c r="S61">
        <v>82</v>
      </c>
      <c r="T61">
        <v>0.161</v>
      </c>
      <c r="U61">
        <v>7.9000000000000001E-2</v>
      </c>
      <c r="V61">
        <v>0.13200000000000001</v>
      </c>
      <c r="W61">
        <v>0.13800000000000001</v>
      </c>
      <c r="X61">
        <v>0.13500000000000001</v>
      </c>
      <c r="Y61">
        <v>0.11</v>
      </c>
      <c r="Z61">
        <v>0.114</v>
      </c>
      <c r="AA61">
        <v>0.14299999999999999</v>
      </c>
      <c r="AB61">
        <v>0.12</v>
      </c>
      <c r="AC61">
        <v>0.121</v>
      </c>
      <c r="AD61">
        <v>0.12</v>
      </c>
      <c r="AE61">
        <v>0.13</v>
      </c>
      <c r="AF61">
        <v>0.14299999999999999</v>
      </c>
      <c r="AG61">
        <v>9.6000000000000002E-2</v>
      </c>
      <c r="AH61">
        <v>0.126</v>
      </c>
      <c r="AI61">
        <v>0.14799999999999999</v>
      </c>
      <c r="AJ61">
        <v>0.153</v>
      </c>
      <c r="AK61">
        <v>0.125</v>
      </c>
      <c r="AL61">
        <v>0.14899999999999999</v>
      </c>
      <c r="AM61">
        <v>0.17499999999999999</v>
      </c>
      <c r="BH61">
        <v>5.8000000000000003E-2</v>
      </c>
      <c r="BI61">
        <v>5.3999999999999999E-2</v>
      </c>
      <c r="BJ61">
        <v>4.4999999999999998E-2</v>
      </c>
      <c r="BK61">
        <v>7.0000000000000007E-2</v>
      </c>
      <c r="BL61">
        <v>6.2E-2</v>
      </c>
      <c r="BM61">
        <v>5.7000000000000002E-2</v>
      </c>
      <c r="BN61">
        <v>6.5000000000000002E-2</v>
      </c>
      <c r="BO61">
        <v>5.8000000000000003E-2</v>
      </c>
      <c r="BP61">
        <v>4.5999999999999999E-2</v>
      </c>
      <c r="BQ61">
        <v>4.1000000000000002E-2</v>
      </c>
      <c r="BR61">
        <v>4.2000000000000003E-2</v>
      </c>
      <c r="BS61">
        <v>4.4999999999999998E-2</v>
      </c>
      <c r="BT61">
        <v>5.1999999999999998E-2</v>
      </c>
      <c r="BU61">
        <v>8.7999999999999995E-2</v>
      </c>
      <c r="BV61">
        <v>6.4000000000000001E-2</v>
      </c>
      <c r="BW61">
        <v>6.9000000000000006E-2</v>
      </c>
      <c r="BX61">
        <v>8.2000000000000003E-2</v>
      </c>
      <c r="BY61">
        <v>6.3E-2</v>
      </c>
      <c r="BZ61">
        <v>6.4000000000000001E-2</v>
      </c>
      <c r="CA61">
        <v>6.3E-2</v>
      </c>
      <c r="CB61">
        <f t="shared" si="1"/>
        <v>1.2567551099999999E-2</v>
      </c>
      <c r="CC61">
        <f t="shared" si="0"/>
        <v>330.74660477445047</v>
      </c>
      <c r="CD61">
        <v>1.4081704E-2</v>
      </c>
      <c r="CE61">
        <v>5.9894639999999999E-3</v>
      </c>
      <c r="CF61">
        <v>6.9497999999999999E-3</v>
      </c>
      <c r="CG61">
        <v>1.7581200000000002E-2</v>
      </c>
      <c r="CH61">
        <v>1.349244E-2</v>
      </c>
      <c r="CI61">
        <v>9.2921400000000008E-3</v>
      </c>
      <c r="CJ61">
        <v>1.25229E-2</v>
      </c>
      <c r="CK61">
        <v>1.2507351999999999E-2</v>
      </c>
      <c r="CL61">
        <v>6.6019199999999998E-3</v>
      </c>
      <c r="CM61">
        <v>5.2884259999999997E-3</v>
      </c>
      <c r="CN61">
        <v>5.5036800000000004E-3</v>
      </c>
      <c r="CO61">
        <v>6.8444999999999999E-3</v>
      </c>
      <c r="CP61">
        <v>1.0053472000000001E-2</v>
      </c>
      <c r="CQ61">
        <v>1.9329024E-2</v>
      </c>
      <c r="CR61">
        <v>1.3418496E-2</v>
      </c>
      <c r="CS61">
        <v>1.8320328E-2</v>
      </c>
      <c r="CT61">
        <v>2.6748072000000001E-2</v>
      </c>
      <c r="CU61">
        <v>1.2899249999999999E-2</v>
      </c>
      <c r="CV61">
        <v>1.5867903999999999E-2</v>
      </c>
      <c r="CW61">
        <v>1.8058950000000001E-2</v>
      </c>
    </row>
    <row r="62" spans="1:101" x14ac:dyDescent="0.25">
      <c r="A62" s="6">
        <v>208</v>
      </c>
      <c r="B62" s="6">
        <v>2</v>
      </c>
      <c r="C62" t="s">
        <v>135</v>
      </c>
      <c r="D62" t="s">
        <v>195</v>
      </c>
      <c r="E62" t="s">
        <v>192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49776</v>
      </c>
      <c r="P62">
        <v>18660.808709233199</v>
      </c>
      <c r="Q62">
        <v>24</v>
      </c>
      <c r="R62">
        <v>27</v>
      </c>
      <c r="S62">
        <v>51</v>
      </c>
      <c r="T62">
        <v>7.6999999999999999E-2</v>
      </c>
      <c r="U62">
        <v>0.17899999999999999</v>
      </c>
      <c r="V62">
        <v>0.16500000000000001</v>
      </c>
      <c r="W62">
        <v>0.17699999999999999</v>
      </c>
      <c r="X62">
        <v>0.17899999999999999</v>
      </c>
      <c r="Y62">
        <v>0.17100000000000001</v>
      </c>
      <c r="Z62">
        <v>0.129</v>
      </c>
      <c r="AA62">
        <v>0.245</v>
      </c>
      <c r="AB62">
        <v>0.14199999999999999</v>
      </c>
      <c r="AC62">
        <v>0.161</v>
      </c>
      <c r="AD62">
        <v>7.8E-2</v>
      </c>
      <c r="AE62">
        <v>0.17</v>
      </c>
      <c r="AF62">
        <v>0.123</v>
      </c>
      <c r="AG62">
        <v>0.122</v>
      </c>
      <c r="AH62">
        <v>0.219</v>
      </c>
      <c r="AI62">
        <v>0.159</v>
      </c>
      <c r="AJ62">
        <v>0.11700000000000001</v>
      </c>
      <c r="AK62">
        <v>0.126</v>
      </c>
      <c r="AL62">
        <v>0.124</v>
      </c>
      <c r="AM62">
        <v>0.14799999999999999</v>
      </c>
      <c r="BH62">
        <v>6.5000000000000002E-2</v>
      </c>
      <c r="BI62">
        <v>8.8999999999999996E-2</v>
      </c>
      <c r="BJ62">
        <v>7.2999999999999995E-2</v>
      </c>
      <c r="BK62">
        <v>7.5999999999999998E-2</v>
      </c>
      <c r="BL62">
        <v>0.09</v>
      </c>
      <c r="BM62">
        <v>6.4000000000000001E-2</v>
      </c>
      <c r="BN62">
        <v>6.7000000000000004E-2</v>
      </c>
      <c r="BO62">
        <v>8.7999999999999995E-2</v>
      </c>
      <c r="BP62">
        <v>6.2E-2</v>
      </c>
      <c r="BQ62">
        <v>0.06</v>
      </c>
      <c r="BR62">
        <v>5.5E-2</v>
      </c>
      <c r="BS62">
        <v>7.3999999999999996E-2</v>
      </c>
      <c r="BT62">
        <v>8.6999999999999994E-2</v>
      </c>
      <c r="BU62">
        <v>7.9000000000000001E-2</v>
      </c>
      <c r="BV62">
        <v>6.4000000000000001E-2</v>
      </c>
      <c r="BW62">
        <v>5.6000000000000001E-2</v>
      </c>
      <c r="BX62">
        <v>0.08</v>
      </c>
      <c r="BY62">
        <v>5.1999999999999998E-2</v>
      </c>
      <c r="BZ62">
        <v>8.5999999999999993E-2</v>
      </c>
      <c r="CA62">
        <v>7.9000000000000001E-2</v>
      </c>
      <c r="CB62">
        <f t="shared" si="1"/>
        <v>2.15567677E-2</v>
      </c>
      <c r="CC62">
        <f t="shared" si="0"/>
        <v>402.2667184390769</v>
      </c>
      <c r="CD62">
        <v>8.4584499999999993E-3</v>
      </c>
      <c r="CE62">
        <v>3.6864333999999999E-2</v>
      </c>
      <c r="CF62">
        <v>2.2861409999999999E-2</v>
      </c>
      <c r="CG62">
        <v>2.6581152E-2</v>
      </c>
      <c r="CH62">
        <v>3.7697399999999999E-2</v>
      </c>
      <c r="CI62">
        <v>1.8210816000000001E-2</v>
      </c>
      <c r="CJ62">
        <v>1.5056106E-2</v>
      </c>
      <c r="CK62">
        <v>4.9329280000000003E-2</v>
      </c>
      <c r="CL62">
        <v>1.4192048000000001E-2</v>
      </c>
      <c r="CM62">
        <v>1.5069600000000001E-2</v>
      </c>
      <c r="CN62">
        <v>6.1346999999999999E-3</v>
      </c>
      <c r="CO62">
        <v>2.420392E-2</v>
      </c>
      <c r="CP62">
        <v>2.4205661999999999E-2</v>
      </c>
      <c r="CQ62">
        <v>1.9796451999999999E-2</v>
      </c>
      <c r="CR62">
        <v>2.3322624E-2</v>
      </c>
      <c r="CS62">
        <v>1.2964224E-2</v>
      </c>
      <c r="CT62">
        <v>1.9468800000000001E-2</v>
      </c>
      <c r="CU62">
        <v>8.8583039999999991E-3</v>
      </c>
      <c r="CV62">
        <v>2.3844704000000001E-2</v>
      </c>
      <c r="CW62">
        <v>2.4015367999999999E-2</v>
      </c>
    </row>
    <row r="63" spans="1:101" x14ac:dyDescent="0.25">
      <c r="A63" s="6">
        <v>152</v>
      </c>
      <c r="B63" s="6">
        <v>2</v>
      </c>
      <c r="C63" t="s">
        <v>136</v>
      </c>
      <c r="D63" t="s">
        <v>195</v>
      </c>
      <c r="E63" t="s">
        <v>192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71040</v>
      </c>
      <c r="P63">
        <v>40808.0023721994</v>
      </c>
      <c r="Q63">
        <v>51</v>
      </c>
      <c r="R63">
        <v>60</v>
      </c>
      <c r="S63">
        <v>111</v>
      </c>
      <c r="T63">
        <v>0.16</v>
      </c>
      <c r="U63">
        <v>0.151</v>
      </c>
      <c r="V63">
        <v>9.0999999999999998E-2</v>
      </c>
      <c r="W63">
        <v>0.10299999999999999</v>
      </c>
      <c r="X63">
        <v>0.105</v>
      </c>
      <c r="Y63">
        <v>0.13400000000000001</v>
      </c>
      <c r="Z63">
        <v>0.1</v>
      </c>
      <c r="AA63">
        <v>0.11700000000000001</v>
      </c>
      <c r="AB63">
        <v>0.16500000000000001</v>
      </c>
      <c r="AC63">
        <v>0.22600000000000001</v>
      </c>
      <c r="AD63">
        <v>0.106</v>
      </c>
      <c r="AE63">
        <v>0.122</v>
      </c>
      <c r="AF63">
        <v>0.111</v>
      </c>
      <c r="AG63">
        <v>0.106</v>
      </c>
      <c r="AH63">
        <v>0.11600000000000001</v>
      </c>
      <c r="AI63">
        <v>9.2999999999999999E-2</v>
      </c>
      <c r="AJ63">
        <v>0.14499999999999999</v>
      </c>
      <c r="AK63">
        <v>0.104</v>
      </c>
      <c r="AL63">
        <v>0.14899999999999999</v>
      </c>
      <c r="AM63">
        <v>0.182</v>
      </c>
      <c r="BH63">
        <v>6.9000000000000006E-2</v>
      </c>
      <c r="BI63">
        <v>6.5000000000000002E-2</v>
      </c>
      <c r="BJ63">
        <v>4.8000000000000001E-2</v>
      </c>
      <c r="BK63">
        <v>0.06</v>
      </c>
      <c r="BL63">
        <v>6.2E-2</v>
      </c>
      <c r="BM63">
        <v>6.9000000000000006E-2</v>
      </c>
      <c r="BN63">
        <v>7.2999999999999995E-2</v>
      </c>
      <c r="BO63">
        <v>3.7999999999999999E-2</v>
      </c>
      <c r="BP63">
        <v>7.6999999999999999E-2</v>
      </c>
      <c r="BQ63">
        <v>7.6999999999999999E-2</v>
      </c>
      <c r="BR63">
        <v>6.7000000000000004E-2</v>
      </c>
      <c r="BS63">
        <v>5.8999999999999997E-2</v>
      </c>
      <c r="BT63">
        <v>9.6000000000000002E-2</v>
      </c>
      <c r="BU63">
        <v>5.0999999999999997E-2</v>
      </c>
      <c r="BV63">
        <v>5.8999999999999997E-2</v>
      </c>
      <c r="BW63">
        <v>5.6000000000000001E-2</v>
      </c>
      <c r="BX63">
        <v>7.3999999999999996E-2</v>
      </c>
      <c r="BY63">
        <v>8.3000000000000004E-2</v>
      </c>
      <c r="BZ63">
        <v>9.6000000000000002E-2</v>
      </c>
      <c r="CA63">
        <v>5.0999999999999997E-2</v>
      </c>
      <c r="CB63">
        <f t="shared" si="1"/>
        <v>1.5981633200000001E-2</v>
      </c>
      <c r="CC63">
        <f t="shared" si="0"/>
        <v>652.17852553722071</v>
      </c>
      <c r="CD63">
        <v>1.9805759999999999E-2</v>
      </c>
      <c r="CE63">
        <v>1.6587350000000001E-2</v>
      </c>
      <c r="CF63">
        <v>5.4512639999999999E-3</v>
      </c>
      <c r="CG63">
        <v>9.6407999999999997E-3</v>
      </c>
      <c r="CH63">
        <v>1.0494119999999999E-2</v>
      </c>
      <c r="CI63">
        <v>1.6587324000000001E-2</v>
      </c>
      <c r="CJ63">
        <v>1.38554E-2</v>
      </c>
      <c r="CK63">
        <v>4.3926479999999999E-3</v>
      </c>
      <c r="CL63">
        <v>2.5435409999999999E-2</v>
      </c>
      <c r="CM63">
        <v>3.4838804000000001E-2</v>
      </c>
      <c r="CN63">
        <v>1.2371684000000001E-2</v>
      </c>
      <c r="CO63">
        <v>1.1041732E-2</v>
      </c>
      <c r="CP63">
        <v>2.6597375999999999E-2</v>
      </c>
      <c r="CQ63">
        <v>7.1683559999999999E-3</v>
      </c>
      <c r="CR63">
        <v>1.0498696E-2</v>
      </c>
      <c r="CS63">
        <v>7.5828479999999997E-3</v>
      </c>
      <c r="CT63">
        <v>2.064452E-2</v>
      </c>
      <c r="CU63">
        <v>1.8627856000000002E-2</v>
      </c>
      <c r="CV63">
        <v>3.5702784000000001E-2</v>
      </c>
      <c r="CW63">
        <v>1.2307932000000001E-2</v>
      </c>
    </row>
    <row r="64" spans="1:101" x14ac:dyDescent="0.25">
      <c r="A64" s="6">
        <v>170</v>
      </c>
      <c r="B64" s="6">
        <v>2</v>
      </c>
      <c r="C64" t="s">
        <v>138</v>
      </c>
      <c r="D64" t="s">
        <v>195</v>
      </c>
      <c r="E64" t="s">
        <v>192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243936</v>
      </c>
      <c r="P64">
        <v>173756.062424893</v>
      </c>
      <c r="Q64">
        <v>60</v>
      </c>
      <c r="R64">
        <v>66</v>
      </c>
      <c r="S64">
        <v>126</v>
      </c>
      <c r="T64">
        <v>0.13200000000000001</v>
      </c>
      <c r="U64">
        <v>0.13700000000000001</v>
      </c>
      <c r="V64">
        <v>0.13500000000000001</v>
      </c>
      <c r="W64">
        <v>0.113</v>
      </c>
      <c r="X64">
        <v>0.12</v>
      </c>
      <c r="Y64">
        <v>8.6999999999999994E-2</v>
      </c>
      <c r="Z64">
        <v>0.14699999999999999</v>
      </c>
      <c r="AA64">
        <v>9.4E-2</v>
      </c>
      <c r="AB64">
        <v>9.4E-2</v>
      </c>
      <c r="AC64">
        <v>0.126</v>
      </c>
      <c r="AD64">
        <v>0.109</v>
      </c>
      <c r="AE64">
        <v>0.17599999999999999</v>
      </c>
      <c r="AF64">
        <v>0.123</v>
      </c>
      <c r="AG64">
        <v>0.16400000000000001</v>
      </c>
      <c r="AH64">
        <v>0.111</v>
      </c>
      <c r="AI64">
        <v>0.104</v>
      </c>
      <c r="AJ64">
        <v>0.106</v>
      </c>
      <c r="AK64">
        <v>0.13700000000000001</v>
      </c>
      <c r="AL64">
        <v>0.124</v>
      </c>
      <c r="AM64">
        <v>0.122</v>
      </c>
      <c r="BH64">
        <v>6.6000000000000003E-2</v>
      </c>
      <c r="BI64">
        <v>7.8E-2</v>
      </c>
      <c r="BJ64">
        <v>7.8E-2</v>
      </c>
      <c r="BK64">
        <v>5.0999999999999997E-2</v>
      </c>
      <c r="BL64">
        <v>6.5000000000000002E-2</v>
      </c>
      <c r="BM64">
        <v>5.7000000000000002E-2</v>
      </c>
      <c r="BN64">
        <v>7.8E-2</v>
      </c>
      <c r="BO64">
        <v>7.8E-2</v>
      </c>
      <c r="BP64">
        <v>5.2999999999999999E-2</v>
      </c>
      <c r="BQ64">
        <v>5.8999999999999997E-2</v>
      </c>
      <c r="BR64">
        <v>5.5E-2</v>
      </c>
      <c r="BS64">
        <v>0.04</v>
      </c>
      <c r="BT64">
        <v>6.7000000000000004E-2</v>
      </c>
      <c r="BU64">
        <v>7.1999999999999995E-2</v>
      </c>
      <c r="BV64">
        <v>5.6000000000000001E-2</v>
      </c>
      <c r="BW64">
        <v>5.3999999999999999E-2</v>
      </c>
      <c r="BX64">
        <v>0.06</v>
      </c>
      <c r="BY64">
        <v>7.2999999999999995E-2</v>
      </c>
      <c r="BZ64">
        <v>8.5000000000000006E-2</v>
      </c>
      <c r="CA64">
        <v>7.9000000000000001E-2</v>
      </c>
      <c r="CB64">
        <f t="shared" si="1"/>
        <v>1.4191183499999999E-2</v>
      </c>
      <c r="CC64">
        <f t="shared" si="0"/>
        <v>2465.8041661091115</v>
      </c>
      <c r="CD64">
        <v>1.4949792E-2</v>
      </c>
      <c r="CE64">
        <v>2.1671208000000001E-2</v>
      </c>
      <c r="CF64">
        <v>2.135484E-2</v>
      </c>
      <c r="CG64">
        <v>7.6417380000000003E-3</v>
      </c>
      <c r="CH64">
        <v>1.3181999999999999E-2</v>
      </c>
      <c r="CI64">
        <v>7.3492380000000001E-3</v>
      </c>
      <c r="CJ64">
        <v>2.3253047999999998E-2</v>
      </c>
      <c r="CK64">
        <v>1.4869296000000001E-2</v>
      </c>
      <c r="CL64">
        <v>6.8651959999999996E-3</v>
      </c>
      <c r="CM64">
        <v>1.1403755999999999E-2</v>
      </c>
      <c r="CN64">
        <v>8.5728499999999999E-3</v>
      </c>
      <c r="CO64">
        <v>7.3216000000000002E-3</v>
      </c>
      <c r="CP64">
        <v>1.4355822000000001E-2</v>
      </c>
      <c r="CQ64">
        <v>2.2104576000000001E-2</v>
      </c>
      <c r="CR64">
        <v>9.0504959999999999E-3</v>
      </c>
      <c r="CS64">
        <v>7.8848640000000001E-3</v>
      </c>
      <c r="CT64">
        <v>9.9215999999999992E-3</v>
      </c>
      <c r="CU64">
        <v>1.8981898000000001E-2</v>
      </c>
      <c r="CV64">
        <v>2.3293399999999999E-2</v>
      </c>
      <c r="CW64">
        <v>1.9796451999999999E-2</v>
      </c>
    </row>
    <row r="65" spans="1:101" x14ac:dyDescent="0.25">
      <c r="A65" s="6">
        <v>78</v>
      </c>
      <c r="B65" s="6">
        <v>2</v>
      </c>
      <c r="C65" t="s">
        <v>141</v>
      </c>
      <c r="D65" t="s">
        <v>195</v>
      </c>
      <c r="E65" t="s">
        <v>192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272568</v>
      </c>
      <c r="P65">
        <v>95171.906274331806</v>
      </c>
      <c r="Q65">
        <v>148</v>
      </c>
      <c r="R65">
        <v>129</v>
      </c>
      <c r="S65">
        <v>277</v>
      </c>
      <c r="T65">
        <v>7.4999999999999997E-2</v>
      </c>
      <c r="U65">
        <v>0.124</v>
      </c>
      <c r="V65">
        <v>0.17699999999999999</v>
      </c>
      <c r="W65">
        <v>0.11</v>
      </c>
      <c r="X65">
        <v>0.13200000000000001</v>
      </c>
      <c r="Y65">
        <v>0.122</v>
      </c>
      <c r="Z65">
        <v>0.123</v>
      </c>
      <c r="AA65">
        <v>0.127</v>
      </c>
      <c r="AB65">
        <v>0.108</v>
      </c>
      <c r="AC65">
        <v>0.11</v>
      </c>
      <c r="AD65">
        <v>0.108</v>
      </c>
      <c r="AE65">
        <v>0.122</v>
      </c>
      <c r="AF65">
        <v>0.109</v>
      </c>
      <c r="AG65">
        <v>9.7000000000000003E-2</v>
      </c>
      <c r="AH65">
        <v>0.19400000000000001</v>
      </c>
      <c r="AI65">
        <v>0.127</v>
      </c>
      <c r="AJ65">
        <v>0.17199999999999999</v>
      </c>
      <c r="AK65">
        <v>8.6999999999999994E-2</v>
      </c>
      <c r="AL65">
        <v>0.115</v>
      </c>
      <c r="AM65">
        <v>8.3000000000000004E-2</v>
      </c>
      <c r="BH65">
        <v>6.9000000000000006E-2</v>
      </c>
      <c r="BI65">
        <v>5.8000000000000003E-2</v>
      </c>
      <c r="BJ65">
        <v>5.5E-2</v>
      </c>
      <c r="BK65">
        <v>7.1999999999999995E-2</v>
      </c>
      <c r="BL65">
        <v>7.0999999999999994E-2</v>
      </c>
      <c r="BM65">
        <v>6.8000000000000005E-2</v>
      </c>
      <c r="BN65">
        <v>6.9000000000000006E-2</v>
      </c>
      <c r="BO65">
        <v>5.2999999999999999E-2</v>
      </c>
      <c r="BP65">
        <v>5.2999999999999999E-2</v>
      </c>
      <c r="BQ65">
        <v>5.2999999999999999E-2</v>
      </c>
      <c r="BR65">
        <v>6.7000000000000004E-2</v>
      </c>
      <c r="BS65">
        <v>6.7000000000000004E-2</v>
      </c>
      <c r="BT65">
        <v>6.7000000000000004E-2</v>
      </c>
      <c r="BU65">
        <v>5.6000000000000001E-2</v>
      </c>
      <c r="BV65">
        <v>6.2E-2</v>
      </c>
      <c r="BW65">
        <v>6.2E-2</v>
      </c>
      <c r="BX65">
        <v>5.0999999999999997E-2</v>
      </c>
      <c r="BY65">
        <v>4.8000000000000001E-2</v>
      </c>
      <c r="BZ65">
        <v>6.7000000000000004E-2</v>
      </c>
      <c r="CA65">
        <v>6.6000000000000003E-2</v>
      </c>
      <c r="CB65">
        <f t="shared" si="1"/>
        <v>1.2024498199999999E-2</v>
      </c>
      <c r="CC65">
        <f t="shared" si="0"/>
        <v>1144.3944156862715</v>
      </c>
      <c r="CD65">
        <v>9.2839499999999991E-3</v>
      </c>
      <c r="CE65">
        <v>1.0845535999999999E-2</v>
      </c>
      <c r="CF65">
        <v>1.3921050000000001E-2</v>
      </c>
      <c r="CG65">
        <v>1.4826239999999999E-2</v>
      </c>
      <c r="CH65">
        <v>1.7300711999999999E-2</v>
      </c>
      <c r="CI65">
        <v>1.4667328E-2</v>
      </c>
      <c r="CJ65">
        <v>1.5225677999999999E-2</v>
      </c>
      <c r="CK65">
        <v>9.2753179999999994E-3</v>
      </c>
      <c r="CL65">
        <v>7.8876720000000001E-3</v>
      </c>
      <c r="CM65">
        <v>8.0337399999999993E-3</v>
      </c>
      <c r="CN65">
        <v>1.2605112E-2</v>
      </c>
      <c r="CO65">
        <v>1.4239108E-2</v>
      </c>
      <c r="CP65">
        <v>1.2721826E-2</v>
      </c>
      <c r="CQ65">
        <v>7.9089920000000001E-3</v>
      </c>
      <c r="CR65">
        <v>1.9389136000000001E-2</v>
      </c>
      <c r="CS65">
        <v>1.2692887999999999E-2</v>
      </c>
      <c r="CT65">
        <v>1.1631671999999999E-2</v>
      </c>
      <c r="CU65">
        <v>5.2116480000000001E-3</v>
      </c>
      <c r="CV65">
        <v>1.3422109999999999E-2</v>
      </c>
      <c r="CW65">
        <v>9.4002479999999999E-3</v>
      </c>
    </row>
    <row r="66" spans="1:101" x14ac:dyDescent="0.25">
      <c r="A66" s="6">
        <v>96</v>
      </c>
      <c r="B66" s="6">
        <v>2</v>
      </c>
      <c r="C66" t="s">
        <v>143</v>
      </c>
      <c r="D66" t="s">
        <v>195</v>
      </c>
      <c r="E66" t="s">
        <v>192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556480</v>
      </c>
      <c r="P66">
        <v>192418.31539253899</v>
      </c>
      <c r="Q66">
        <v>117</v>
      </c>
      <c r="R66">
        <v>118</v>
      </c>
      <c r="S66">
        <v>235</v>
      </c>
      <c r="T66">
        <v>0.19400000000000001</v>
      </c>
      <c r="U66">
        <v>7.2999999999999995E-2</v>
      </c>
      <c r="V66">
        <v>0.186</v>
      </c>
      <c r="W66">
        <v>0.151</v>
      </c>
      <c r="X66">
        <v>0.14799999999999999</v>
      </c>
      <c r="Y66">
        <v>0.158</v>
      </c>
      <c r="Z66">
        <v>0.126</v>
      </c>
      <c r="AA66">
        <v>0.129</v>
      </c>
      <c r="AB66">
        <v>0.17</v>
      </c>
      <c r="AC66">
        <v>0.13200000000000001</v>
      </c>
      <c r="AD66">
        <v>0.11700000000000001</v>
      </c>
      <c r="AE66">
        <v>0.106</v>
      </c>
      <c r="AF66">
        <v>0.15</v>
      </c>
      <c r="AG66">
        <v>0.157</v>
      </c>
      <c r="AH66">
        <v>7.1999999999999995E-2</v>
      </c>
      <c r="AI66">
        <v>0.17499999999999999</v>
      </c>
      <c r="AJ66">
        <v>0.13200000000000001</v>
      </c>
      <c r="AK66">
        <v>0.152</v>
      </c>
      <c r="AL66">
        <v>0.122</v>
      </c>
      <c r="AM66">
        <v>0.182</v>
      </c>
      <c r="BH66">
        <v>5.3999999999999999E-2</v>
      </c>
      <c r="BI66">
        <v>5.5E-2</v>
      </c>
      <c r="BJ66">
        <v>4.8000000000000001E-2</v>
      </c>
      <c r="BK66">
        <v>7.4999999999999997E-2</v>
      </c>
      <c r="BL66">
        <v>5.8000000000000003E-2</v>
      </c>
      <c r="BM66">
        <v>0.08</v>
      </c>
      <c r="BN66">
        <v>6.2E-2</v>
      </c>
      <c r="BO66">
        <v>6.7000000000000004E-2</v>
      </c>
      <c r="BP66">
        <v>7.3999999999999996E-2</v>
      </c>
      <c r="BQ66">
        <v>6.2E-2</v>
      </c>
      <c r="BR66">
        <v>5.2999999999999999E-2</v>
      </c>
      <c r="BS66">
        <v>3.5000000000000003E-2</v>
      </c>
      <c r="BT66">
        <v>5.2999999999999999E-2</v>
      </c>
      <c r="BU66">
        <v>5.3999999999999999E-2</v>
      </c>
      <c r="BV66">
        <v>4.8000000000000001E-2</v>
      </c>
      <c r="BW66">
        <v>5.3999999999999999E-2</v>
      </c>
      <c r="BX66">
        <v>4.3999999999999997E-2</v>
      </c>
      <c r="BY66">
        <v>6.4000000000000001E-2</v>
      </c>
      <c r="BZ66">
        <v>4.7E-2</v>
      </c>
      <c r="CA66">
        <v>4.9000000000000002E-2</v>
      </c>
      <c r="CB66">
        <f t="shared" si="1"/>
        <v>1.2575874999999997E-2</v>
      </c>
      <c r="CC66">
        <f t="shared" ref="CC66:CC129" si="2">CB66*P66</f>
        <v>2419.8286820871458</v>
      </c>
      <c r="CD66">
        <v>1.4708304E-2</v>
      </c>
      <c r="CE66">
        <v>5.7414500000000004E-3</v>
      </c>
      <c r="CF66">
        <v>1.1142144E-2</v>
      </c>
      <c r="CG66">
        <v>2.2083749999999999E-2</v>
      </c>
      <c r="CH66">
        <v>1.2944672000000001E-2</v>
      </c>
      <c r="CI66">
        <v>2.6291200000000001E-2</v>
      </c>
      <c r="CJ66">
        <v>1.2592944E-2</v>
      </c>
      <c r="CK66">
        <v>1.5056106E-2</v>
      </c>
      <c r="CL66">
        <v>2.420392E-2</v>
      </c>
      <c r="CM66">
        <v>1.3192608E-2</v>
      </c>
      <c r="CN66">
        <v>8.5449779999999999E-3</v>
      </c>
      <c r="CO66">
        <v>3.3760999999999999E-3</v>
      </c>
      <c r="CP66">
        <v>1.0955100000000001E-2</v>
      </c>
      <c r="CQ66">
        <v>1.1903112E-2</v>
      </c>
      <c r="CR66">
        <v>4.3130879999999996E-3</v>
      </c>
      <c r="CS66">
        <v>1.32678E-2</v>
      </c>
      <c r="CT66">
        <v>6.6443520000000001E-3</v>
      </c>
      <c r="CU66">
        <v>1.6187391999999998E-2</v>
      </c>
      <c r="CV66">
        <v>7.0069479999999998E-3</v>
      </c>
      <c r="CW66">
        <v>1.1361532000000001E-2</v>
      </c>
    </row>
    <row r="67" spans="1:101" x14ac:dyDescent="0.25">
      <c r="A67" s="6">
        <v>114</v>
      </c>
      <c r="B67" s="6">
        <v>2</v>
      </c>
      <c r="C67" t="s">
        <v>144</v>
      </c>
      <c r="D67" t="s">
        <v>195</v>
      </c>
      <c r="E67" t="s">
        <v>192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142464</v>
      </c>
      <c r="P67">
        <v>59692.570465203898</v>
      </c>
      <c r="Q67">
        <v>82</v>
      </c>
      <c r="R67">
        <v>77</v>
      </c>
      <c r="S67">
        <v>159</v>
      </c>
      <c r="T67">
        <v>0.14899999999999999</v>
      </c>
      <c r="U67">
        <v>0.13800000000000001</v>
      </c>
      <c r="V67">
        <v>0.16600000000000001</v>
      </c>
      <c r="W67">
        <v>0.17100000000000001</v>
      </c>
      <c r="X67">
        <v>0.113</v>
      </c>
      <c r="Y67">
        <v>0.129</v>
      </c>
      <c r="Z67">
        <v>0.129</v>
      </c>
      <c r="AA67">
        <v>0.14199999999999999</v>
      </c>
      <c r="AB67">
        <v>0.16600000000000001</v>
      </c>
      <c r="AC67">
        <v>9.2999999999999999E-2</v>
      </c>
      <c r="AD67">
        <v>0.13700000000000001</v>
      </c>
      <c r="AE67">
        <v>0.20899999999999999</v>
      </c>
      <c r="AF67">
        <v>0.1</v>
      </c>
      <c r="AG67">
        <v>0.14499999999999999</v>
      </c>
      <c r="AH67">
        <v>0.107</v>
      </c>
      <c r="AI67">
        <v>0.17199999999999999</v>
      </c>
      <c r="AJ67">
        <v>0.11600000000000001</v>
      </c>
      <c r="AK67">
        <v>0.16600000000000001</v>
      </c>
      <c r="AL67">
        <v>0.13800000000000001</v>
      </c>
      <c r="AM67">
        <v>0.14099999999999999</v>
      </c>
      <c r="BH67">
        <v>7.6999999999999999E-2</v>
      </c>
      <c r="BI67">
        <v>8.5000000000000006E-2</v>
      </c>
      <c r="BJ67">
        <v>6.8000000000000005E-2</v>
      </c>
      <c r="BK67">
        <v>4.7E-2</v>
      </c>
      <c r="BL67">
        <v>5.0999999999999997E-2</v>
      </c>
      <c r="BM67">
        <v>4.7E-2</v>
      </c>
      <c r="BN67">
        <v>4.3999999999999997E-2</v>
      </c>
      <c r="BO67">
        <v>4.5999999999999999E-2</v>
      </c>
      <c r="BP67">
        <v>7.0999999999999994E-2</v>
      </c>
      <c r="BQ67">
        <v>5.5E-2</v>
      </c>
      <c r="BR67">
        <v>7.2999999999999995E-2</v>
      </c>
      <c r="BS67">
        <v>6.2E-2</v>
      </c>
      <c r="BT67">
        <v>5.2999999999999999E-2</v>
      </c>
      <c r="BU67">
        <v>7.0999999999999994E-2</v>
      </c>
      <c r="BV67">
        <v>5.7000000000000002E-2</v>
      </c>
      <c r="BW67">
        <v>7.1999999999999995E-2</v>
      </c>
      <c r="BX67">
        <v>3.9E-2</v>
      </c>
      <c r="BY67">
        <v>6.3E-2</v>
      </c>
      <c r="BZ67">
        <v>6.9000000000000006E-2</v>
      </c>
      <c r="CA67">
        <v>4.7E-2</v>
      </c>
      <c r="CB67">
        <f t="shared" ref="CB67:CB130" si="3">AVERAGE(CD67:CW67)</f>
        <v>1.4119816099999998E-2</v>
      </c>
      <c r="CC67">
        <f t="shared" si="2"/>
        <v>842.84811750497033</v>
      </c>
      <c r="CD67">
        <v>2.2968946000000001E-2</v>
      </c>
      <c r="CE67">
        <v>2.59233E-2</v>
      </c>
      <c r="CF67">
        <v>1.9957183999999999E-2</v>
      </c>
      <c r="CG67">
        <v>9.821214E-3</v>
      </c>
      <c r="CH67">
        <v>7.6417380000000003E-3</v>
      </c>
      <c r="CI67">
        <v>7.4089860000000002E-3</v>
      </c>
      <c r="CJ67">
        <v>6.4933439999999999E-3</v>
      </c>
      <c r="CK67">
        <v>7.8122720000000003E-3</v>
      </c>
      <c r="CL67">
        <v>2.1756956000000001E-2</v>
      </c>
      <c r="CM67">
        <v>7.3144500000000001E-3</v>
      </c>
      <c r="CN67">
        <v>1.8981898000000001E-2</v>
      </c>
      <c r="CO67">
        <v>2.0888296000000001E-2</v>
      </c>
      <c r="CP67">
        <v>7.3033999999999998E-3</v>
      </c>
      <c r="CQ67">
        <v>1.9004569999999998E-2</v>
      </c>
      <c r="CR67">
        <v>9.0387179999999994E-3</v>
      </c>
      <c r="CS67">
        <v>2.3182847999999999E-2</v>
      </c>
      <c r="CT67">
        <v>4.587336E-3</v>
      </c>
      <c r="CU67">
        <v>1.7130204E-2</v>
      </c>
      <c r="CV67">
        <v>1.7082468E-2</v>
      </c>
      <c r="CW67">
        <v>8.0981939999999995E-3</v>
      </c>
    </row>
    <row r="68" spans="1:101" x14ac:dyDescent="0.25">
      <c r="A68" s="6">
        <v>131</v>
      </c>
      <c r="B68" s="6">
        <v>2</v>
      </c>
      <c r="C68" t="s">
        <v>145</v>
      </c>
      <c r="D68" t="s">
        <v>195</v>
      </c>
      <c r="E68" t="s">
        <v>192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51680</v>
      </c>
      <c r="P68">
        <v>21156.1834810414</v>
      </c>
      <c r="Q68">
        <v>52</v>
      </c>
      <c r="R68">
        <v>43</v>
      </c>
      <c r="S68">
        <v>95</v>
      </c>
      <c r="T68">
        <v>8.5999999999999993E-2</v>
      </c>
      <c r="U68">
        <v>7.0999999999999994E-2</v>
      </c>
      <c r="V68">
        <v>0.1</v>
      </c>
      <c r="W68">
        <v>0.14099999999999999</v>
      </c>
      <c r="X68">
        <v>0.16900000000000001</v>
      </c>
      <c r="Y68">
        <v>0.11600000000000001</v>
      </c>
      <c r="Z68">
        <v>0.10299999999999999</v>
      </c>
      <c r="AA68">
        <v>9.2999999999999999E-2</v>
      </c>
      <c r="AB68">
        <v>9.4E-2</v>
      </c>
      <c r="AC68">
        <v>0.127</v>
      </c>
      <c r="AD68">
        <v>0.155</v>
      </c>
      <c r="AE68">
        <v>0.107</v>
      </c>
      <c r="AF68">
        <v>0.11899999999999999</v>
      </c>
      <c r="AG68">
        <v>0.153</v>
      </c>
      <c r="AH68">
        <v>0.13800000000000001</v>
      </c>
      <c r="AI68">
        <v>0.13100000000000001</v>
      </c>
      <c r="AJ68">
        <v>0.14499999999999999</v>
      </c>
      <c r="AK68">
        <v>0.151</v>
      </c>
      <c r="AL68">
        <v>0.19700000000000001</v>
      </c>
      <c r="AM68">
        <v>0.11799999999999999</v>
      </c>
      <c r="BH68">
        <v>5.0999999999999997E-2</v>
      </c>
      <c r="BI68">
        <v>5.6000000000000001E-2</v>
      </c>
      <c r="BJ68">
        <v>6.9000000000000006E-2</v>
      </c>
      <c r="BK68">
        <v>6.7000000000000004E-2</v>
      </c>
      <c r="BL68">
        <v>5.3999999999999999E-2</v>
      </c>
      <c r="BM68">
        <v>0.06</v>
      </c>
      <c r="BN68">
        <v>0.06</v>
      </c>
      <c r="BO68">
        <v>5.6000000000000001E-2</v>
      </c>
      <c r="BP68">
        <v>4.9000000000000002E-2</v>
      </c>
      <c r="BQ68">
        <v>5.8000000000000003E-2</v>
      </c>
      <c r="BR68">
        <v>0.06</v>
      </c>
      <c r="BS68">
        <v>7.2999999999999995E-2</v>
      </c>
      <c r="BT68">
        <v>6.0999999999999999E-2</v>
      </c>
      <c r="BU68">
        <v>6.8000000000000005E-2</v>
      </c>
      <c r="BV68">
        <v>6.2E-2</v>
      </c>
      <c r="BW68">
        <v>5.8000000000000003E-2</v>
      </c>
      <c r="BX68">
        <v>6.4000000000000001E-2</v>
      </c>
      <c r="BY68">
        <v>5.6000000000000001E-2</v>
      </c>
      <c r="BZ68">
        <v>6.0999999999999999E-2</v>
      </c>
      <c r="CA68">
        <v>6.0999999999999999E-2</v>
      </c>
      <c r="CB68">
        <f t="shared" si="3"/>
        <v>1.2051475799999999E-2</v>
      </c>
      <c r="CC68">
        <f t="shared" si="2"/>
        <v>254.96323324213017</v>
      </c>
      <c r="CD68">
        <v>5.8158359999999996E-3</v>
      </c>
      <c r="CE68">
        <v>5.7890559999999999E-3</v>
      </c>
      <c r="CF68">
        <v>1.23786E-2</v>
      </c>
      <c r="CG68">
        <v>1.6456674000000001E-2</v>
      </c>
      <c r="CH68">
        <v>1.2812904E-2</v>
      </c>
      <c r="CI68">
        <v>1.08576E-2</v>
      </c>
      <c r="CJ68">
        <v>9.6407999999999997E-3</v>
      </c>
      <c r="CK68">
        <v>7.5828479999999997E-3</v>
      </c>
      <c r="CL68">
        <v>5.8680440000000002E-3</v>
      </c>
      <c r="CM68">
        <v>1.1107928E-2</v>
      </c>
      <c r="CN68">
        <v>1.4508E-2</v>
      </c>
      <c r="CO68">
        <v>1.4825278000000001E-2</v>
      </c>
      <c r="CP68">
        <v>1.1512774E-2</v>
      </c>
      <c r="CQ68">
        <v>1.8394272E-2</v>
      </c>
      <c r="CR68">
        <v>1.3792272E-2</v>
      </c>
      <c r="CS68">
        <v>1.1457784E-2</v>
      </c>
      <c r="CT68">
        <v>1.544192E-2</v>
      </c>
      <c r="CU68">
        <v>1.2311936000000001E-2</v>
      </c>
      <c r="CV68">
        <v>1.9058961999999999E-2</v>
      </c>
      <c r="CW68">
        <v>1.1416028E-2</v>
      </c>
    </row>
    <row r="69" spans="1:101" x14ac:dyDescent="0.25">
      <c r="A69" s="6">
        <v>40</v>
      </c>
      <c r="B69" s="6">
        <v>2</v>
      </c>
      <c r="C69" t="s">
        <v>146</v>
      </c>
      <c r="D69" t="s">
        <v>195</v>
      </c>
      <c r="E69" t="s">
        <v>192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200192</v>
      </c>
      <c r="P69">
        <v>71298.565297791603</v>
      </c>
      <c r="Q69">
        <v>68</v>
      </c>
      <c r="R69">
        <v>68</v>
      </c>
      <c r="S69">
        <v>136</v>
      </c>
      <c r="T69">
        <v>0.17299999999999999</v>
      </c>
      <c r="U69">
        <v>0.17299999999999999</v>
      </c>
      <c r="V69">
        <v>0.128</v>
      </c>
      <c r="W69">
        <v>0.17599999999999999</v>
      </c>
      <c r="X69">
        <v>0.16300000000000001</v>
      </c>
      <c r="Y69">
        <v>0.14299999999999999</v>
      </c>
      <c r="Z69">
        <v>0.16</v>
      </c>
      <c r="AA69">
        <v>0.12</v>
      </c>
      <c r="AB69">
        <v>0.1</v>
      </c>
      <c r="AC69">
        <v>0.17199999999999999</v>
      </c>
      <c r="AD69">
        <v>0.14599999999999999</v>
      </c>
      <c r="AE69">
        <v>0.17699999999999999</v>
      </c>
      <c r="AF69">
        <v>0.14599999999999999</v>
      </c>
      <c r="AG69">
        <v>0.19600000000000001</v>
      </c>
      <c r="AH69">
        <v>0.129</v>
      </c>
      <c r="AI69">
        <v>0.129</v>
      </c>
      <c r="AJ69">
        <v>0.14399999999999999</v>
      </c>
      <c r="AK69">
        <v>0.29899999999999999</v>
      </c>
      <c r="AL69">
        <v>0.17499999999999999</v>
      </c>
      <c r="AM69">
        <v>0.161</v>
      </c>
      <c r="BH69">
        <v>5.5E-2</v>
      </c>
      <c r="BI69">
        <v>6.8000000000000005E-2</v>
      </c>
      <c r="BJ69">
        <v>7.3999999999999996E-2</v>
      </c>
      <c r="BK69">
        <v>6.0999999999999999E-2</v>
      </c>
      <c r="BL69">
        <v>6.4000000000000001E-2</v>
      </c>
      <c r="BM69">
        <v>4.2999999999999997E-2</v>
      </c>
      <c r="BN69">
        <v>4.4999999999999998E-2</v>
      </c>
      <c r="BO69">
        <v>5.7000000000000002E-2</v>
      </c>
      <c r="BP69">
        <v>6.2E-2</v>
      </c>
      <c r="BQ69">
        <v>6.3E-2</v>
      </c>
      <c r="BR69">
        <v>7.8E-2</v>
      </c>
      <c r="BS69">
        <v>5.2999999999999999E-2</v>
      </c>
      <c r="BT69">
        <v>5.8000000000000003E-2</v>
      </c>
      <c r="BU69">
        <v>6.2E-2</v>
      </c>
      <c r="BV69">
        <v>5.8000000000000003E-2</v>
      </c>
      <c r="BW69">
        <v>5.3999999999999999E-2</v>
      </c>
      <c r="BX69">
        <v>7.0999999999999994E-2</v>
      </c>
      <c r="BY69">
        <v>7.4999999999999997E-2</v>
      </c>
      <c r="BZ69">
        <v>4.8000000000000001E-2</v>
      </c>
      <c r="CA69">
        <v>7.1999999999999995E-2</v>
      </c>
      <c r="CB69">
        <f t="shared" si="3"/>
        <v>1.6221207600000002E-2</v>
      </c>
      <c r="CC69">
        <f t="shared" si="2"/>
        <v>1156.5488292776336</v>
      </c>
      <c r="CD69">
        <v>1.3606450000000001E-2</v>
      </c>
      <c r="CE69">
        <v>2.0798752E-2</v>
      </c>
      <c r="CF69">
        <v>1.8224127999999999E-2</v>
      </c>
      <c r="CG69">
        <v>1.7027296000000001E-2</v>
      </c>
      <c r="CH69">
        <v>1.7358848E-2</v>
      </c>
      <c r="CI69">
        <v>6.8745819999999997E-3</v>
      </c>
      <c r="CJ69">
        <v>8.4239999999999992E-3</v>
      </c>
      <c r="CK69">
        <v>1.0136879999999999E-2</v>
      </c>
      <c r="CL69">
        <v>9.9944000000000005E-3</v>
      </c>
      <c r="CM69">
        <v>1.7749368000000001E-2</v>
      </c>
      <c r="CN69">
        <v>2.3094864E-2</v>
      </c>
      <c r="CO69">
        <v>1.2927018E-2</v>
      </c>
      <c r="CP69">
        <v>1.2769744E-2</v>
      </c>
      <c r="CQ69">
        <v>1.9589024E-2</v>
      </c>
      <c r="CR69">
        <v>1.1282856000000001E-2</v>
      </c>
      <c r="CS69">
        <v>9.7802640000000003E-3</v>
      </c>
      <c r="CT69">
        <v>1.8873503999999999E-2</v>
      </c>
      <c r="CU69">
        <v>4.3728749999999997E-2</v>
      </c>
      <c r="CV69">
        <v>1.04832E-2</v>
      </c>
      <c r="CW69">
        <v>2.1700224000000001E-2</v>
      </c>
    </row>
    <row r="70" spans="1:101" x14ac:dyDescent="0.25">
      <c r="A70" s="6">
        <v>59</v>
      </c>
      <c r="B70" s="6">
        <v>2</v>
      </c>
      <c r="C70" t="s">
        <v>148</v>
      </c>
      <c r="D70" t="s">
        <v>195</v>
      </c>
      <c r="E70" t="s">
        <v>192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46400</v>
      </c>
      <c r="P70">
        <v>14754.823895031899</v>
      </c>
      <c r="Q70">
        <v>17</v>
      </c>
      <c r="R70">
        <v>8</v>
      </c>
      <c r="S70">
        <v>25</v>
      </c>
      <c r="T70">
        <v>0.153</v>
      </c>
      <c r="U70">
        <v>7.9000000000000001E-2</v>
      </c>
      <c r="V70">
        <v>0.18</v>
      </c>
      <c r="W70">
        <v>0.127</v>
      </c>
      <c r="X70">
        <v>0.16200000000000001</v>
      </c>
      <c r="Y70">
        <v>0.153</v>
      </c>
      <c r="Z70">
        <v>0.188</v>
      </c>
      <c r="AA70">
        <v>0.106</v>
      </c>
      <c r="AB70">
        <v>0.123</v>
      </c>
      <c r="AC70">
        <v>0.14299999999999999</v>
      </c>
      <c r="AD70">
        <v>0.13300000000000001</v>
      </c>
      <c r="AE70">
        <v>0.12</v>
      </c>
      <c r="AF70">
        <v>0.14099999999999999</v>
      </c>
      <c r="AG70">
        <v>0.17499999999999999</v>
      </c>
      <c r="AH70">
        <v>0.17199999999999999</v>
      </c>
      <c r="AI70">
        <v>0.1</v>
      </c>
      <c r="AJ70">
        <v>0.129</v>
      </c>
      <c r="AK70">
        <v>0.14299999999999999</v>
      </c>
      <c r="AL70">
        <v>0.155</v>
      </c>
      <c r="AM70">
        <v>0.17299999999999999</v>
      </c>
      <c r="BH70">
        <v>6.2E-2</v>
      </c>
      <c r="BI70">
        <v>5.3999999999999999E-2</v>
      </c>
      <c r="BJ70">
        <v>6.5000000000000002E-2</v>
      </c>
      <c r="BK70">
        <v>4.2999999999999997E-2</v>
      </c>
      <c r="BL70">
        <v>7.5999999999999998E-2</v>
      </c>
      <c r="BM70">
        <v>0.05</v>
      </c>
      <c r="BN70">
        <v>6.6000000000000003E-2</v>
      </c>
      <c r="BO70">
        <v>6.6000000000000003E-2</v>
      </c>
      <c r="BP70">
        <v>8.1000000000000003E-2</v>
      </c>
      <c r="BQ70">
        <v>6.4000000000000001E-2</v>
      </c>
      <c r="BR70">
        <v>6.5000000000000002E-2</v>
      </c>
      <c r="BS70">
        <v>5.8999999999999997E-2</v>
      </c>
      <c r="BT70">
        <v>8.3000000000000004E-2</v>
      </c>
      <c r="BU70">
        <v>7.4999999999999997E-2</v>
      </c>
      <c r="BV70">
        <v>4.9000000000000002E-2</v>
      </c>
      <c r="BW70">
        <v>4.5999999999999999E-2</v>
      </c>
      <c r="BX70">
        <v>4.4999999999999998E-2</v>
      </c>
      <c r="BY70">
        <v>5.8999999999999997E-2</v>
      </c>
      <c r="BZ70">
        <v>5.3999999999999999E-2</v>
      </c>
      <c r="CA70">
        <v>6.4000000000000001E-2</v>
      </c>
      <c r="CB70">
        <f t="shared" si="3"/>
        <v>1.4670451899999996E-2</v>
      </c>
      <c r="CC70">
        <f t="shared" si="2"/>
        <v>216.45993424503607</v>
      </c>
      <c r="CD70">
        <v>1.5291432000000001E-2</v>
      </c>
      <c r="CE70">
        <v>5.9894639999999999E-3</v>
      </c>
      <c r="CF70">
        <v>1.9772999999999999E-2</v>
      </c>
      <c r="CG70">
        <v>6.1053979999999997E-3</v>
      </c>
      <c r="CH70">
        <v>2.4328512E-2</v>
      </c>
      <c r="CI70">
        <v>9.9450000000000007E-3</v>
      </c>
      <c r="CJ70">
        <v>2.1292128E-2</v>
      </c>
      <c r="CK70">
        <v>1.2005136E-2</v>
      </c>
      <c r="CL70">
        <v>2.0982078000000001E-2</v>
      </c>
      <c r="CM70">
        <v>1.5228927999999999E-2</v>
      </c>
      <c r="CN70">
        <v>1.4610049999999999E-2</v>
      </c>
      <c r="CO70">
        <v>1.0860720000000001E-2</v>
      </c>
      <c r="CP70">
        <v>2.5255073999999999E-2</v>
      </c>
      <c r="CQ70">
        <v>2.5593749999999998E-2</v>
      </c>
      <c r="CR70">
        <v>1.0737272000000001E-2</v>
      </c>
      <c r="CS70">
        <v>5.5015999999999997E-3</v>
      </c>
      <c r="CT70">
        <v>6.7918500000000003E-3</v>
      </c>
      <c r="CU70">
        <v>1.2942357999999999E-2</v>
      </c>
      <c r="CV70">
        <v>1.175148E-2</v>
      </c>
      <c r="CW70">
        <v>1.8423808E-2</v>
      </c>
    </row>
    <row r="71" spans="1:101" x14ac:dyDescent="0.25">
      <c r="A71" s="6">
        <v>226</v>
      </c>
      <c r="B71" s="6">
        <v>2</v>
      </c>
      <c r="C71" t="s">
        <v>150</v>
      </c>
      <c r="D71" t="s">
        <v>195</v>
      </c>
      <c r="E71" t="s">
        <v>192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70176</v>
      </c>
      <c r="P71">
        <v>24993.247074497602</v>
      </c>
      <c r="Q71">
        <v>84</v>
      </c>
      <c r="R71">
        <v>45</v>
      </c>
      <c r="S71">
        <v>129</v>
      </c>
      <c r="T71">
        <v>0.17199999999999999</v>
      </c>
      <c r="U71">
        <v>0.161</v>
      </c>
      <c r="V71">
        <v>0.161</v>
      </c>
      <c r="W71">
        <v>0.153</v>
      </c>
      <c r="X71">
        <v>0.17</v>
      </c>
      <c r="Y71">
        <v>0.19500000000000001</v>
      </c>
      <c r="Z71">
        <v>0.14399999999999999</v>
      </c>
      <c r="AA71">
        <v>0.109</v>
      </c>
      <c r="AB71">
        <v>0.14599999999999999</v>
      </c>
      <c r="AC71">
        <v>0.16800000000000001</v>
      </c>
      <c r="AD71">
        <v>0.15</v>
      </c>
      <c r="AE71">
        <v>0.17499999999999999</v>
      </c>
      <c r="AF71">
        <v>0.17799999999999999</v>
      </c>
      <c r="AG71">
        <v>0.16200000000000001</v>
      </c>
      <c r="AH71">
        <v>0.187</v>
      </c>
      <c r="AI71">
        <v>0.185</v>
      </c>
      <c r="AJ71">
        <v>0.16200000000000001</v>
      </c>
      <c r="AK71">
        <v>0.183</v>
      </c>
      <c r="AL71">
        <v>0.13400000000000001</v>
      </c>
      <c r="AM71">
        <v>0.17</v>
      </c>
      <c r="BH71">
        <v>6.6000000000000003E-2</v>
      </c>
      <c r="BI71">
        <v>6.7000000000000004E-2</v>
      </c>
      <c r="BJ71">
        <v>7.4999999999999997E-2</v>
      </c>
      <c r="BK71">
        <v>7.2999999999999995E-2</v>
      </c>
      <c r="BL71">
        <v>8.1000000000000003E-2</v>
      </c>
      <c r="BM71">
        <v>0.05</v>
      </c>
      <c r="BN71">
        <v>5.8000000000000003E-2</v>
      </c>
      <c r="BO71">
        <v>7.3999999999999996E-2</v>
      </c>
      <c r="BP71">
        <v>7.1999999999999995E-2</v>
      </c>
      <c r="BQ71">
        <v>7.4999999999999997E-2</v>
      </c>
      <c r="BR71">
        <v>6.8000000000000005E-2</v>
      </c>
      <c r="BS71">
        <v>0.04</v>
      </c>
      <c r="BT71">
        <v>4.2999999999999997E-2</v>
      </c>
      <c r="BU71">
        <v>6.9000000000000006E-2</v>
      </c>
      <c r="BV71">
        <v>6.7000000000000004E-2</v>
      </c>
      <c r="BW71">
        <v>6.0999999999999999E-2</v>
      </c>
      <c r="BX71">
        <v>8.5000000000000006E-2</v>
      </c>
      <c r="BY71">
        <v>5.5E-2</v>
      </c>
      <c r="BZ71">
        <v>5.8999999999999997E-2</v>
      </c>
      <c r="CA71">
        <v>4.2999999999999997E-2</v>
      </c>
      <c r="CB71">
        <f t="shared" si="3"/>
        <v>1.7791277400000003E-2</v>
      </c>
      <c r="CC71">
        <f t="shared" si="2"/>
        <v>444.66179182912538</v>
      </c>
      <c r="CD71">
        <v>1.9480032000000001E-2</v>
      </c>
      <c r="CE71">
        <v>1.8790953999999999E-2</v>
      </c>
      <c r="CF71">
        <v>2.3546250000000001E-2</v>
      </c>
      <c r="CG71">
        <v>2.1198761999999999E-2</v>
      </c>
      <c r="CH71">
        <v>2.899962E-2</v>
      </c>
      <c r="CI71">
        <v>1.2675000000000001E-2</v>
      </c>
      <c r="CJ71">
        <v>1.2594816E-2</v>
      </c>
      <c r="CK71">
        <v>1.5518984E-2</v>
      </c>
      <c r="CL71">
        <v>1.9678464E-2</v>
      </c>
      <c r="CM71">
        <v>2.4570000000000002E-2</v>
      </c>
      <c r="CN71">
        <v>1.80336E-2</v>
      </c>
      <c r="CO71">
        <v>7.28E-3</v>
      </c>
      <c r="CP71">
        <v>8.557172E-3</v>
      </c>
      <c r="CQ71">
        <v>2.0053332E-2</v>
      </c>
      <c r="CR71">
        <v>2.1825517999999999E-2</v>
      </c>
      <c r="CS71">
        <v>1.7898009999999999E-2</v>
      </c>
      <c r="CT71">
        <v>3.0431699999999999E-2</v>
      </c>
      <c r="CU71">
        <v>1.439295E-2</v>
      </c>
      <c r="CV71">
        <v>1.2127804000000001E-2</v>
      </c>
      <c r="CW71">
        <v>8.1725800000000005E-3</v>
      </c>
    </row>
    <row r="72" spans="1:101" x14ac:dyDescent="0.25">
      <c r="A72" s="6">
        <v>5</v>
      </c>
      <c r="B72" s="6">
        <v>2</v>
      </c>
      <c r="C72" t="s">
        <v>151</v>
      </c>
      <c r="D72" t="s">
        <v>195</v>
      </c>
      <c r="E72" t="s">
        <v>192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36400</v>
      </c>
      <c r="P72">
        <v>14731.697211810801</v>
      </c>
      <c r="Q72">
        <v>15</v>
      </c>
      <c r="R72">
        <v>20</v>
      </c>
      <c r="S72">
        <v>35</v>
      </c>
      <c r="T72">
        <v>0.105</v>
      </c>
      <c r="U72">
        <v>0.114</v>
      </c>
      <c r="V72">
        <v>0.16600000000000001</v>
      </c>
      <c r="W72">
        <v>0.11899999999999999</v>
      </c>
      <c r="X72">
        <v>0.17699999999999999</v>
      </c>
      <c r="Y72">
        <v>0.14899999999999999</v>
      </c>
      <c r="Z72">
        <v>0.13300000000000001</v>
      </c>
      <c r="AA72">
        <v>0.161</v>
      </c>
      <c r="AB72">
        <v>0.125</v>
      </c>
      <c r="AC72">
        <v>0.11899999999999999</v>
      </c>
      <c r="AD72">
        <v>0.20300000000000001</v>
      </c>
      <c r="AE72">
        <v>0.14499999999999999</v>
      </c>
      <c r="AF72">
        <v>9.6000000000000002E-2</v>
      </c>
      <c r="AG72">
        <v>0.13700000000000001</v>
      </c>
      <c r="AH72">
        <v>0.153</v>
      </c>
      <c r="AI72">
        <v>0.14399999999999999</v>
      </c>
      <c r="AJ72">
        <v>0.14000000000000001</v>
      </c>
      <c r="AK72">
        <v>0.13800000000000001</v>
      </c>
      <c r="AL72">
        <v>0.128</v>
      </c>
      <c r="AM72">
        <v>0.13200000000000001</v>
      </c>
      <c r="BH72">
        <v>5.6000000000000001E-2</v>
      </c>
      <c r="BI72">
        <v>6.5000000000000002E-2</v>
      </c>
      <c r="BJ72">
        <v>0.09</v>
      </c>
      <c r="BK72">
        <v>7.1999999999999995E-2</v>
      </c>
      <c r="BL72">
        <v>7.3999999999999996E-2</v>
      </c>
      <c r="BM72">
        <v>7.0999999999999994E-2</v>
      </c>
      <c r="BN72">
        <v>4.9000000000000002E-2</v>
      </c>
      <c r="BO72">
        <v>8.2000000000000003E-2</v>
      </c>
      <c r="BP72">
        <v>5.6000000000000001E-2</v>
      </c>
      <c r="BQ72">
        <v>6.6000000000000003E-2</v>
      </c>
      <c r="BR72">
        <v>7.6999999999999999E-2</v>
      </c>
      <c r="BS72">
        <v>5.7000000000000002E-2</v>
      </c>
      <c r="BT72">
        <v>6.7000000000000004E-2</v>
      </c>
      <c r="BU72">
        <v>0.11799999999999999</v>
      </c>
      <c r="BV72">
        <v>6.5000000000000002E-2</v>
      </c>
      <c r="BW72">
        <v>8.8999999999999996E-2</v>
      </c>
      <c r="BX72">
        <v>7.9000000000000001E-2</v>
      </c>
      <c r="BY72">
        <v>8.1000000000000003E-2</v>
      </c>
      <c r="BZ72">
        <v>0.08</v>
      </c>
      <c r="CA72">
        <v>6.7000000000000004E-2</v>
      </c>
      <c r="CB72">
        <f t="shared" si="3"/>
        <v>2.0535095099999998E-2</v>
      </c>
      <c r="CC72">
        <f t="shared" si="2"/>
        <v>302.51680322893958</v>
      </c>
      <c r="CD72">
        <v>8.5612799999999992E-3</v>
      </c>
      <c r="CE72">
        <v>1.25229E-2</v>
      </c>
      <c r="CF72">
        <v>3.49596E-2</v>
      </c>
      <c r="CG72">
        <v>1.6039296000000001E-2</v>
      </c>
      <c r="CH72">
        <v>2.5200552000000001E-2</v>
      </c>
      <c r="CI72">
        <v>1.9528833999999998E-2</v>
      </c>
      <c r="CJ72">
        <v>8.3026579999999992E-3</v>
      </c>
      <c r="CK72">
        <v>2.8146663999999998E-2</v>
      </c>
      <c r="CL72">
        <v>1.0192E-2</v>
      </c>
      <c r="CM72">
        <v>1.3477464E-2</v>
      </c>
      <c r="CN72">
        <v>3.1293262000000002E-2</v>
      </c>
      <c r="CO72">
        <v>1.2248729999999999E-2</v>
      </c>
      <c r="CP72">
        <v>1.1204544E-2</v>
      </c>
      <c r="CQ72">
        <v>4.9597288000000003E-2</v>
      </c>
      <c r="CR72">
        <v>1.680705E-2</v>
      </c>
      <c r="CS72">
        <v>2.9656223999999998E-2</v>
      </c>
      <c r="CT72">
        <v>2.271724E-2</v>
      </c>
      <c r="CU72">
        <v>2.3540868E-2</v>
      </c>
      <c r="CV72">
        <v>2.1299200000000001E-2</v>
      </c>
      <c r="CW72">
        <v>1.5406248000000001E-2</v>
      </c>
    </row>
    <row r="73" spans="1:101" x14ac:dyDescent="0.25">
      <c r="A73" s="6">
        <v>23</v>
      </c>
      <c r="B73" s="6">
        <v>2</v>
      </c>
      <c r="C73" t="s">
        <v>152</v>
      </c>
      <c r="D73" t="s">
        <v>195</v>
      </c>
      <c r="E73" t="s">
        <v>192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46872</v>
      </c>
      <c r="P73">
        <v>24915.680593183399</v>
      </c>
      <c r="Q73">
        <v>157</v>
      </c>
      <c r="R73">
        <v>122</v>
      </c>
      <c r="S73">
        <v>279</v>
      </c>
      <c r="T73">
        <v>0.193</v>
      </c>
      <c r="U73">
        <v>0.185</v>
      </c>
      <c r="V73">
        <v>0.182</v>
      </c>
      <c r="W73">
        <v>0.151</v>
      </c>
      <c r="X73">
        <v>0.14899999999999999</v>
      </c>
      <c r="Y73">
        <v>0.17799999999999999</v>
      </c>
      <c r="Z73">
        <v>0.114</v>
      </c>
      <c r="AA73">
        <v>0.183</v>
      </c>
      <c r="AB73">
        <v>0.153</v>
      </c>
      <c r="AC73">
        <v>0.15</v>
      </c>
      <c r="AD73">
        <v>0.113</v>
      </c>
      <c r="AE73">
        <v>0.161</v>
      </c>
      <c r="AF73">
        <v>0.21099999999999999</v>
      </c>
      <c r="AG73">
        <v>0.16500000000000001</v>
      </c>
      <c r="AH73">
        <v>0.16800000000000001</v>
      </c>
      <c r="AI73">
        <v>0.14699999999999999</v>
      </c>
      <c r="AJ73">
        <v>0.16300000000000001</v>
      </c>
      <c r="AK73">
        <v>0.222</v>
      </c>
      <c r="AL73">
        <v>0.189</v>
      </c>
      <c r="AM73">
        <v>0.153</v>
      </c>
      <c r="BH73">
        <v>7.3999999999999996E-2</v>
      </c>
      <c r="BI73">
        <v>7.6999999999999999E-2</v>
      </c>
      <c r="BJ73">
        <v>7.2999999999999995E-2</v>
      </c>
      <c r="BK73">
        <v>6.4000000000000001E-2</v>
      </c>
      <c r="BL73">
        <v>6.0999999999999999E-2</v>
      </c>
      <c r="BM73">
        <v>7.2999999999999995E-2</v>
      </c>
      <c r="BN73">
        <v>5.6000000000000001E-2</v>
      </c>
      <c r="BO73">
        <v>5.8000000000000003E-2</v>
      </c>
      <c r="BP73">
        <v>6.5000000000000002E-2</v>
      </c>
      <c r="BQ73">
        <v>5.0999999999999997E-2</v>
      </c>
      <c r="BR73">
        <v>7.0000000000000007E-2</v>
      </c>
      <c r="BS73">
        <v>8.4000000000000005E-2</v>
      </c>
      <c r="BT73">
        <v>6.4000000000000001E-2</v>
      </c>
      <c r="BU73">
        <v>6.8000000000000005E-2</v>
      </c>
      <c r="BV73">
        <v>6.6000000000000003E-2</v>
      </c>
      <c r="BW73">
        <v>5.5E-2</v>
      </c>
      <c r="BX73">
        <v>6.9000000000000006E-2</v>
      </c>
      <c r="BY73">
        <v>7.2999999999999995E-2</v>
      </c>
      <c r="BZ73">
        <v>7.9000000000000001E-2</v>
      </c>
      <c r="CA73">
        <v>5.3999999999999999E-2</v>
      </c>
      <c r="CB73">
        <f t="shared" si="3"/>
        <v>1.99328766E-2</v>
      </c>
      <c r="CC73">
        <f t="shared" si="2"/>
        <v>496.6411866689395</v>
      </c>
      <c r="CD73">
        <v>2.7478567999999998E-2</v>
      </c>
      <c r="CE73">
        <v>2.8518490000000001E-2</v>
      </c>
      <c r="CF73">
        <v>2.5216828E-2</v>
      </c>
      <c r="CG73">
        <v>1.6080896000000001E-2</v>
      </c>
      <c r="CH73">
        <v>1.4415153999999999E-2</v>
      </c>
      <c r="CI73">
        <v>2.4662612E-2</v>
      </c>
      <c r="CJ73">
        <v>9.2951040000000002E-3</v>
      </c>
      <c r="CK73">
        <v>1.6005912000000001E-2</v>
      </c>
      <c r="CL73">
        <v>1.680705E-2</v>
      </c>
      <c r="CM73">
        <v>1.0143900000000001E-2</v>
      </c>
      <c r="CN73">
        <v>1.43962E-2</v>
      </c>
      <c r="CO73">
        <v>2.9536415999999999E-2</v>
      </c>
      <c r="CP73">
        <v>2.2470655999999999E-2</v>
      </c>
      <c r="CQ73">
        <v>1.9836960000000001E-2</v>
      </c>
      <c r="CR73">
        <v>1.9027008000000002E-2</v>
      </c>
      <c r="CS73">
        <v>1.156155E-2</v>
      </c>
      <c r="CT73">
        <v>2.0177118000000001E-2</v>
      </c>
      <c r="CU73">
        <v>3.0758988000000001E-2</v>
      </c>
      <c r="CV73">
        <v>3.0668273999999999E-2</v>
      </c>
      <c r="CW73">
        <v>1.1599847999999999E-2</v>
      </c>
    </row>
    <row r="74" spans="1:101" s="7" customFormat="1" x14ac:dyDescent="0.25">
      <c r="A74" s="7">
        <v>240</v>
      </c>
      <c r="B74" s="7">
        <v>1.5</v>
      </c>
      <c r="C74" s="7" t="s">
        <v>112</v>
      </c>
      <c r="D74" s="7" t="s">
        <v>196</v>
      </c>
      <c r="E74" s="7" t="s">
        <v>197</v>
      </c>
      <c r="F74" s="7">
        <v>-1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21269.25</v>
      </c>
      <c r="P74" s="7">
        <v>3232.37648446605</v>
      </c>
      <c r="Q74" s="7">
        <v>411</v>
      </c>
      <c r="R74" s="7">
        <v>-1</v>
      </c>
      <c r="S74" s="7">
        <v>411</v>
      </c>
      <c r="T74" s="7">
        <v>0.13300000000000001</v>
      </c>
      <c r="U74" s="7">
        <v>0.11899999999999999</v>
      </c>
      <c r="V74" s="7">
        <v>0.14599999999999999</v>
      </c>
      <c r="W74" s="7">
        <v>0.13100000000000001</v>
      </c>
      <c r="X74" s="7">
        <v>0.15</v>
      </c>
      <c r="Y74" s="7">
        <v>0.45300000000000001</v>
      </c>
      <c r="Z74" s="7">
        <v>0.13400000000000001</v>
      </c>
      <c r="AA74" s="7">
        <v>0.16</v>
      </c>
      <c r="AB74" s="7">
        <v>0.13400000000000001</v>
      </c>
      <c r="AC74" s="7">
        <v>0.18099999999999999</v>
      </c>
      <c r="AD74" s="7">
        <v>0.108</v>
      </c>
      <c r="AE74" s="7">
        <v>0.128</v>
      </c>
      <c r="AF74" s="7">
        <v>0.20399999999999999</v>
      </c>
      <c r="AG74" s="7">
        <v>0.13600000000000001</v>
      </c>
      <c r="AH74" s="7">
        <v>0.16400000000000001</v>
      </c>
      <c r="AI74" s="7">
        <v>0.13700000000000001</v>
      </c>
      <c r="AJ74" s="7">
        <v>0.13800000000000001</v>
      </c>
      <c r="AK74" s="7">
        <v>0.20300000000000001</v>
      </c>
      <c r="AL74" s="7">
        <v>0.13400000000000001</v>
      </c>
      <c r="AM74" s="7">
        <v>0.127</v>
      </c>
      <c r="CB74">
        <f t="shared" si="3"/>
        <v>0.1218697128000176</v>
      </c>
      <c r="CC74">
        <f t="shared" si="2"/>
        <v>393.92879382340806</v>
      </c>
      <c r="CD74" s="7">
        <f t="shared" ref="CD74:CD95" si="4">IF(T74&gt;0,EXP(1.953)*(T74^2.4),"")</f>
        <v>5.564434844158727E-2</v>
      </c>
      <c r="CE74" s="7">
        <f t="shared" ref="CE74:CE95" si="5">IF(U74&gt;0,EXP(1.953)*(U74^2.4),"")</f>
        <v>4.2607870634685928E-2</v>
      </c>
      <c r="CF74" s="7">
        <f t="shared" ref="CF74:CF95" si="6">IF(V74&gt;0,EXP(1.953)*(V74^2.4),"")</f>
        <v>6.9602361859324738E-2</v>
      </c>
      <c r="CG74" s="7">
        <f t="shared" ref="CG74:CG95" si="7">IF(W74&gt;0,EXP(1.953)*(W74^2.4),"")</f>
        <v>5.3657228001919549E-2</v>
      </c>
      <c r="CH74" s="7">
        <f t="shared" ref="CH74:CH95" si="8">IF(X74&gt;0,EXP(1.953)*(X74^2.4),"")</f>
        <v>7.4267045120984129E-2</v>
      </c>
      <c r="CI74" s="7">
        <f t="shared" ref="CI74:CI95" si="9">IF(Y74&gt;0,EXP(1.953)*(Y74^2.4),"")</f>
        <v>1.0539325266428587</v>
      </c>
      <c r="CJ74" s="7">
        <f t="shared" ref="CJ74:CJ95" si="10">IF(Z74&gt;0,EXP(1.953)*(Z74^2.4),"")</f>
        <v>5.6653747058766961E-2</v>
      </c>
      <c r="CK74" s="7">
        <f t="shared" ref="CK74:CK95" si="11">IF(AA74&gt;0,EXP(1.953)*(AA74^2.4),"")</f>
        <v>8.6709180472729408E-2</v>
      </c>
      <c r="CL74" s="7">
        <f t="shared" ref="CL74:CL95" si="12">IF(AB74&gt;0,EXP(1.953)*(AB74^2.4),"")</f>
        <v>5.6653747058766961E-2</v>
      </c>
      <c r="CM74" s="7">
        <f t="shared" ref="CM74:CM95" si="13">IF(AC74&gt;0,EXP(1.953)*(AC74^2.4),"")</f>
        <v>0.11657507481419918</v>
      </c>
      <c r="CN74" s="7">
        <f t="shared" ref="CN74:CN95" si="14">IF(AD74&gt;0,EXP(1.953)*(AD74^2.4),"")</f>
        <v>3.3759354676859761E-2</v>
      </c>
      <c r="CO74" s="7">
        <f t="shared" ref="CO74:CO95" si="15">IF(AE74&gt;0,EXP(1.953)*(AE74^2.4),"")</f>
        <v>5.0755259236681539E-2</v>
      </c>
      <c r="CP74" s="7">
        <f t="shared" ref="CP74:CP95" si="16">IF(AF74&gt;0,EXP(1.953)*(AF74^2.4),"")</f>
        <v>0.15534222629595956</v>
      </c>
      <c r="CQ74" s="7">
        <f t="shared" ref="CQ74:CQ95" si="17">IF(AG74&gt;0,EXP(1.953)*(AG74^2.4),"")</f>
        <v>5.8704379673962324E-2</v>
      </c>
      <c r="CR74" s="7">
        <f t="shared" ref="CR74:CR95" si="18">IF(AH74&gt;0,EXP(1.953)*(AH74^2.4),"")</f>
        <v>9.2003078293670396E-2</v>
      </c>
      <c r="CS74" s="7">
        <f t="shared" ref="CS74:CS95" si="19">IF(AI74&gt;0,EXP(1.953)*(AI74^2.4),"")</f>
        <v>5.9745676682321308E-2</v>
      </c>
      <c r="CT74" s="7">
        <f t="shared" ref="CT74:CT95" si="20">IF(AJ74&gt;0,EXP(1.953)*(AJ74^2.4),"")</f>
        <v>6.0797669266349663E-2</v>
      </c>
      <c r="CU74" s="7">
        <f t="shared" ref="CU74:CU95" si="21">IF(AK74&gt;0,EXP(1.953)*(AK74^2.4),"")</f>
        <v>0.15352093761488028</v>
      </c>
      <c r="CV74" s="7">
        <f t="shared" ref="CV74:CV95" si="22">IF(AL74&gt;0,EXP(1.953)*(AL74^2.4),"")</f>
        <v>5.6653747058766961E-2</v>
      </c>
      <c r="CW74" s="7">
        <f t="shared" ref="CW74:CW95" si="23">IF(AM74&gt;0,EXP(1.953)*(AM74^2.4),"")</f>
        <v>4.9808797095077323E-2</v>
      </c>
    </row>
    <row r="75" spans="1:101" s="7" customFormat="1" x14ac:dyDescent="0.25">
      <c r="A75" s="7">
        <v>318</v>
      </c>
      <c r="B75" s="7">
        <v>1.5</v>
      </c>
      <c r="C75" s="7" t="s">
        <v>115</v>
      </c>
      <c r="D75" s="7" t="s">
        <v>196</v>
      </c>
      <c r="E75" s="7" t="s">
        <v>197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1318</v>
      </c>
      <c r="P75" s="7">
        <v>222.97764017550301</v>
      </c>
      <c r="Q75" s="7">
        <v>1318</v>
      </c>
      <c r="R75" s="7">
        <v>-1</v>
      </c>
      <c r="S75" s="7">
        <v>1318</v>
      </c>
      <c r="T75" s="7">
        <v>0.14899999999999999</v>
      </c>
      <c r="U75" s="7">
        <v>0.17699999999999999</v>
      </c>
      <c r="V75" s="7">
        <v>0.184</v>
      </c>
      <c r="W75" s="7">
        <v>0.14299999999999999</v>
      </c>
      <c r="X75" s="7">
        <v>0.192</v>
      </c>
      <c r="Y75" s="7">
        <v>0.17100000000000001</v>
      </c>
      <c r="Z75" s="7">
        <v>0.14000000000000001</v>
      </c>
      <c r="AA75" s="7">
        <v>0.13800000000000001</v>
      </c>
      <c r="AB75" s="7">
        <v>0.192</v>
      </c>
      <c r="AC75" s="7">
        <v>0.14299999999999999</v>
      </c>
      <c r="AD75" s="7">
        <v>0.185</v>
      </c>
      <c r="AE75" s="7">
        <v>0.19400000000000001</v>
      </c>
      <c r="AF75" s="7">
        <v>0.14099999999999999</v>
      </c>
      <c r="AG75" s="7">
        <v>0.123</v>
      </c>
      <c r="AH75" s="7">
        <v>0.151</v>
      </c>
      <c r="AI75" s="7">
        <v>0.14199999999999999</v>
      </c>
      <c r="AJ75" s="7">
        <v>0.14599999999999999</v>
      </c>
      <c r="AK75" s="7">
        <v>0.189</v>
      </c>
      <c r="AL75" s="7">
        <v>0.105</v>
      </c>
      <c r="AM75" s="7">
        <v>0.122</v>
      </c>
      <c r="CB75">
        <f t="shared" si="3"/>
        <v>8.591539844120509E-2</v>
      </c>
      <c r="CC75">
        <f t="shared" si="2"/>
        <v>19.157212799158</v>
      </c>
      <c r="CD75" s="7">
        <f t="shared" si="4"/>
        <v>7.3084312737679707E-2</v>
      </c>
      <c r="CE75" s="7">
        <f t="shared" si="5"/>
        <v>0.11048745306659181</v>
      </c>
      <c r="CF75" s="7">
        <f t="shared" si="6"/>
        <v>0.1212662362035863</v>
      </c>
      <c r="CG75" s="7">
        <f t="shared" si="7"/>
        <v>6.6219151722577044E-2</v>
      </c>
      <c r="CH75" s="7">
        <f t="shared" si="8"/>
        <v>0.13430744025989136</v>
      </c>
      <c r="CI75" s="7">
        <f t="shared" si="9"/>
        <v>0.10171096812044977</v>
      </c>
      <c r="CJ75" s="7">
        <f t="shared" si="10"/>
        <v>6.2933865666250186E-2</v>
      </c>
      <c r="CK75" s="7">
        <f t="shared" si="11"/>
        <v>6.0797669266349663E-2</v>
      </c>
      <c r="CL75" s="7">
        <f t="shared" si="12"/>
        <v>0.13430744025989136</v>
      </c>
      <c r="CM75" s="7">
        <f t="shared" si="13"/>
        <v>6.6219151722577044E-2</v>
      </c>
      <c r="CN75" s="7">
        <f t="shared" si="14"/>
        <v>0.12285399154068005</v>
      </c>
      <c r="CO75" s="7">
        <f t="shared" si="15"/>
        <v>0.13768964334490719</v>
      </c>
      <c r="CP75" s="7">
        <f t="shared" si="16"/>
        <v>6.4018131398123818E-2</v>
      </c>
      <c r="CQ75" s="7">
        <f t="shared" si="17"/>
        <v>4.6126381923769305E-2</v>
      </c>
      <c r="CR75" s="7">
        <f t="shared" si="18"/>
        <v>7.5460868039834816E-2</v>
      </c>
      <c r="CS75" s="7">
        <f t="shared" si="19"/>
        <v>6.5113216540746796E-2</v>
      </c>
      <c r="CT75" s="7">
        <f t="shared" si="20"/>
        <v>6.9602361859324738E-2</v>
      </c>
      <c r="CU75" s="7">
        <f t="shared" si="21"/>
        <v>0.12932588325119743</v>
      </c>
      <c r="CV75" s="7">
        <f t="shared" si="22"/>
        <v>3.1552330394801202E-2</v>
      </c>
      <c r="CW75" s="7">
        <f t="shared" si="23"/>
        <v>4.5231471504872452E-2</v>
      </c>
    </row>
    <row r="76" spans="1:101" s="7" customFormat="1" x14ac:dyDescent="0.25">
      <c r="A76" s="7">
        <v>306</v>
      </c>
      <c r="B76" s="7">
        <v>1.5</v>
      </c>
      <c r="C76" s="7" t="s">
        <v>117</v>
      </c>
      <c r="D76" s="7" t="s">
        <v>196</v>
      </c>
      <c r="E76" s="7" t="s">
        <v>197</v>
      </c>
      <c r="F76" s="7">
        <v>-1</v>
      </c>
      <c r="G76" s="7">
        <v>-1</v>
      </c>
      <c r="H76" s="7">
        <v>-1</v>
      </c>
      <c r="I76" s="7">
        <v>-1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603</v>
      </c>
      <c r="P76" s="7">
        <v>131.87280066562201</v>
      </c>
      <c r="Q76" s="7">
        <v>603</v>
      </c>
      <c r="R76" s="7">
        <v>-1</v>
      </c>
      <c r="S76" s="7">
        <v>603</v>
      </c>
      <c r="T76" s="7">
        <v>0.14599999999999999</v>
      </c>
      <c r="U76" s="7">
        <v>0.18099999999999999</v>
      </c>
      <c r="V76" s="7">
        <v>9.1999999999999998E-2</v>
      </c>
      <c r="W76" s="7">
        <v>0.14099999999999999</v>
      </c>
      <c r="X76" s="7">
        <v>0.156</v>
      </c>
      <c r="Y76" s="7">
        <v>0.121</v>
      </c>
      <c r="Z76" s="7">
        <v>0.108</v>
      </c>
      <c r="AA76" s="7">
        <v>0.186</v>
      </c>
      <c r="AB76" s="7">
        <v>0.19700000000000001</v>
      </c>
      <c r="AC76" s="7">
        <v>0.187</v>
      </c>
      <c r="AD76" s="7">
        <v>0.19</v>
      </c>
      <c r="AE76" s="7">
        <v>0.185</v>
      </c>
      <c r="AF76" s="7">
        <v>0.155</v>
      </c>
      <c r="AG76" s="7">
        <v>0.18</v>
      </c>
      <c r="AH76" s="7">
        <v>0.18</v>
      </c>
      <c r="AI76" s="7">
        <v>0.13600000000000001</v>
      </c>
      <c r="AJ76" s="7">
        <v>0.182</v>
      </c>
      <c r="AK76" s="7">
        <v>0.129</v>
      </c>
      <c r="AL76" s="7">
        <v>0.184</v>
      </c>
      <c r="AM76" s="7">
        <v>0.18099999999999999</v>
      </c>
      <c r="CB76">
        <f t="shared" si="3"/>
        <v>9.2844025983861336E-2</v>
      </c>
      <c r="CC76">
        <f t="shared" si="2"/>
        <v>12.243601731563576</v>
      </c>
      <c r="CD76" s="7">
        <f t="shared" si="4"/>
        <v>6.9602361859324738E-2</v>
      </c>
      <c r="CE76" s="7">
        <f t="shared" si="5"/>
        <v>0.11657507481419918</v>
      </c>
      <c r="CF76" s="7">
        <f t="shared" si="6"/>
        <v>2.2975655396517344E-2</v>
      </c>
      <c r="CG76" s="7">
        <f t="shared" si="7"/>
        <v>6.4018131398123818E-2</v>
      </c>
      <c r="CH76" s="7">
        <f t="shared" si="8"/>
        <v>8.159736965446801E-2</v>
      </c>
      <c r="CI76" s="7">
        <f t="shared" si="9"/>
        <v>4.4346771885494372E-2</v>
      </c>
      <c r="CJ76" s="7">
        <f t="shared" si="10"/>
        <v>3.3759354676859761E-2</v>
      </c>
      <c r="CK76" s="7">
        <f t="shared" si="11"/>
        <v>0.12445380792000475</v>
      </c>
      <c r="CL76" s="7">
        <f t="shared" si="12"/>
        <v>0.14285520408020716</v>
      </c>
      <c r="CM76" s="7">
        <f t="shared" si="13"/>
        <v>0.1260657113773983</v>
      </c>
      <c r="CN76" s="7">
        <f t="shared" si="14"/>
        <v>0.13097420332287191</v>
      </c>
      <c r="CO76" s="7">
        <f t="shared" si="15"/>
        <v>0.12285399154068005</v>
      </c>
      <c r="CP76" s="7">
        <f t="shared" si="16"/>
        <v>8.0347653641320488E-2</v>
      </c>
      <c r="CQ76" s="7">
        <f t="shared" si="17"/>
        <v>0.11503530158496081</v>
      </c>
      <c r="CR76" s="7">
        <f t="shared" si="18"/>
        <v>0.11503530158496081</v>
      </c>
      <c r="CS76" s="7">
        <f t="shared" si="19"/>
        <v>5.8704379673962324E-2</v>
      </c>
      <c r="CT76" s="7">
        <f t="shared" si="20"/>
        <v>0.1181268040891094</v>
      </c>
      <c r="CU76" s="7">
        <f t="shared" si="21"/>
        <v>5.1712130158977757E-2</v>
      </c>
      <c r="CV76" s="7">
        <f t="shared" si="22"/>
        <v>0.1212662362035863</v>
      </c>
      <c r="CW76" s="7">
        <f t="shared" si="23"/>
        <v>0.11657507481419918</v>
      </c>
    </row>
    <row r="77" spans="1:101" s="7" customFormat="1" x14ac:dyDescent="0.25">
      <c r="A77" s="7">
        <v>331</v>
      </c>
      <c r="B77" s="7">
        <v>1.5</v>
      </c>
      <c r="C77" s="7" t="s">
        <v>119</v>
      </c>
      <c r="D77" s="7" t="s">
        <v>196</v>
      </c>
      <c r="E77" s="7" t="s">
        <v>197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17625</v>
      </c>
      <c r="P77" s="7">
        <v>9434.8736497606806</v>
      </c>
      <c r="Q77" s="7">
        <v>564</v>
      </c>
      <c r="R77" s="7">
        <v>-1</v>
      </c>
      <c r="S77" s="7">
        <v>564</v>
      </c>
      <c r="T77" s="7">
        <v>0.106</v>
      </c>
      <c r="U77" s="7">
        <v>0.153</v>
      </c>
      <c r="V77" s="7">
        <v>0.12</v>
      </c>
      <c r="W77" s="7">
        <v>0.114</v>
      </c>
      <c r="X77" s="7">
        <v>0.11</v>
      </c>
      <c r="Y77" s="7">
        <v>0.113</v>
      </c>
      <c r="Z77" s="7">
        <v>0.10199999999999999</v>
      </c>
      <c r="AA77" s="7">
        <v>0.13</v>
      </c>
      <c r="AB77" s="7">
        <v>0.14099999999999999</v>
      </c>
      <c r="AC77" s="7">
        <v>0.152</v>
      </c>
      <c r="AD77" s="7">
        <v>0.122</v>
      </c>
      <c r="AE77" s="7">
        <v>0.112</v>
      </c>
      <c r="AF77" s="7">
        <v>0.112</v>
      </c>
      <c r="AG77" s="7">
        <v>0.185</v>
      </c>
      <c r="AH77" s="7">
        <v>0.11</v>
      </c>
      <c r="AI77" s="7">
        <v>0.14299999999999999</v>
      </c>
      <c r="AJ77" s="7">
        <v>0.123</v>
      </c>
      <c r="AK77" s="7">
        <v>0.113</v>
      </c>
      <c r="AL77" s="7">
        <v>0.13100000000000001</v>
      </c>
      <c r="AM77" s="7">
        <v>0.215</v>
      </c>
      <c r="CB77">
        <f t="shared" si="3"/>
        <v>5.7233155235208645E-2</v>
      </c>
      <c r="CC77">
        <f t="shared" si="2"/>
        <v>539.98758822133254</v>
      </c>
      <c r="CD77" s="7">
        <f t="shared" si="4"/>
        <v>3.2278340588934862E-2</v>
      </c>
      <c r="CE77" s="7">
        <f t="shared" si="5"/>
        <v>7.7881903430931224E-2</v>
      </c>
      <c r="CF77" s="7">
        <f t="shared" si="6"/>
        <v>4.3472249504692119E-2</v>
      </c>
      <c r="CG77" s="7">
        <f t="shared" si="7"/>
        <v>3.84369365105749E-2</v>
      </c>
      <c r="CH77" s="7">
        <f t="shared" si="8"/>
        <v>3.5279268165910829E-2</v>
      </c>
      <c r="CI77" s="7">
        <f t="shared" si="9"/>
        <v>3.7632700791829184E-2</v>
      </c>
      <c r="CJ77" s="7">
        <f t="shared" si="10"/>
        <v>2.9431848234424133E-2</v>
      </c>
      <c r="CK77" s="7">
        <f t="shared" si="11"/>
        <v>5.2679442313682365E-2</v>
      </c>
      <c r="CL77" s="7">
        <f t="shared" si="12"/>
        <v>6.4018131398123818E-2</v>
      </c>
      <c r="CM77" s="7">
        <f t="shared" si="13"/>
        <v>7.666581101018384E-2</v>
      </c>
      <c r="CN77" s="7">
        <f t="shared" si="14"/>
        <v>4.5231471504872452E-2</v>
      </c>
      <c r="CO77" s="7">
        <f t="shared" si="15"/>
        <v>3.6838367624309649E-2</v>
      </c>
      <c r="CP77" s="7">
        <f t="shared" si="16"/>
        <v>3.6838367624309649E-2</v>
      </c>
      <c r="CQ77" s="7">
        <f t="shared" si="17"/>
        <v>0.12285399154068005</v>
      </c>
      <c r="CR77" s="7">
        <f t="shared" si="18"/>
        <v>3.5279268165910829E-2</v>
      </c>
      <c r="CS77" s="7">
        <f t="shared" si="19"/>
        <v>6.6219151722577044E-2</v>
      </c>
      <c r="CT77" s="7">
        <f t="shared" si="20"/>
        <v>4.6126381923769305E-2</v>
      </c>
      <c r="CU77" s="7">
        <f t="shared" si="21"/>
        <v>3.7632700791829184E-2</v>
      </c>
      <c r="CV77" s="7">
        <f t="shared" si="22"/>
        <v>5.3657228001919549E-2</v>
      </c>
      <c r="CW77" s="7">
        <f t="shared" si="23"/>
        <v>0.17620954385470775</v>
      </c>
    </row>
    <row r="78" spans="1:101" s="7" customFormat="1" x14ac:dyDescent="0.25">
      <c r="A78" s="7">
        <v>349</v>
      </c>
      <c r="B78" s="7">
        <v>1.5</v>
      </c>
      <c r="C78" s="7" t="s">
        <v>121</v>
      </c>
      <c r="D78" s="7" t="s">
        <v>196</v>
      </c>
      <c r="E78" s="7" t="s">
        <v>197</v>
      </c>
      <c r="F78" s="7">
        <v>-1</v>
      </c>
      <c r="G78" s="7">
        <v>-1</v>
      </c>
      <c r="H78" s="7">
        <v>-1</v>
      </c>
      <c r="I78" s="7">
        <v>-1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770</v>
      </c>
      <c r="P78" s="7">
        <v>89.956824282792198</v>
      </c>
      <c r="Q78" s="7">
        <v>56</v>
      </c>
      <c r="R78" s="7">
        <v>-1</v>
      </c>
      <c r="S78" s="7">
        <v>56</v>
      </c>
      <c r="T78" s="7">
        <v>9.8000000000000004E-2</v>
      </c>
      <c r="U78" s="7">
        <v>0.13100000000000001</v>
      </c>
      <c r="V78" s="7">
        <v>0.109</v>
      </c>
      <c r="W78" s="7">
        <v>0.20200000000000001</v>
      </c>
      <c r="X78" s="7">
        <v>0.218</v>
      </c>
      <c r="Y78" s="7">
        <v>0.188</v>
      </c>
      <c r="Z78" s="7">
        <v>0.13</v>
      </c>
      <c r="AA78" s="7">
        <v>0.14299999999999999</v>
      </c>
      <c r="AB78" s="7">
        <v>0.17499999999999999</v>
      </c>
      <c r="AC78" s="7">
        <v>0.14000000000000001</v>
      </c>
      <c r="AD78" s="7">
        <v>0.13300000000000001</v>
      </c>
      <c r="AE78" s="7">
        <v>0.155</v>
      </c>
      <c r="AF78" s="7">
        <v>0.151</v>
      </c>
      <c r="AG78" s="7">
        <v>0.13600000000000001</v>
      </c>
      <c r="AH78" s="7">
        <v>0.23300000000000001</v>
      </c>
      <c r="AI78" s="7">
        <v>0.14599999999999999</v>
      </c>
      <c r="AJ78" s="7">
        <v>0.111</v>
      </c>
      <c r="AK78" s="7">
        <v>0.106</v>
      </c>
      <c r="AL78" s="7">
        <v>0.21</v>
      </c>
      <c r="AM78" s="7">
        <v>0.13600000000000001</v>
      </c>
      <c r="CB78">
        <f t="shared" si="3"/>
        <v>8.5643508835357804E-2</v>
      </c>
      <c r="CC78">
        <f t="shared" si="2"/>
        <v>7.704218075264043</v>
      </c>
      <c r="CD78" s="7">
        <f t="shared" si="4"/>
        <v>2.6737432723878494E-2</v>
      </c>
      <c r="CE78" s="7">
        <f t="shared" si="5"/>
        <v>5.3657228001919549E-2</v>
      </c>
      <c r="CF78" s="7">
        <f t="shared" si="6"/>
        <v>3.4514431011782545E-2</v>
      </c>
      <c r="CG78" s="7">
        <f t="shared" si="7"/>
        <v>0.15171216634747359</v>
      </c>
      <c r="CH78" s="7">
        <f t="shared" si="8"/>
        <v>0.18216825902348954</v>
      </c>
      <c r="CI78" s="7">
        <f t="shared" si="9"/>
        <v>0.12768972786484611</v>
      </c>
      <c r="CJ78" s="7">
        <f t="shared" si="10"/>
        <v>5.2679442313682365E-2</v>
      </c>
      <c r="CK78" s="7">
        <f t="shared" si="11"/>
        <v>6.6219151722577044E-2</v>
      </c>
      <c r="CL78" s="7">
        <f t="shared" si="12"/>
        <v>0.10751484669706084</v>
      </c>
      <c r="CM78" s="7">
        <f t="shared" si="13"/>
        <v>6.2933865666250186E-2</v>
      </c>
      <c r="CN78" s="7">
        <f t="shared" si="14"/>
        <v>5.564434844158727E-2</v>
      </c>
      <c r="CO78" s="7">
        <f t="shared" si="15"/>
        <v>8.0347653641320488E-2</v>
      </c>
      <c r="CP78" s="7">
        <f t="shared" si="16"/>
        <v>7.5460868039834816E-2</v>
      </c>
      <c r="CQ78" s="7">
        <f t="shared" si="17"/>
        <v>5.8704379673962324E-2</v>
      </c>
      <c r="CR78" s="7">
        <f t="shared" si="18"/>
        <v>0.21371319331727137</v>
      </c>
      <c r="CS78" s="7">
        <f t="shared" si="19"/>
        <v>6.9602361859324738E-2</v>
      </c>
      <c r="CT78" s="7">
        <f t="shared" si="20"/>
        <v>3.6053901860956812E-2</v>
      </c>
      <c r="CU78" s="7">
        <f t="shared" si="21"/>
        <v>3.2278340588934862E-2</v>
      </c>
      <c r="CV78" s="7">
        <f t="shared" si="22"/>
        <v>0.16653419823704091</v>
      </c>
      <c r="CW78" s="7">
        <f t="shared" si="23"/>
        <v>5.8704379673962324E-2</v>
      </c>
    </row>
    <row r="79" spans="1:101" s="7" customFormat="1" x14ac:dyDescent="0.25">
      <c r="A79" s="7">
        <v>276</v>
      </c>
      <c r="B79" s="7">
        <v>1.5</v>
      </c>
      <c r="C79" s="7" t="s">
        <v>123</v>
      </c>
      <c r="D79" s="7" t="s">
        <v>196</v>
      </c>
      <c r="E79" s="7" t="s">
        <v>197</v>
      </c>
      <c r="F79" s="7">
        <v>-1</v>
      </c>
      <c r="G79" s="7">
        <v>-1</v>
      </c>
      <c r="H79" s="7">
        <v>-1</v>
      </c>
      <c r="I79" s="7">
        <v>-1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231</v>
      </c>
      <c r="P79" s="7">
        <v>66.280188131561303</v>
      </c>
      <c r="Q79" s="7">
        <v>231</v>
      </c>
      <c r="R79" s="7">
        <v>-1</v>
      </c>
      <c r="S79" s="7">
        <v>231</v>
      </c>
      <c r="T79" s="7">
        <v>0.184</v>
      </c>
      <c r="U79" s="7">
        <v>0.182</v>
      </c>
      <c r="V79" s="7">
        <v>0.125</v>
      </c>
      <c r="W79" s="7">
        <v>0.19</v>
      </c>
      <c r="X79" s="7">
        <v>0.14399999999999999</v>
      </c>
      <c r="Y79" s="7">
        <v>0.161</v>
      </c>
      <c r="Z79" s="7">
        <v>0.13600000000000001</v>
      </c>
      <c r="AA79" s="7">
        <v>0.125</v>
      </c>
      <c r="AB79" s="7">
        <v>0.128</v>
      </c>
      <c r="AC79" s="7">
        <v>0.153</v>
      </c>
      <c r="AD79" s="7">
        <v>0.17899999999999999</v>
      </c>
      <c r="AE79" s="7">
        <v>0.129</v>
      </c>
      <c r="AF79" s="7">
        <v>0.14299999999999999</v>
      </c>
      <c r="AG79" s="7">
        <v>0.13</v>
      </c>
      <c r="AH79" s="7">
        <v>0.14899999999999999</v>
      </c>
      <c r="AI79" s="7">
        <v>0.151</v>
      </c>
      <c r="AJ79" s="7">
        <v>0.111</v>
      </c>
      <c r="AK79" s="7">
        <v>0.153</v>
      </c>
      <c r="AL79" s="7">
        <v>0.14799999999999999</v>
      </c>
      <c r="AM79" s="7">
        <v>0.13300000000000001</v>
      </c>
      <c r="CB79">
        <f t="shared" si="3"/>
        <v>7.4155518083496533E-2</v>
      </c>
      <c r="CC79">
        <f t="shared" si="2"/>
        <v>4.9150416895675466</v>
      </c>
      <c r="CD79" s="7">
        <f t="shared" si="4"/>
        <v>0.1212662362035863</v>
      </c>
      <c r="CE79" s="7">
        <f t="shared" si="5"/>
        <v>0.1181268040891094</v>
      </c>
      <c r="CF79" s="7">
        <f t="shared" si="6"/>
        <v>4.7946968582758688E-2</v>
      </c>
      <c r="CG79" s="7">
        <f t="shared" si="7"/>
        <v>0.13097420332287191</v>
      </c>
      <c r="CH79" s="7">
        <f t="shared" si="8"/>
        <v>6.7335967442926234E-2</v>
      </c>
      <c r="CI79" s="7">
        <f t="shared" si="9"/>
        <v>8.8015513207260532E-2</v>
      </c>
      <c r="CJ79" s="7">
        <f t="shared" si="10"/>
        <v>5.8704379673962324E-2</v>
      </c>
      <c r="CK79" s="7">
        <f t="shared" si="11"/>
        <v>4.7946968582758688E-2</v>
      </c>
      <c r="CL79" s="7">
        <f t="shared" si="12"/>
        <v>5.0755259236681539E-2</v>
      </c>
      <c r="CM79" s="7">
        <f t="shared" si="13"/>
        <v>7.7881903430931224E-2</v>
      </c>
      <c r="CN79" s="7">
        <f t="shared" si="14"/>
        <v>0.11350745793518947</v>
      </c>
      <c r="CO79" s="7">
        <f t="shared" si="15"/>
        <v>5.1712130158977757E-2</v>
      </c>
      <c r="CP79" s="7">
        <f t="shared" si="16"/>
        <v>6.6219151722577044E-2</v>
      </c>
      <c r="CQ79" s="7">
        <f t="shared" si="17"/>
        <v>5.2679442313682365E-2</v>
      </c>
      <c r="CR79" s="7">
        <f t="shared" si="18"/>
        <v>7.3084312737679707E-2</v>
      </c>
      <c r="CS79" s="7">
        <f t="shared" si="19"/>
        <v>7.5460868039834816E-2</v>
      </c>
      <c r="CT79" s="7">
        <f t="shared" si="20"/>
        <v>3.6053901860956812E-2</v>
      </c>
      <c r="CU79" s="7">
        <f t="shared" si="21"/>
        <v>7.7881903430931224E-2</v>
      </c>
      <c r="CV79" s="7">
        <f t="shared" si="22"/>
        <v>7.1912641255667167E-2</v>
      </c>
      <c r="CW79" s="7">
        <f t="shared" si="23"/>
        <v>5.564434844158727E-2</v>
      </c>
    </row>
    <row r="80" spans="1:101" s="7" customFormat="1" x14ac:dyDescent="0.25">
      <c r="A80" s="7">
        <v>266</v>
      </c>
      <c r="B80" s="7">
        <v>1.5</v>
      </c>
      <c r="C80" s="7" t="s">
        <v>125</v>
      </c>
      <c r="D80" s="7" t="s">
        <v>196</v>
      </c>
      <c r="E80" s="7" t="s">
        <v>197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474</v>
      </c>
      <c r="P80" s="7">
        <v>57.824618588141</v>
      </c>
      <c r="Q80" s="7">
        <v>79</v>
      </c>
      <c r="R80" s="7">
        <v>-1</v>
      </c>
      <c r="S80" s="7">
        <v>79</v>
      </c>
      <c r="T80" s="7">
        <v>0.19800000000000001</v>
      </c>
      <c r="U80" s="7">
        <v>0.16800000000000001</v>
      </c>
      <c r="V80" s="7">
        <v>0.19800000000000001</v>
      </c>
      <c r="W80" s="7">
        <v>0.151</v>
      </c>
      <c r="X80" s="7">
        <v>0.14299999999999999</v>
      </c>
      <c r="Y80" s="7">
        <v>0.13800000000000001</v>
      </c>
      <c r="Z80" s="7">
        <v>0.14000000000000001</v>
      </c>
      <c r="AA80" s="7">
        <v>0.17399999999999999</v>
      </c>
      <c r="AB80" s="7">
        <v>0.16200000000000001</v>
      </c>
      <c r="AC80" s="7">
        <v>0.114</v>
      </c>
      <c r="AD80" s="7">
        <v>0.14299999999999999</v>
      </c>
      <c r="AE80" s="7">
        <v>0.16800000000000001</v>
      </c>
      <c r="AF80" s="7">
        <v>0.14799999999999999</v>
      </c>
      <c r="AG80" s="7">
        <v>0.14899999999999999</v>
      </c>
      <c r="AH80" s="7">
        <v>0.13100000000000001</v>
      </c>
      <c r="AI80" s="7">
        <v>0.13300000000000001</v>
      </c>
      <c r="AJ80" s="7">
        <v>0.14000000000000001</v>
      </c>
      <c r="AK80" s="7">
        <v>0.14799999999999999</v>
      </c>
      <c r="AL80" s="7">
        <v>0.188</v>
      </c>
      <c r="AM80" s="7">
        <v>0.109</v>
      </c>
      <c r="CB80">
        <f t="shared" si="3"/>
        <v>8.0048080335310315E-2</v>
      </c>
      <c r="CC80">
        <f t="shared" si="2"/>
        <v>4.6287497141021889</v>
      </c>
      <c r="CD80" s="7">
        <f t="shared" si="4"/>
        <v>0.14460176027961549</v>
      </c>
      <c r="CE80" s="7">
        <f t="shared" si="5"/>
        <v>9.7480870620755999E-2</v>
      </c>
      <c r="CF80" s="7">
        <f t="shared" si="6"/>
        <v>0.14460176027961549</v>
      </c>
      <c r="CG80" s="7">
        <f t="shared" si="7"/>
        <v>7.5460868039834816E-2</v>
      </c>
      <c r="CH80" s="7">
        <f t="shared" si="8"/>
        <v>6.6219151722577044E-2</v>
      </c>
      <c r="CI80" s="7">
        <f t="shared" si="9"/>
        <v>6.0797669266349663E-2</v>
      </c>
      <c r="CJ80" s="7">
        <f t="shared" si="10"/>
        <v>6.2933865666250186E-2</v>
      </c>
      <c r="CK80" s="7">
        <f t="shared" si="11"/>
        <v>0.10604625083069369</v>
      </c>
      <c r="CL80" s="7">
        <f t="shared" si="12"/>
        <v>8.9333254911206222E-2</v>
      </c>
      <c r="CM80" s="7">
        <f t="shared" si="13"/>
        <v>3.84369365105749E-2</v>
      </c>
      <c r="CN80" s="7">
        <f t="shared" si="14"/>
        <v>6.6219151722577044E-2</v>
      </c>
      <c r="CO80" s="7">
        <f t="shared" si="15"/>
        <v>9.7480870620755999E-2</v>
      </c>
      <c r="CP80" s="7">
        <f t="shared" si="16"/>
        <v>7.1912641255667167E-2</v>
      </c>
      <c r="CQ80" s="7">
        <f t="shared" si="17"/>
        <v>7.3084312737679707E-2</v>
      </c>
      <c r="CR80" s="7">
        <f t="shared" si="18"/>
        <v>5.3657228001919549E-2</v>
      </c>
      <c r="CS80" s="7">
        <f t="shared" si="19"/>
        <v>5.564434844158727E-2</v>
      </c>
      <c r="CT80" s="7">
        <f t="shared" si="20"/>
        <v>6.2933865666250186E-2</v>
      </c>
      <c r="CU80" s="7">
        <f t="shared" si="21"/>
        <v>7.1912641255667167E-2</v>
      </c>
      <c r="CV80" s="7">
        <f t="shared" si="22"/>
        <v>0.12768972786484611</v>
      </c>
      <c r="CW80" s="7">
        <f t="shared" si="23"/>
        <v>3.4514431011782545E-2</v>
      </c>
    </row>
    <row r="81" spans="1:101" s="7" customFormat="1" x14ac:dyDescent="0.25">
      <c r="A81" s="7">
        <v>254</v>
      </c>
      <c r="B81" s="7">
        <v>1.5</v>
      </c>
      <c r="C81" s="7" t="s">
        <v>127</v>
      </c>
      <c r="D81" s="7" t="s">
        <v>196</v>
      </c>
      <c r="E81" s="7" t="s">
        <v>197</v>
      </c>
      <c r="F81" s="7">
        <v>-1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649</v>
      </c>
      <c r="P81" s="7">
        <v>332.52815474167699</v>
      </c>
      <c r="Q81" s="7">
        <v>649</v>
      </c>
      <c r="R81" s="7">
        <v>-1</v>
      </c>
      <c r="S81" s="7">
        <v>649</v>
      </c>
      <c r="T81" s="7">
        <v>0.09</v>
      </c>
      <c r="U81" s="7">
        <v>0.113</v>
      </c>
      <c r="V81" s="7">
        <v>0.13300000000000001</v>
      </c>
      <c r="W81" s="7">
        <v>0.122</v>
      </c>
      <c r="X81" s="7">
        <v>0.127</v>
      </c>
      <c r="Y81" s="7">
        <v>0.122</v>
      </c>
      <c r="Z81" s="7">
        <v>0.11</v>
      </c>
      <c r="AA81" s="7">
        <v>9.9000000000000005E-2</v>
      </c>
      <c r="AB81" s="7">
        <v>9.2999999999999999E-2</v>
      </c>
      <c r="AC81" s="7">
        <v>0.11600000000000001</v>
      </c>
      <c r="AD81" s="7">
        <v>0.109</v>
      </c>
      <c r="AE81" s="7">
        <v>0.125</v>
      </c>
      <c r="AF81" s="7">
        <v>0.123</v>
      </c>
      <c r="AG81" s="7">
        <v>0.128</v>
      </c>
      <c r="AH81" s="7">
        <v>9.2999999999999999E-2</v>
      </c>
      <c r="AI81" s="7">
        <v>0.109</v>
      </c>
      <c r="AJ81" s="7">
        <v>9.8000000000000004E-2</v>
      </c>
      <c r="AK81" s="7">
        <v>9.7000000000000003E-2</v>
      </c>
      <c r="AL81" s="7">
        <v>0.113</v>
      </c>
      <c r="AM81" s="7">
        <v>0.11700000000000001</v>
      </c>
      <c r="CB81">
        <f t="shared" si="3"/>
        <v>3.7523941699983451E-2</v>
      </c>
      <c r="CC81">
        <f t="shared" si="2"/>
        <v>12.477767092129763</v>
      </c>
      <c r="CD81" s="7">
        <f t="shared" si="4"/>
        <v>2.1795114043230611E-2</v>
      </c>
      <c r="CE81" s="7">
        <f t="shared" si="5"/>
        <v>3.7632700791829184E-2</v>
      </c>
      <c r="CF81" s="7">
        <f t="shared" si="6"/>
        <v>5.564434844158727E-2</v>
      </c>
      <c r="CG81" s="7">
        <f t="shared" si="7"/>
        <v>4.5231471504872452E-2</v>
      </c>
      <c r="CH81" s="7">
        <f t="shared" si="8"/>
        <v>4.9808797095077323E-2</v>
      </c>
      <c r="CI81" s="7">
        <f t="shared" si="9"/>
        <v>4.5231471504872452E-2</v>
      </c>
      <c r="CJ81" s="7">
        <f t="shared" si="10"/>
        <v>3.5279268165910829E-2</v>
      </c>
      <c r="CK81" s="7">
        <f t="shared" si="11"/>
        <v>2.7396910450297313E-2</v>
      </c>
      <c r="CL81" s="7">
        <f t="shared" si="12"/>
        <v>2.3579587303706791E-2</v>
      </c>
      <c r="CM81" s="7">
        <f t="shared" si="13"/>
        <v>4.0075255261918477E-2</v>
      </c>
      <c r="CN81" s="7">
        <f t="shared" si="14"/>
        <v>3.4514431011782545E-2</v>
      </c>
      <c r="CO81" s="7">
        <f t="shared" si="15"/>
        <v>4.7946968582758688E-2</v>
      </c>
      <c r="CP81" s="7">
        <f t="shared" si="16"/>
        <v>4.6126381923769305E-2</v>
      </c>
      <c r="CQ81" s="7">
        <f t="shared" si="17"/>
        <v>5.0755259236681539E-2</v>
      </c>
      <c r="CR81" s="7">
        <f t="shared" si="18"/>
        <v>2.3579587303706791E-2</v>
      </c>
      <c r="CS81" s="7">
        <f t="shared" si="19"/>
        <v>3.4514431011782545E-2</v>
      </c>
      <c r="CT81" s="7">
        <f t="shared" si="20"/>
        <v>2.6737432723878494E-2</v>
      </c>
      <c r="CU81" s="7">
        <f t="shared" si="21"/>
        <v>2.6087309181848019E-2</v>
      </c>
      <c r="CV81" s="7">
        <f t="shared" si="22"/>
        <v>3.7632700791829184E-2</v>
      </c>
      <c r="CW81" s="7">
        <f t="shared" si="23"/>
        <v>4.090940766832931E-2</v>
      </c>
    </row>
    <row r="82" spans="1:101" s="7" customFormat="1" x14ac:dyDescent="0.25">
      <c r="A82" s="7">
        <v>289</v>
      </c>
      <c r="B82" s="7">
        <v>1.5</v>
      </c>
      <c r="C82" s="7" t="s">
        <v>129</v>
      </c>
      <c r="D82" s="7" t="s">
        <v>196</v>
      </c>
      <c r="E82" s="7" t="s">
        <v>197</v>
      </c>
      <c r="F82" s="7">
        <v>-1</v>
      </c>
      <c r="G82" s="7">
        <v>-1</v>
      </c>
      <c r="H82" s="7">
        <v>-1</v>
      </c>
      <c r="I82" s="7">
        <v>-1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4029.75</v>
      </c>
      <c r="P82" s="7">
        <v>2627.8294777957399</v>
      </c>
      <c r="Q82" s="7">
        <v>1791</v>
      </c>
      <c r="R82" s="7">
        <v>-1</v>
      </c>
      <c r="S82" s="7">
        <v>1791</v>
      </c>
      <c r="T82" s="7">
        <v>0.115</v>
      </c>
      <c r="U82" s="7">
        <v>0.11899999999999999</v>
      </c>
      <c r="V82" s="7">
        <v>0.113</v>
      </c>
      <c r="W82" s="7">
        <v>0.112</v>
      </c>
      <c r="X82" s="7">
        <v>0.109</v>
      </c>
      <c r="Y82" s="7">
        <v>0.154</v>
      </c>
      <c r="Z82" s="7">
        <v>0.128</v>
      </c>
      <c r="AA82" s="7">
        <v>9.9000000000000005E-2</v>
      </c>
      <c r="AB82" s="7">
        <v>0.14499999999999999</v>
      </c>
      <c r="AC82" s="7">
        <v>9.6000000000000002E-2</v>
      </c>
      <c r="AD82" s="7">
        <v>0.114</v>
      </c>
      <c r="AE82" s="7">
        <v>0.114</v>
      </c>
      <c r="AF82" s="7">
        <v>0.11799999999999999</v>
      </c>
      <c r="AG82" s="7">
        <v>0.14899999999999999</v>
      </c>
      <c r="AH82" s="7">
        <v>0.115</v>
      </c>
      <c r="AI82" s="7">
        <v>0.115</v>
      </c>
      <c r="AJ82" s="7">
        <v>0.11</v>
      </c>
      <c r="AK82" s="7">
        <v>0.113</v>
      </c>
      <c r="AL82" s="7">
        <v>0.10199999999999999</v>
      </c>
      <c r="AM82" s="7">
        <v>0.154</v>
      </c>
      <c r="CB82">
        <f t="shared" si="3"/>
        <v>4.4684150903663934E-2</v>
      </c>
      <c r="CC82">
        <f t="shared" si="2"/>
        <v>117.42232893492124</v>
      </c>
      <c r="CD82" s="7">
        <f t="shared" si="4"/>
        <v>3.9251109741472279E-2</v>
      </c>
      <c r="CE82" s="7">
        <f t="shared" si="5"/>
        <v>4.2607870634685928E-2</v>
      </c>
      <c r="CF82" s="7">
        <f t="shared" si="6"/>
        <v>3.7632700791829184E-2</v>
      </c>
      <c r="CG82" s="7">
        <f t="shared" si="7"/>
        <v>3.6838367624309649E-2</v>
      </c>
      <c r="CH82" s="7">
        <f t="shared" si="8"/>
        <v>3.4514431011782545E-2</v>
      </c>
      <c r="CI82" s="7">
        <f t="shared" si="9"/>
        <v>7.9109174585155054E-2</v>
      </c>
      <c r="CJ82" s="7">
        <f t="shared" si="10"/>
        <v>5.0755259236681539E-2</v>
      </c>
      <c r="CK82" s="7">
        <f t="shared" si="11"/>
        <v>2.7396910450297313E-2</v>
      </c>
      <c r="CL82" s="7">
        <f t="shared" si="12"/>
        <v>6.8463694073402304E-2</v>
      </c>
      <c r="CM82" s="7">
        <f t="shared" si="13"/>
        <v>2.5446501525940385E-2</v>
      </c>
      <c r="CN82" s="7">
        <f t="shared" si="14"/>
        <v>3.84369365105749E-2</v>
      </c>
      <c r="CO82" s="7">
        <f t="shared" si="15"/>
        <v>3.84369365105749E-2</v>
      </c>
      <c r="CP82" s="7">
        <f t="shared" si="16"/>
        <v>4.1753601378629192E-2</v>
      </c>
      <c r="CQ82" s="7">
        <f t="shared" si="17"/>
        <v>7.3084312737679707E-2</v>
      </c>
      <c r="CR82" s="7">
        <f t="shared" si="18"/>
        <v>3.9251109741472279E-2</v>
      </c>
      <c r="CS82" s="7">
        <f t="shared" si="19"/>
        <v>3.9251109741472279E-2</v>
      </c>
      <c r="CT82" s="7">
        <f t="shared" si="20"/>
        <v>3.5279268165910829E-2</v>
      </c>
      <c r="CU82" s="7">
        <f t="shared" si="21"/>
        <v>3.7632700791829184E-2</v>
      </c>
      <c r="CV82" s="7">
        <f t="shared" si="22"/>
        <v>2.9431848234424133E-2</v>
      </c>
      <c r="CW82" s="7">
        <f t="shared" si="23"/>
        <v>7.9109174585155054E-2</v>
      </c>
    </row>
    <row r="83" spans="1:101" s="7" customFormat="1" x14ac:dyDescent="0.25">
      <c r="A83" s="7">
        <v>189</v>
      </c>
      <c r="B83" s="7">
        <v>1.5</v>
      </c>
      <c r="C83" s="7" t="s">
        <v>132</v>
      </c>
      <c r="D83" s="7" t="s">
        <v>196</v>
      </c>
      <c r="E83" s="7" t="s">
        <v>197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45472</v>
      </c>
      <c r="P83" s="7">
        <v>18614.821502513802</v>
      </c>
      <c r="Q83" s="7">
        <v>32</v>
      </c>
      <c r="R83" s="7">
        <v>26</v>
      </c>
      <c r="S83" s="7">
        <v>58</v>
      </c>
      <c r="T83" s="7">
        <v>0.121</v>
      </c>
      <c r="U83" s="7">
        <v>0.255</v>
      </c>
      <c r="V83" s="7">
        <v>0.11799999999999999</v>
      </c>
      <c r="W83" s="7">
        <v>0.14499999999999999</v>
      </c>
      <c r="X83" s="7">
        <v>0.14399999999999999</v>
      </c>
      <c r="Y83" s="7">
        <v>0.128</v>
      </c>
      <c r="Z83" s="7">
        <v>0.1</v>
      </c>
      <c r="AA83" s="7">
        <v>0.107</v>
      </c>
      <c r="AB83" s="7">
        <v>0.112</v>
      </c>
      <c r="AC83" s="7">
        <v>0.13600000000000001</v>
      </c>
      <c r="AD83" s="7">
        <v>0.114</v>
      </c>
      <c r="AE83" s="7">
        <v>0.11899999999999999</v>
      </c>
      <c r="AF83" s="7">
        <v>0.23400000000000001</v>
      </c>
      <c r="AG83" s="7">
        <v>0.159</v>
      </c>
      <c r="AH83" s="7">
        <v>0.19400000000000001</v>
      </c>
      <c r="AI83" s="7">
        <v>0.22900000000000001</v>
      </c>
      <c r="AJ83" s="7">
        <v>0.125</v>
      </c>
      <c r="AK83" s="7">
        <v>0.24399999999999999</v>
      </c>
      <c r="AL83" s="7">
        <v>0.14399999999999999</v>
      </c>
      <c r="AM83" s="7">
        <v>0.14899999999999999</v>
      </c>
      <c r="CB83">
        <f t="shared" si="3"/>
        <v>9.2342236661139207E-2</v>
      </c>
      <c r="CC83">
        <f t="shared" si="2"/>
        <v>1718.9342525899924</v>
      </c>
      <c r="CD83" s="7">
        <f t="shared" si="4"/>
        <v>4.4346771885494372E-2</v>
      </c>
      <c r="CE83" s="7">
        <f t="shared" si="5"/>
        <v>0.26538327924049449</v>
      </c>
      <c r="CF83" s="7">
        <f t="shared" si="6"/>
        <v>4.1753601378629192E-2</v>
      </c>
      <c r="CG83" s="7">
        <f t="shared" si="7"/>
        <v>6.8463694073402304E-2</v>
      </c>
      <c r="CH83" s="7">
        <f t="shared" si="8"/>
        <v>6.7335967442926234E-2</v>
      </c>
      <c r="CI83" s="7">
        <f t="shared" si="9"/>
        <v>5.0755259236681539E-2</v>
      </c>
      <c r="CJ83" s="7">
        <f t="shared" si="10"/>
        <v>2.8065780425595335E-2</v>
      </c>
      <c r="CK83" s="7">
        <f t="shared" si="11"/>
        <v>3.3014003242246778E-2</v>
      </c>
      <c r="CL83" s="7">
        <f t="shared" si="12"/>
        <v>3.6838367624309649E-2</v>
      </c>
      <c r="CM83" s="7">
        <f t="shared" si="13"/>
        <v>5.8704379673962324E-2</v>
      </c>
      <c r="CN83" s="7">
        <f t="shared" si="14"/>
        <v>3.84369365105749E-2</v>
      </c>
      <c r="CO83" s="7">
        <f t="shared" si="15"/>
        <v>4.2607870634685928E-2</v>
      </c>
      <c r="CP83" s="7">
        <f t="shared" si="16"/>
        <v>0.21592114817357524</v>
      </c>
      <c r="CQ83" s="7">
        <f t="shared" si="17"/>
        <v>8.5414228309244264E-2</v>
      </c>
      <c r="CR83" s="7">
        <f t="shared" si="18"/>
        <v>0.13768964334490719</v>
      </c>
      <c r="CS83" s="7">
        <f t="shared" si="19"/>
        <v>0.20501341539637802</v>
      </c>
      <c r="CT83" s="7">
        <f t="shared" si="20"/>
        <v>4.7946968582758688E-2</v>
      </c>
      <c r="CU83" s="7">
        <f t="shared" si="21"/>
        <v>0.23873313786631173</v>
      </c>
      <c r="CV83" s="7">
        <f t="shared" si="22"/>
        <v>6.7335967442926234E-2</v>
      </c>
      <c r="CW83" s="7">
        <f t="shared" si="23"/>
        <v>7.3084312737679707E-2</v>
      </c>
    </row>
    <row r="84" spans="1:101" s="7" customFormat="1" x14ac:dyDescent="0.25">
      <c r="A84" s="7">
        <v>209</v>
      </c>
      <c r="B84" s="7">
        <v>1.5</v>
      </c>
      <c r="C84" s="7" t="s">
        <v>135</v>
      </c>
      <c r="D84" s="7" t="s">
        <v>196</v>
      </c>
      <c r="E84" s="7" t="s">
        <v>197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137616</v>
      </c>
      <c r="P84" s="7">
        <v>51591.647607879997</v>
      </c>
      <c r="Q84" s="7">
        <v>77</v>
      </c>
      <c r="R84" s="7">
        <v>64</v>
      </c>
      <c r="S84" s="7">
        <v>141</v>
      </c>
      <c r="T84" s="7">
        <v>0.114</v>
      </c>
      <c r="U84" s="7">
        <v>0.14299999999999999</v>
      </c>
      <c r="V84" s="7">
        <v>0.109</v>
      </c>
      <c r="W84" s="7">
        <v>0.11799999999999999</v>
      </c>
      <c r="X84" s="7">
        <v>0.14499999999999999</v>
      </c>
      <c r="Y84" s="7">
        <v>0.18099999999999999</v>
      </c>
      <c r="Z84" s="7">
        <v>0.124</v>
      </c>
      <c r="AA84" s="7">
        <v>0.21299999999999999</v>
      </c>
      <c r="AB84" s="7">
        <v>0.14499999999999999</v>
      </c>
      <c r="AC84" s="7">
        <v>0.187</v>
      </c>
      <c r="AD84" s="7">
        <v>0.161</v>
      </c>
      <c r="AE84" s="7">
        <v>0.108</v>
      </c>
      <c r="AF84" s="7">
        <v>0.14299999999999999</v>
      </c>
      <c r="AG84" s="7">
        <v>0.13400000000000001</v>
      </c>
      <c r="AH84" s="7">
        <v>0.185</v>
      </c>
      <c r="AI84" s="7">
        <v>0.125</v>
      </c>
      <c r="AJ84" s="7">
        <v>0.14699999999999999</v>
      </c>
      <c r="AK84" s="7">
        <v>0.11</v>
      </c>
      <c r="AL84" s="7">
        <v>0.11600000000000001</v>
      </c>
      <c r="AM84" s="7">
        <v>9.4E-2</v>
      </c>
      <c r="CB84">
        <f t="shared" si="3"/>
        <v>6.8278645513328004E-2</v>
      </c>
      <c r="CC84">
        <f t="shared" si="2"/>
        <v>3522.607818466975</v>
      </c>
      <c r="CD84" s="7">
        <f t="shared" si="4"/>
        <v>3.84369365105749E-2</v>
      </c>
      <c r="CE84" s="7">
        <f t="shared" si="5"/>
        <v>6.6219151722577044E-2</v>
      </c>
      <c r="CF84" s="7">
        <f t="shared" si="6"/>
        <v>3.4514431011782545E-2</v>
      </c>
      <c r="CG84" s="7">
        <f t="shared" si="7"/>
        <v>4.1753601378629192E-2</v>
      </c>
      <c r="CH84" s="7">
        <f t="shared" si="8"/>
        <v>6.8463694073402304E-2</v>
      </c>
      <c r="CI84" s="7">
        <f t="shared" si="9"/>
        <v>0.11657507481419918</v>
      </c>
      <c r="CJ84" s="7">
        <f t="shared" si="10"/>
        <v>4.7031536538474132E-2</v>
      </c>
      <c r="CK84" s="7">
        <f t="shared" si="11"/>
        <v>0.17230114814102757</v>
      </c>
      <c r="CL84" s="7">
        <f t="shared" si="12"/>
        <v>6.8463694073402304E-2</v>
      </c>
      <c r="CM84" s="7">
        <f t="shared" si="13"/>
        <v>0.1260657113773983</v>
      </c>
      <c r="CN84" s="7">
        <f t="shared" si="14"/>
        <v>8.8015513207260532E-2</v>
      </c>
      <c r="CO84" s="7">
        <f t="shared" si="15"/>
        <v>3.3759354676859761E-2</v>
      </c>
      <c r="CP84" s="7">
        <f t="shared" si="16"/>
        <v>6.6219151722577044E-2</v>
      </c>
      <c r="CQ84" s="7">
        <f t="shared" si="17"/>
        <v>5.6653747058766961E-2</v>
      </c>
      <c r="CR84" s="7">
        <f t="shared" si="18"/>
        <v>0.12285399154068005</v>
      </c>
      <c r="CS84" s="7">
        <f t="shared" si="19"/>
        <v>4.7946968582758688E-2</v>
      </c>
      <c r="CT84" s="7">
        <f t="shared" si="20"/>
        <v>7.0752000921116026E-2</v>
      </c>
      <c r="CU84" s="7">
        <f t="shared" si="21"/>
        <v>3.5279268165910829E-2</v>
      </c>
      <c r="CV84" s="7">
        <f t="shared" si="22"/>
        <v>4.0075255261918477E-2</v>
      </c>
      <c r="CW84" s="7">
        <f t="shared" si="23"/>
        <v>2.4192679487243959E-2</v>
      </c>
    </row>
    <row r="85" spans="1:101" s="7" customFormat="1" x14ac:dyDescent="0.25">
      <c r="A85" s="7">
        <v>153</v>
      </c>
      <c r="B85" s="7">
        <v>1.5</v>
      </c>
      <c r="C85" s="7" t="s">
        <v>136</v>
      </c>
      <c r="D85" s="7" t="s">
        <v>196</v>
      </c>
      <c r="E85" s="7" t="s">
        <v>197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2560</v>
      </c>
      <c r="P85" s="7">
        <v>1470.5586440432201</v>
      </c>
      <c r="Q85" s="7">
        <v>2</v>
      </c>
      <c r="R85" s="7">
        <v>2</v>
      </c>
      <c r="S85" s="7">
        <v>4</v>
      </c>
      <c r="T85" s="7">
        <v>0.17899999999999999</v>
      </c>
      <c r="U85" s="7">
        <v>0.192</v>
      </c>
      <c r="V85" s="7">
        <v>0.17199999999999999</v>
      </c>
      <c r="W85" s="7">
        <v>0.18099999999999999</v>
      </c>
      <c r="CB85">
        <f t="shared" si="3"/>
        <v>0.11688357792514165</v>
      </c>
      <c r="CC85">
        <f t="shared" si="2"/>
        <v>171.88415586451634</v>
      </c>
      <c r="CD85" s="7">
        <f t="shared" si="4"/>
        <v>0.11350745793518947</v>
      </c>
      <c r="CE85" s="7">
        <f t="shared" si="5"/>
        <v>0.13430744025989136</v>
      </c>
      <c r="CF85" s="7">
        <f t="shared" si="6"/>
        <v>0.10314433869128659</v>
      </c>
      <c r="CG85" s="7">
        <f t="shared" si="7"/>
        <v>0.11657507481419918</v>
      </c>
      <c r="CH85" s="7" t="str">
        <f t="shared" si="8"/>
        <v/>
      </c>
      <c r="CI85" s="7" t="str">
        <f t="shared" si="9"/>
        <v/>
      </c>
      <c r="CJ85" s="7" t="str">
        <f t="shared" si="10"/>
        <v/>
      </c>
      <c r="CK85" s="7" t="str">
        <f t="shared" si="11"/>
        <v/>
      </c>
      <c r="CL85" s="7" t="str">
        <f t="shared" si="12"/>
        <v/>
      </c>
      <c r="CM85" s="7" t="str">
        <f t="shared" si="13"/>
        <v/>
      </c>
      <c r="CN85" s="7" t="str">
        <f t="shared" si="14"/>
        <v/>
      </c>
      <c r="CO85" s="7" t="str">
        <f t="shared" si="15"/>
        <v/>
      </c>
      <c r="CP85" s="7" t="str">
        <f t="shared" si="16"/>
        <v/>
      </c>
      <c r="CQ85" s="7" t="str">
        <f t="shared" si="17"/>
        <v/>
      </c>
      <c r="CR85" s="7" t="str">
        <f t="shared" si="18"/>
        <v/>
      </c>
      <c r="CS85" s="7" t="str">
        <f t="shared" si="19"/>
        <v/>
      </c>
      <c r="CT85" s="7" t="str">
        <f t="shared" si="20"/>
        <v/>
      </c>
      <c r="CU85" s="7" t="str">
        <f t="shared" si="21"/>
        <v/>
      </c>
      <c r="CV85" s="7" t="str">
        <f t="shared" si="22"/>
        <v/>
      </c>
      <c r="CW85" s="7" t="str">
        <f t="shared" si="23"/>
        <v/>
      </c>
    </row>
    <row r="86" spans="1:101" s="7" customFormat="1" x14ac:dyDescent="0.25">
      <c r="A86" s="7">
        <v>171</v>
      </c>
      <c r="B86" s="7">
        <v>1.5</v>
      </c>
      <c r="C86" s="7" t="s">
        <v>138</v>
      </c>
      <c r="D86" s="7" t="s">
        <v>196</v>
      </c>
      <c r="E86" s="7" t="s">
        <v>197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98736</v>
      </c>
      <c r="P86" s="7">
        <v>70329.834791028101</v>
      </c>
      <c r="Q86" s="7">
        <v>25</v>
      </c>
      <c r="R86" s="7">
        <v>26</v>
      </c>
      <c r="S86" s="7">
        <v>51</v>
      </c>
      <c r="T86" s="7">
        <v>0.106</v>
      </c>
      <c r="U86" s="7">
        <v>0.13500000000000001</v>
      </c>
      <c r="V86" s="7">
        <v>0.13700000000000001</v>
      </c>
      <c r="W86" s="7">
        <v>0.17100000000000001</v>
      </c>
      <c r="X86" s="7">
        <v>0.124</v>
      </c>
      <c r="Y86" s="7">
        <v>0.219</v>
      </c>
      <c r="Z86" s="7">
        <v>0.128</v>
      </c>
      <c r="AA86" s="7">
        <v>0.10299999999999999</v>
      </c>
      <c r="AB86" s="7">
        <v>0.108</v>
      </c>
      <c r="AC86" s="7">
        <v>0.13600000000000001</v>
      </c>
      <c r="AD86" s="7">
        <v>0.307</v>
      </c>
      <c r="AE86" s="7">
        <v>0.246</v>
      </c>
      <c r="AF86" s="7">
        <v>0.22700000000000001</v>
      </c>
      <c r="AG86" s="7">
        <v>0.15</v>
      </c>
      <c r="AH86" s="7">
        <v>0.187</v>
      </c>
      <c r="AI86" s="7">
        <v>0.23699999999999999</v>
      </c>
      <c r="AJ86" s="7">
        <v>0.20799999999999999</v>
      </c>
      <c r="AK86" s="7">
        <v>0.107</v>
      </c>
      <c r="AL86" s="7">
        <v>0.11799999999999999</v>
      </c>
      <c r="AM86" s="7">
        <v>0.125</v>
      </c>
      <c r="CB86">
        <f t="shared" si="3"/>
        <v>0.11114435371295359</v>
      </c>
      <c r="CC86">
        <f t="shared" si="2"/>
        <v>7816.7640345876162</v>
      </c>
      <c r="CD86" s="7">
        <f t="shared" si="4"/>
        <v>3.2278340588934862E-2</v>
      </c>
      <c r="CE86" s="7">
        <f t="shared" si="5"/>
        <v>5.7673746944497048E-2</v>
      </c>
      <c r="CF86" s="7">
        <f t="shared" si="6"/>
        <v>5.9745676682321308E-2</v>
      </c>
      <c r="CG86" s="7">
        <f t="shared" si="7"/>
        <v>0.10171096812044977</v>
      </c>
      <c r="CH86" s="7">
        <f t="shared" si="8"/>
        <v>4.7031536538474132E-2</v>
      </c>
      <c r="CI86" s="7">
        <f t="shared" si="9"/>
        <v>0.1841802248270773</v>
      </c>
      <c r="CJ86" s="7">
        <f t="shared" si="10"/>
        <v>5.0755259236681539E-2</v>
      </c>
      <c r="CK86" s="7">
        <f t="shared" si="11"/>
        <v>3.012912106148239E-2</v>
      </c>
      <c r="CL86" s="7">
        <f t="shared" si="12"/>
        <v>3.3759354676859761E-2</v>
      </c>
      <c r="CM86" s="7">
        <f t="shared" si="13"/>
        <v>5.8704379673962324E-2</v>
      </c>
      <c r="CN86" s="7">
        <f t="shared" si="14"/>
        <v>0.41429455387624414</v>
      </c>
      <c r="CO86" s="7">
        <f t="shared" si="15"/>
        <v>0.24345650337498176</v>
      </c>
      <c r="CP86" s="7">
        <f t="shared" si="16"/>
        <v>0.20074243157728705</v>
      </c>
      <c r="CQ86" s="7">
        <f t="shared" si="17"/>
        <v>7.4267045120984129E-2</v>
      </c>
      <c r="CR86" s="7">
        <f t="shared" si="18"/>
        <v>0.1260657113773983</v>
      </c>
      <c r="CS86" s="7">
        <f t="shared" si="19"/>
        <v>0.22262460073121362</v>
      </c>
      <c r="CT86" s="7">
        <f t="shared" si="20"/>
        <v>0.16275304664658838</v>
      </c>
      <c r="CU86" s="7">
        <f t="shared" si="21"/>
        <v>3.3014003242246778E-2</v>
      </c>
      <c r="CV86" s="7">
        <f t="shared" si="22"/>
        <v>4.1753601378629192E-2</v>
      </c>
      <c r="CW86" s="7">
        <f t="shared" si="23"/>
        <v>4.7946968582758688E-2</v>
      </c>
    </row>
    <row r="87" spans="1:101" s="7" customFormat="1" x14ac:dyDescent="0.25">
      <c r="A87" s="7">
        <v>79</v>
      </c>
      <c r="B87" s="7">
        <v>1.5</v>
      </c>
      <c r="C87" s="7" t="s">
        <v>141</v>
      </c>
      <c r="D87" s="7" t="s">
        <v>196</v>
      </c>
      <c r="E87" s="7" t="s">
        <v>197</v>
      </c>
      <c r="F87" s="7">
        <v>-1</v>
      </c>
      <c r="G87" s="7">
        <v>-1</v>
      </c>
      <c r="H87" s="7">
        <v>-1</v>
      </c>
      <c r="I87" s="7">
        <v>-1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3936</v>
      </c>
      <c r="P87" s="7">
        <v>1374.32355630804</v>
      </c>
      <c r="Q87" s="7">
        <v>3</v>
      </c>
      <c r="R87" s="7">
        <v>1</v>
      </c>
      <c r="S87" s="7">
        <v>4</v>
      </c>
      <c r="T87" s="7">
        <v>0.21299999999999999</v>
      </c>
      <c r="U87" s="7">
        <v>0.13800000000000001</v>
      </c>
      <c r="V87" s="7">
        <v>0.13300000000000001</v>
      </c>
      <c r="W87" s="7">
        <v>0.16</v>
      </c>
      <c r="CB87">
        <f t="shared" si="3"/>
        <v>9.3863086580423472E-2</v>
      </c>
      <c r="CC87">
        <f t="shared" si="2"/>
        <v>128.99825095525705</v>
      </c>
      <c r="CD87" s="7">
        <f t="shared" si="4"/>
        <v>0.17230114814102757</v>
      </c>
      <c r="CE87" s="7">
        <f t="shared" si="5"/>
        <v>6.0797669266349663E-2</v>
      </c>
      <c r="CF87" s="7">
        <f t="shared" si="6"/>
        <v>5.564434844158727E-2</v>
      </c>
      <c r="CG87" s="7">
        <f t="shared" si="7"/>
        <v>8.6709180472729408E-2</v>
      </c>
      <c r="CH87" s="7" t="str">
        <f t="shared" si="8"/>
        <v/>
      </c>
      <c r="CI87" s="7" t="str">
        <f t="shared" si="9"/>
        <v/>
      </c>
      <c r="CJ87" s="7" t="str">
        <f t="shared" si="10"/>
        <v/>
      </c>
      <c r="CK87" s="7" t="str">
        <f t="shared" si="11"/>
        <v/>
      </c>
      <c r="CL87" s="7" t="str">
        <f t="shared" si="12"/>
        <v/>
      </c>
      <c r="CM87" s="7" t="str">
        <f t="shared" si="13"/>
        <v/>
      </c>
      <c r="CN87" s="7" t="str">
        <f t="shared" si="14"/>
        <v/>
      </c>
      <c r="CO87" s="7" t="str">
        <f t="shared" si="15"/>
        <v/>
      </c>
      <c r="CP87" s="7" t="str">
        <f t="shared" si="16"/>
        <v/>
      </c>
      <c r="CQ87" s="7" t="str">
        <f t="shared" si="17"/>
        <v/>
      </c>
      <c r="CR87" s="7" t="str">
        <f t="shared" si="18"/>
        <v/>
      </c>
      <c r="CS87" s="7" t="str">
        <f t="shared" si="19"/>
        <v/>
      </c>
      <c r="CT87" s="7" t="str">
        <f t="shared" si="20"/>
        <v/>
      </c>
      <c r="CU87" s="7" t="str">
        <f t="shared" si="21"/>
        <v/>
      </c>
      <c r="CV87" s="7" t="str">
        <f t="shared" si="22"/>
        <v/>
      </c>
      <c r="CW87" s="7" t="str">
        <f t="shared" si="23"/>
        <v/>
      </c>
    </row>
    <row r="88" spans="1:101" s="7" customFormat="1" x14ac:dyDescent="0.25">
      <c r="A88" s="7">
        <v>97</v>
      </c>
      <c r="B88" s="7">
        <v>1.5</v>
      </c>
      <c r="C88" s="7" t="s">
        <v>143</v>
      </c>
      <c r="D88" s="7" t="s">
        <v>196</v>
      </c>
      <c r="E88" s="7" t="s">
        <v>197</v>
      </c>
      <c r="F88" s="7">
        <v>-1</v>
      </c>
      <c r="G88" s="7">
        <v>-1</v>
      </c>
      <c r="H88" s="7">
        <v>-1</v>
      </c>
      <c r="I88" s="7">
        <v>-1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71040</v>
      </c>
      <c r="P88" s="7">
        <v>24564.040262877301</v>
      </c>
      <c r="Q88" s="7">
        <v>11</v>
      </c>
      <c r="R88" s="7">
        <v>19</v>
      </c>
      <c r="S88" s="7">
        <v>30</v>
      </c>
      <c r="T88" s="7">
        <v>0.17100000000000001</v>
      </c>
      <c r="U88" s="7">
        <v>0.14699999999999999</v>
      </c>
      <c r="V88" s="7">
        <v>0.13</v>
      </c>
      <c r="W88" s="7">
        <v>0.23300000000000001</v>
      </c>
      <c r="X88" s="7">
        <v>0.11899999999999999</v>
      </c>
      <c r="Y88" s="7">
        <v>0.10100000000000001</v>
      </c>
      <c r="Z88" s="7">
        <v>0.106</v>
      </c>
      <c r="AA88" s="7">
        <v>0.13800000000000001</v>
      </c>
      <c r="AB88" s="7">
        <v>0.122</v>
      </c>
      <c r="AC88" s="7">
        <v>0.248</v>
      </c>
      <c r="AD88" s="7">
        <v>0.189</v>
      </c>
      <c r="AE88" s="7">
        <v>0.161</v>
      </c>
      <c r="AF88" s="7">
        <v>0.29499999999999998</v>
      </c>
      <c r="AG88" s="7">
        <v>0.27300000000000002</v>
      </c>
      <c r="AH88" s="7">
        <v>0.216</v>
      </c>
      <c r="AI88" s="7">
        <v>9.7000000000000003E-2</v>
      </c>
      <c r="AJ88" s="7">
        <v>0.192</v>
      </c>
      <c r="AK88" s="7">
        <v>0.26800000000000002</v>
      </c>
      <c r="AL88" s="7">
        <v>0.32200000000000001</v>
      </c>
      <c r="AM88" s="7">
        <v>0.25</v>
      </c>
      <c r="CB88">
        <f t="shared" si="3"/>
        <v>0.15791870603595948</v>
      </c>
      <c r="CC88">
        <f t="shared" si="2"/>
        <v>3879.1214533287935</v>
      </c>
      <c r="CD88" s="7">
        <f t="shared" si="4"/>
        <v>0.10171096812044977</v>
      </c>
      <c r="CE88" s="7">
        <f t="shared" si="5"/>
        <v>7.0752000921116026E-2</v>
      </c>
      <c r="CF88" s="7">
        <f t="shared" si="6"/>
        <v>5.2679442313682365E-2</v>
      </c>
      <c r="CG88" s="7">
        <f t="shared" si="7"/>
        <v>0.21371319331727137</v>
      </c>
      <c r="CH88" s="7">
        <f t="shared" si="8"/>
        <v>4.2607870634685928E-2</v>
      </c>
      <c r="CI88" s="7">
        <f t="shared" si="9"/>
        <v>2.8744080484255873E-2</v>
      </c>
      <c r="CJ88" s="7">
        <f t="shared" si="10"/>
        <v>3.2278340588934862E-2</v>
      </c>
      <c r="CK88" s="7">
        <f t="shared" si="11"/>
        <v>6.0797669266349663E-2</v>
      </c>
      <c r="CL88" s="7">
        <f t="shared" si="12"/>
        <v>4.5231471504872452E-2</v>
      </c>
      <c r="CM88" s="7">
        <f t="shared" si="13"/>
        <v>0.24823393807328409</v>
      </c>
      <c r="CN88" s="7">
        <f t="shared" si="14"/>
        <v>0.12932588325119743</v>
      </c>
      <c r="CO88" s="7">
        <f t="shared" si="15"/>
        <v>8.8015513207260532E-2</v>
      </c>
      <c r="CP88" s="7">
        <f t="shared" si="16"/>
        <v>0.37648697987647245</v>
      </c>
      <c r="CQ88" s="7">
        <f t="shared" si="17"/>
        <v>0.31258452664593761</v>
      </c>
      <c r="CR88" s="7">
        <f t="shared" si="18"/>
        <v>0.1781829422348174</v>
      </c>
      <c r="CS88" s="7">
        <f t="shared" si="19"/>
        <v>2.6087309181848019E-2</v>
      </c>
      <c r="CT88" s="7">
        <f t="shared" si="20"/>
        <v>0.13430744025989136</v>
      </c>
      <c r="CU88" s="7">
        <f t="shared" si="21"/>
        <v>0.29902026967587847</v>
      </c>
      <c r="CV88" s="7">
        <f t="shared" si="22"/>
        <v>0.46454866379086579</v>
      </c>
      <c r="CW88" s="7">
        <f t="shared" si="23"/>
        <v>0.25306561737011801</v>
      </c>
    </row>
    <row r="89" spans="1:101" s="7" customFormat="1" x14ac:dyDescent="0.25">
      <c r="A89" s="7">
        <v>115</v>
      </c>
      <c r="B89" s="7">
        <v>1.5</v>
      </c>
      <c r="C89" s="7" t="s">
        <v>144</v>
      </c>
      <c r="D89" s="7" t="s">
        <v>196</v>
      </c>
      <c r="E89" s="7" t="s">
        <v>197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31360</v>
      </c>
      <c r="P89" s="7">
        <v>13139.8740017744</v>
      </c>
      <c r="Q89" s="7">
        <v>16</v>
      </c>
      <c r="R89" s="7">
        <v>19</v>
      </c>
      <c r="S89" s="7">
        <v>35</v>
      </c>
      <c r="T89" s="7">
        <v>0.16900000000000001</v>
      </c>
      <c r="U89" s="7">
        <v>0.157</v>
      </c>
      <c r="V89" s="7">
        <v>0.17699999999999999</v>
      </c>
      <c r="W89" s="7">
        <v>0.13100000000000001</v>
      </c>
      <c r="X89" s="7">
        <v>0.14399999999999999</v>
      </c>
      <c r="Y89" s="7">
        <v>0.1</v>
      </c>
      <c r="Z89" s="7">
        <v>0.126</v>
      </c>
      <c r="AA89" s="7">
        <v>0.16</v>
      </c>
      <c r="AB89" s="7">
        <v>0.13100000000000001</v>
      </c>
      <c r="AC89" s="7">
        <v>0.21</v>
      </c>
      <c r="AD89" s="7">
        <v>0.316</v>
      </c>
      <c r="AE89" s="7">
        <v>0.13200000000000001</v>
      </c>
      <c r="AF89" s="7">
        <v>0.13500000000000001</v>
      </c>
      <c r="AG89" s="7">
        <v>0.22800000000000001</v>
      </c>
      <c r="AH89" s="7">
        <v>0.219</v>
      </c>
      <c r="AI89" s="7">
        <v>0.13</v>
      </c>
      <c r="AJ89" s="7">
        <v>0.115</v>
      </c>
      <c r="AK89" s="7">
        <v>0.114</v>
      </c>
      <c r="AL89" s="7">
        <v>0.16</v>
      </c>
      <c r="AM89" s="7">
        <v>0.10199999999999999</v>
      </c>
      <c r="CB89">
        <f t="shared" si="3"/>
        <v>9.9349042665410114E-2</v>
      </c>
      <c r="CC89">
        <f t="shared" si="2"/>
        <v>1305.4339028203981</v>
      </c>
      <c r="CD89" s="7">
        <f t="shared" si="4"/>
        <v>9.8879261520543368E-2</v>
      </c>
      <c r="CE89" s="7">
        <f t="shared" si="5"/>
        <v>8.2858351567382138E-2</v>
      </c>
      <c r="CF89" s="7">
        <f t="shared" si="6"/>
        <v>0.11048745306659181</v>
      </c>
      <c r="CG89" s="7">
        <f t="shared" si="7"/>
        <v>5.3657228001919549E-2</v>
      </c>
      <c r="CH89" s="7">
        <f t="shared" si="8"/>
        <v>6.7335967442926234E-2</v>
      </c>
      <c r="CI89" s="7">
        <f t="shared" si="9"/>
        <v>2.8065780425595335E-2</v>
      </c>
      <c r="CJ89" s="7">
        <f t="shared" si="10"/>
        <v>4.8872711129969722E-2</v>
      </c>
      <c r="CK89" s="7">
        <f t="shared" si="11"/>
        <v>8.6709180472729408E-2</v>
      </c>
      <c r="CL89" s="7">
        <f t="shared" si="12"/>
        <v>5.3657228001919549E-2</v>
      </c>
      <c r="CM89" s="7">
        <f t="shared" si="13"/>
        <v>0.16653419823704091</v>
      </c>
      <c r="CN89" s="7">
        <f t="shared" si="14"/>
        <v>0.44404411785473946</v>
      </c>
      <c r="CO89" s="7">
        <f t="shared" si="15"/>
        <v>5.4645519376070768E-2</v>
      </c>
      <c r="CP89" s="7">
        <f t="shared" si="16"/>
        <v>5.7673746944497048E-2</v>
      </c>
      <c r="CQ89" s="7">
        <f t="shared" si="17"/>
        <v>0.2028713671663164</v>
      </c>
      <c r="CR89" s="7">
        <f t="shared" si="18"/>
        <v>0.1841802248270773</v>
      </c>
      <c r="CS89" s="7">
        <f t="shared" si="19"/>
        <v>5.2679442313682365E-2</v>
      </c>
      <c r="CT89" s="7">
        <f t="shared" si="20"/>
        <v>3.9251109741472279E-2</v>
      </c>
      <c r="CU89" s="7">
        <f t="shared" si="21"/>
        <v>3.84369365105749E-2</v>
      </c>
      <c r="CV89" s="7">
        <f t="shared" si="22"/>
        <v>8.6709180472729408E-2</v>
      </c>
      <c r="CW89" s="7">
        <f t="shared" si="23"/>
        <v>2.9431848234424133E-2</v>
      </c>
    </row>
    <row r="90" spans="1:101" s="7" customFormat="1" x14ac:dyDescent="0.25">
      <c r="A90" s="7">
        <v>132</v>
      </c>
      <c r="B90" s="7">
        <v>1.5</v>
      </c>
      <c r="C90" s="7" t="s">
        <v>145</v>
      </c>
      <c r="D90" s="7" t="s">
        <v>196</v>
      </c>
      <c r="E90" s="7" t="s">
        <v>197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4896</v>
      </c>
      <c r="P90" s="7">
        <v>2004.27001399339</v>
      </c>
      <c r="Q90" s="7">
        <v>4</v>
      </c>
      <c r="R90" s="7">
        <v>5</v>
      </c>
      <c r="S90" s="7">
        <v>9</v>
      </c>
      <c r="T90" s="7">
        <v>0.14699999999999999</v>
      </c>
      <c r="U90" s="7">
        <v>0.13</v>
      </c>
      <c r="V90" s="7">
        <v>0.12</v>
      </c>
      <c r="W90" s="7">
        <v>0.26600000000000001</v>
      </c>
      <c r="X90" s="7">
        <v>0.104</v>
      </c>
      <c r="Y90" s="7">
        <v>0.10299999999999999</v>
      </c>
      <c r="Z90" s="7">
        <v>0.126</v>
      </c>
      <c r="AA90" s="7">
        <v>0.127</v>
      </c>
      <c r="AB90" s="7">
        <v>0.34799999999999998</v>
      </c>
      <c r="CB90">
        <f t="shared" si="3"/>
        <v>0.13110648416745477</v>
      </c>
      <c r="CC90">
        <f t="shared" si="2"/>
        <v>262.77279485692873</v>
      </c>
      <c r="CD90" s="7">
        <f t="shared" si="4"/>
        <v>7.0752000921116026E-2</v>
      </c>
      <c r="CE90" s="7">
        <f t="shared" si="5"/>
        <v>5.2679442313682365E-2</v>
      </c>
      <c r="CF90" s="7">
        <f t="shared" si="6"/>
        <v>4.3472249504692119E-2</v>
      </c>
      <c r="CG90" s="7">
        <f t="shared" si="7"/>
        <v>0.29369263183391103</v>
      </c>
      <c r="CH90" s="7">
        <f t="shared" si="8"/>
        <v>3.0835936131534208E-2</v>
      </c>
      <c r="CI90" s="7">
        <f t="shared" si="9"/>
        <v>3.012912106148239E-2</v>
      </c>
      <c r="CJ90" s="7">
        <f t="shared" si="10"/>
        <v>4.8872711129969722E-2</v>
      </c>
      <c r="CK90" s="7">
        <f t="shared" si="11"/>
        <v>4.9808797095077323E-2</v>
      </c>
      <c r="CL90" s="7">
        <f t="shared" si="12"/>
        <v>0.55971546751562762</v>
      </c>
      <c r="CM90" s="7" t="str">
        <f t="shared" si="13"/>
        <v/>
      </c>
      <c r="CN90" s="7" t="str">
        <f t="shared" si="14"/>
        <v/>
      </c>
      <c r="CO90" s="7" t="str">
        <f t="shared" si="15"/>
        <v/>
      </c>
      <c r="CP90" s="7" t="str">
        <f t="shared" si="16"/>
        <v/>
      </c>
      <c r="CQ90" s="7" t="str">
        <f t="shared" si="17"/>
        <v/>
      </c>
      <c r="CR90" s="7" t="str">
        <f t="shared" si="18"/>
        <v/>
      </c>
      <c r="CS90" s="7" t="str">
        <f t="shared" si="19"/>
        <v/>
      </c>
      <c r="CT90" s="7" t="str">
        <f t="shared" si="20"/>
        <v/>
      </c>
      <c r="CU90" s="7" t="str">
        <f t="shared" si="21"/>
        <v/>
      </c>
      <c r="CV90" s="7" t="str">
        <f t="shared" si="22"/>
        <v/>
      </c>
      <c r="CW90" s="7" t="str">
        <f t="shared" si="23"/>
        <v/>
      </c>
    </row>
    <row r="91" spans="1:101" s="7" customFormat="1" x14ac:dyDescent="0.25">
      <c r="A91" s="7">
        <v>41</v>
      </c>
      <c r="B91" s="7">
        <v>1.5</v>
      </c>
      <c r="C91" s="7" t="s">
        <v>146</v>
      </c>
      <c r="D91" s="7" t="s">
        <v>196</v>
      </c>
      <c r="E91" s="7" t="s">
        <v>197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26496</v>
      </c>
      <c r="P91" s="7">
        <v>9436.5748188253601</v>
      </c>
      <c r="Q91" s="7">
        <v>6</v>
      </c>
      <c r="R91" s="7">
        <v>12</v>
      </c>
      <c r="S91" s="7">
        <v>18</v>
      </c>
      <c r="T91" s="7">
        <v>0.16</v>
      </c>
      <c r="U91" s="7">
        <v>0.123</v>
      </c>
      <c r="V91" s="7">
        <v>0.16700000000000001</v>
      </c>
      <c r="W91" s="7">
        <v>0.185</v>
      </c>
      <c r="X91" s="7">
        <v>0.19600000000000001</v>
      </c>
      <c r="Y91" s="7">
        <v>0.16600000000000001</v>
      </c>
      <c r="Z91" s="7">
        <v>0.14899999999999999</v>
      </c>
      <c r="AA91" s="7">
        <v>0.109</v>
      </c>
      <c r="AB91" s="7">
        <v>0.189</v>
      </c>
      <c r="AC91" s="7">
        <v>0.27400000000000002</v>
      </c>
      <c r="AD91" s="7">
        <v>0.20399999999999999</v>
      </c>
      <c r="AE91" s="7">
        <v>0.245</v>
      </c>
      <c r="AF91" s="7">
        <v>0.29699999999999999</v>
      </c>
      <c r="AG91" s="7">
        <v>0.23899999999999999</v>
      </c>
      <c r="AH91" s="7">
        <v>0.121</v>
      </c>
      <c r="AI91" s="7">
        <v>0.186</v>
      </c>
      <c r="AJ91" s="7">
        <v>0.28399999999999997</v>
      </c>
      <c r="AK91" s="7">
        <v>0.16300000000000001</v>
      </c>
      <c r="CB91">
        <f t="shared" si="3"/>
        <v>0.15273626363331205</v>
      </c>
      <c r="CC91">
        <f t="shared" si="2"/>
        <v>1441.307179323584</v>
      </c>
      <c r="CD91" s="7">
        <f t="shared" si="4"/>
        <v>8.6709180472729408E-2</v>
      </c>
      <c r="CE91" s="7">
        <f t="shared" si="5"/>
        <v>4.6126381923769305E-2</v>
      </c>
      <c r="CF91" s="7">
        <f t="shared" si="6"/>
        <v>9.6094084578295394E-2</v>
      </c>
      <c r="CG91" s="7">
        <f t="shared" si="7"/>
        <v>0.12285399154068005</v>
      </c>
      <c r="CH91" s="7">
        <f t="shared" si="8"/>
        <v>0.14112101597166293</v>
      </c>
      <c r="CI91" s="7">
        <f t="shared" si="9"/>
        <v>9.4718875712952413E-2</v>
      </c>
      <c r="CJ91" s="7">
        <f t="shared" si="10"/>
        <v>7.3084312737679707E-2</v>
      </c>
      <c r="CK91" s="7">
        <f t="shared" si="11"/>
        <v>3.4514431011782545E-2</v>
      </c>
      <c r="CL91" s="7">
        <f t="shared" si="12"/>
        <v>0.12932588325119743</v>
      </c>
      <c r="CM91" s="7">
        <f t="shared" si="13"/>
        <v>0.31533957206721042</v>
      </c>
      <c r="CN91" s="7">
        <f t="shared" si="14"/>
        <v>0.15534222629595956</v>
      </c>
      <c r="CO91" s="7">
        <f t="shared" si="15"/>
        <v>0.24108807296837464</v>
      </c>
      <c r="CP91" s="7">
        <f t="shared" si="16"/>
        <v>0.38264196799124395</v>
      </c>
      <c r="CQ91" s="7">
        <f t="shared" si="17"/>
        <v>0.22716011790774707</v>
      </c>
      <c r="CR91" s="7">
        <f t="shared" si="18"/>
        <v>4.4346771885494372E-2</v>
      </c>
      <c r="CS91" s="7">
        <f t="shared" si="19"/>
        <v>0.12445380792000475</v>
      </c>
      <c r="CT91" s="7">
        <f t="shared" si="20"/>
        <v>0.34366961728553552</v>
      </c>
      <c r="CU91" s="7">
        <f t="shared" si="21"/>
        <v>9.0662433877297763E-2</v>
      </c>
      <c r="CV91" s="7" t="str">
        <f t="shared" si="22"/>
        <v/>
      </c>
      <c r="CW91" s="7" t="str">
        <f t="shared" si="23"/>
        <v/>
      </c>
    </row>
    <row r="92" spans="1:101" s="7" customFormat="1" x14ac:dyDescent="0.25">
      <c r="A92" s="7">
        <v>60</v>
      </c>
      <c r="B92" s="7">
        <v>1.5</v>
      </c>
      <c r="C92" s="7" t="s">
        <v>148</v>
      </c>
      <c r="D92" s="7" t="s">
        <v>196</v>
      </c>
      <c r="E92" s="7" t="s">
        <v>197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222720</v>
      </c>
      <c r="P92" s="7">
        <v>70823.154696152997</v>
      </c>
      <c r="Q92" s="7">
        <v>66</v>
      </c>
      <c r="R92" s="7">
        <v>54</v>
      </c>
      <c r="S92" s="7">
        <v>120</v>
      </c>
      <c r="T92" s="7">
        <v>0.115</v>
      </c>
      <c r="U92" s="7">
        <v>0.14499999999999999</v>
      </c>
      <c r="V92" s="7">
        <v>0.17599999999999999</v>
      </c>
      <c r="W92" s="7">
        <v>0.127</v>
      </c>
      <c r="X92" s="7">
        <v>0.13</v>
      </c>
      <c r="Y92" s="7">
        <v>0.16700000000000001</v>
      </c>
      <c r="Z92" s="7">
        <v>0.22700000000000001</v>
      </c>
      <c r="AA92" s="7">
        <v>0.125</v>
      </c>
      <c r="AB92" s="7">
        <v>0.113</v>
      </c>
      <c r="AC92" s="7">
        <v>0.16800000000000001</v>
      </c>
      <c r="AD92" s="7">
        <v>0.126</v>
      </c>
      <c r="AE92" s="7">
        <v>0.121</v>
      </c>
      <c r="AF92" s="7">
        <v>0.20599999999999999</v>
      </c>
      <c r="AG92" s="7">
        <v>0.157</v>
      </c>
      <c r="AH92" s="7">
        <v>0.14199999999999999</v>
      </c>
      <c r="AI92" s="7">
        <v>0.155</v>
      </c>
      <c r="AJ92" s="7">
        <v>0.19900000000000001</v>
      </c>
      <c r="AK92" s="7">
        <v>0.126</v>
      </c>
      <c r="AL92" s="7">
        <v>0.20599999999999999</v>
      </c>
      <c r="AM92" s="7">
        <v>0.182</v>
      </c>
      <c r="CB92">
        <f t="shared" si="3"/>
        <v>8.760195880778282E-2</v>
      </c>
      <c r="CC92">
        <f t="shared" si="2"/>
        <v>6204.2470803296255</v>
      </c>
      <c r="CD92" s="7">
        <f t="shared" si="4"/>
        <v>3.9251109741472279E-2</v>
      </c>
      <c r="CE92" s="7">
        <f t="shared" si="5"/>
        <v>6.8463694073402304E-2</v>
      </c>
      <c r="CF92" s="7">
        <f t="shared" si="6"/>
        <v>0.10899523847033353</v>
      </c>
      <c r="CG92" s="7">
        <f t="shared" si="7"/>
        <v>4.9808797095077323E-2</v>
      </c>
      <c r="CH92" s="7">
        <f t="shared" si="8"/>
        <v>5.2679442313682365E-2</v>
      </c>
      <c r="CI92" s="7">
        <f t="shared" si="9"/>
        <v>9.6094084578295394E-2</v>
      </c>
      <c r="CJ92" s="7">
        <f t="shared" si="10"/>
        <v>0.20074243157728705</v>
      </c>
      <c r="CK92" s="7">
        <f t="shared" si="11"/>
        <v>4.7946968582758688E-2</v>
      </c>
      <c r="CL92" s="7">
        <f t="shared" si="12"/>
        <v>3.7632700791829184E-2</v>
      </c>
      <c r="CM92" s="7">
        <f t="shared" si="13"/>
        <v>9.7480870620755999E-2</v>
      </c>
      <c r="CN92" s="7">
        <f t="shared" si="14"/>
        <v>4.8872711129969722E-2</v>
      </c>
      <c r="CO92" s="7">
        <f t="shared" si="15"/>
        <v>4.4346771885494372E-2</v>
      </c>
      <c r="CP92" s="7">
        <f t="shared" si="16"/>
        <v>0.1590224543410409</v>
      </c>
      <c r="CQ92" s="7">
        <f t="shared" si="17"/>
        <v>8.2858351567382138E-2</v>
      </c>
      <c r="CR92" s="7">
        <f t="shared" si="18"/>
        <v>6.5113216540746796E-2</v>
      </c>
      <c r="CS92" s="7">
        <f t="shared" si="19"/>
        <v>8.0347653641320488E-2</v>
      </c>
      <c r="CT92" s="7">
        <f t="shared" si="20"/>
        <v>0.14636070964468748</v>
      </c>
      <c r="CU92" s="7">
        <f t="shared" si="21"/>
        <v>4.8872711129969722E-2</v>
      </c>
      <c r="CV92" s="7">
        <f t="shared" si="22"/>
        <v>0.1590224543410409</v>
      </c>
      <c r="CW92" s="7">
        <f t="shared" si="23"/>
        <v>0.1181268040891094</v>
      </c>
    </row>
    <row r="93" spans="1:101" s="7" customFormat="1" x14ac:dyDescent="0.25">
      <c r="A93" s="7">
        <v>227</v>
      </c>
      <c r="B93" s="7">
        <v>1.5</v>
      </c>
      <c r="C93" s="7" t="s">
        <v>150</v>
      </c>
      <c r="D93" s="7" t="s">
        <v>196</v>
      </c>
      <c r="E93" s="7" t="s">
        <v>197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17408</v>
      </c>
      <c r="P93" s="7">
        <v>6199.8752432862302</v>
      </c>
      <c r="Q93" s="7">
        <v>14</v>
      </c>
      <c r="R93" s="7">
        <v>18</v>
      </c>
      <c r="S93" s="7">
        <v>32</v>
      </c>
      <c r="T93" s="7">
        <v>0.127</v>
      </c>
      <c r="U93" s="7">
        <v>0.221</v>
      </c>
      <c r="V93" s="7">
        <v>0.125</v>
      </c>
      <c r="W93" s="7">
        <v>0.29099999999999998</v>
      </c>
      <c r="X93" s="7">
        <v>0.152</v>
      </c>
      <c r="Y93" s="7">
        <v>0.13100000000000001</v>
      </c>
      <c r="Z93" s="7">
        <v>0.27700000000000002</v>
      </c>
      <c r="AA93" s="7">
        <v>0.105</v>
      </c>
      <c r="AB93" s="7">
        <v>0.221</v>
      </c>
      <c r="AC93" s="7">
        <v>0.14399999999999999</v>
      </c>
      <c r="AD93" s="7">
        <v>0.123</v>
      </c>
      <c r="AE93" s="7">
        <v>0.13300000000000001</v>
      </c>
      <c r="AF93" s="7">
        <v>0.189</v>
      </c>
      <c r="AG93" s="7">
        <v>0.193</v>
      </c>
      <c r="AH93" s="7">
        <v>0.25700000000000001</v>
      </c>
      <c r="AI93" s="7">
        <v>0.14499999999999999</v>
      </c>
      <c r="AJ93" s="7">
        <v>0.32</v>
      </c>
      <c r="AK93" s="7">
        <v>0.127</v>
      </c>
      <c r="AL93" s="7">
        <v>0.16</v>
      </c>
      <c r="AM93" s="7">
        <v>0.32300000000000001</v>
      </c>
      <c r="CB93">
        <f t="shared" si="3"/>
        <v>0.15798214854539833</v>
      </c>
      <c r="CC93">
        <f t="shared" si="2"/>
        <v>979.46961164778281</v>
      </c>
      <c r="CD93" s="7">
        <f t="shared" si="4"/>
        <v>4.9808797095077323E-2</v>
      </c>
      <c r="CE93" s="7">
        <f t="shared" si="5"/>
        <v>0.18824288925176821</v>
      </c>
      <c r="CF93" s="7">
        <f t="shared" si="6"/>
        <v>4.7946968582758688E-2</v>
      </c>
      <c r="CG93" s="7">
        <f t="shared" si="7"/>
        <v>0.36435127760291086</v>
      </c>
      <c r="CH93" s="7">
        <f t="shared" si="8"/>
        <v>7.666581101018384E-2</v>
      </c>
      <c r="CI93" s="7">
        <f t="shared" si="9"/>
        <v>5.3657228001919549E-2</v>
      </c>
      <c r="CJ93" s="7">
        <f t="shared" si="10"/>
        <v>0.32368946805528009</v>
      </c>
      <c r="CK93" s="7">
        <f t="shared" si="11"/>
        <v>3.1552330394801202E-2</v>
      </c>
      <c r="CL93" s="7">
        <f t="shared" si="12"/>
        <v>0.18824288925176821</v>
      </c>
      <c r="CM93" s="7">
        <f t="shared" si="13"/>
        <v>6.7335967442926234E-2</v>
      </c>
      <c r="CN93" s="7">
        <f t="shared" si="14"/>
        <v>4.6126381923769305E-2</v>
      </c>
      <c r="CO93" s="7">
        <f t="shared" si="15"/>
        <v>5.564434844158727E-2</v>
      </c>
      <c r="CP93" s="7">
        <f t="shared" si="16"/>
        <v>0.12932588325119743</v>
      </c>
      <c r="CQ93" s="7">
        <f t="shared" si="17"/>
        <v>0.1359924082921504</v>
      </c>
      <c r="CR93" s="7">
        <f t="shared" si="18"/>
        <v>0.27040618384958715</v>
      </c>
      <c r="CS93" s="7">
        <f t="shared" si="19"/>
        <v>6.8463694073402304E-2</v>
      </c>
      <c r="CT93" s="7">
        <f t="shared" si="20"/>
        <v>0.45765379828160435</v>
      </c>
      <c r="CU93" s="7">
        <f t="shared" si="21"/>
        <v>4.9808797095077323E-2</v>
      </c>
      <c r="CV93" s="7">
        <f t="shared" si="22"/>
        <v>8.6709180472729408E-2</v>
      </c>
      <c r="CW93" s="7">
        <f t="shared" si="23"/>
        <v>0.46801866853746771</v>
      </c>
    </row>
    <row r="94" spans="1:101" s="7" customFormat="1" x14ac:dyDescent="0.25">
      <c r="A94" s="7">
        <v>6</v>
      </c>
      <c r="B94" s="7">
        <v>1.5</v>
      </c>
      <c r="C94" s="7" t="s">
        <v>151</v>
      </c>
      <c r="D94" s="7" t="s">
        <v>196</v>
      </c>
      <c r="E94" s="7" t="s">
        <v>197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86320</v>
      </c>
      <c r="P94" s="7">
        <v>34935.167673722797</v>
      </c>
      <c r="Q94" s="7">
        <v>36</v>
      </c>
      <c r="R94" s="7">
        <v>47</v>
      </c>
      <c r="S94" s="7">
        <v>83</v>
      </c>
      <c r="T94" s="7">
        <v>0.10199999999999999</v>
      </c>
      <c r="U94" s="7">
        <v>0.114</v>
      </c>
      <c r="V94" s="7">
        <v>0.154</v>
      </c>
      <c r="W94" s="7">
        <v>0.14299999999999999</v>
      </c>
      <c r="X94" s="7">
        <v>0.154</v>
      </c>
      <c r="Y94" s="7">
        <v>0.19800000000000001</v>
      </c>
      <c r="Z94" s="7">
        <v>8.1000000000000003E-2</v>
      </c>
      <c r="AA94" s="7">
        <v>0.14799999999999999</v>
      </c>
      <c r="AB94" s="7">
        <v>0.13100000000000001</v>
      </c>
      <c r="AC94" s="7">
        <v>0.105</v>
      </c>
      <c r="AD94" s="7">
        <v>0.14000000000000001</v>
      </c>
      <c r="AE94" s="7">
        <v>0.08</v>
      </c>
      <c r="AF94" s="7">
        <v>9.7000000000000003E-2</v>
      </c>
      <c r="AG94" s="7">
        <v>0.14899999999999999</v>
      </c>
      <c r="AH94" s="7">
        <v>0.11799999999999999</v>
      </c>
      <c r="AI94" s="7">
        <v>0.113</v>
      </c>
      <c r="AJ94" s="7">
        <v>0.107</v>
      </c>
      <c r="AK94" s="7">
        <v>0.158</v>
      </c>
      <c r="AL94" s="7">
        <v>0.14399999999999999</v>
      </c>
      <c r="AM94" s="7">
        <v>0.20300000000000001</v>
      </c>
      <c r="CB94">
        <f t="shared" si="3"/>
        <v>6.0343868815147653E-2</v>
      </c>
      <c r="CC94">
        <f t="shared" si="2"/>
        <v>2108.1231751383157</v>
      </c>
      <c r="CD94" s="7">
        <f t="shared" si="4"/>
        <v>2.9431848234424133E-2</v>
      </c>
      <c r="CE94" s="7">
        <f t="shared" si="5"/>
        <v>3.84369365105749E-2</v>
      </c>
      <c r="CF94" s="7">
        <f t="shared" si="6"/>
        <v>7.9109174585155054E-2</v>
      </c>
      <c r="CG94" s="7">
        <f t="shared" si="7"/>
        <v>6.6219151722577044E-2</v>
      </c>
      <c r="CH94" s="7">
        <f t="shared" si="8"/>
        <v>7.9109174585155054E-2</v>
      </c>
      <c r="CI94" s="7">
        <f t="shared" si="9"/>
        <v>0.14460176027961549</v>
      </c>
      <c r="CJ94" s="7">
        <f t="shared" si="10"/>
        <v>1.6925486801151468E-2</v>
      </c>
      <c r="CK94" s="7">
        <f t="shared" si="11"/>
        <v>7.1912641255667167E-2</v>
      </c>
      <c r="CL94" s="7">
        <f t="shared" si="12"/>
        <v>5.3657228001919549E-2</v>
      </c>
      <c r="CM94" s="7">
        <f t="shared" si="13"/>
        <v>3.1552330394801202E-2</v>
      </c>
      <c r="CN94" s="7">
        <f t="shared" si="14"/>
        <v>6.2933865666250186E-2</v>
      </c>
      <c r="CO94" s="7">
        <f t="shared" si="15"/>
        <v>1.6428317663881982E-2</v>
      </c>
      <c r="CP94" s="7">
        <f t="shared" si="16"/>
        <v>2.6087309181848019E-2</v>
      </c>
      <c r="CQ94" s="7">
        <f t="shared" si="17"/>
        <v>7.3084312737679707E-2</v>
      </c>
      <c r="CR94" s="7">
        <f t="shared" si="18"/>
        <v>4.1753601378629192E-2</v>
      </c>
      <c r="CS94" s="7">
        <f t="shared" si="19"/>
        <v>3.7632700791829184E-2</v>
      </c>
      <c r="CT94" s="7">
        <f t="shared" si="20"/>
        <v>3.3014003242246778E-2</v>
      </c>
      <c r="CU94" s="7">
        <f t="shared" si="21"/>
        <v>8.4130628211740541E-2</v>
      </c>
      <c r="CV94" s="7">
        <f t="shared" si="22"/>
        <v>6.7335967442926234E-2</v>
      </c>
      <c r="CW94" s="7">
        <f t="shared" si="23"/>
        <v>0.15352093761488028</v>
      </c>
    </row>
    <row r="95" spans="1:101" s="7" customFormat="1" x14ac:dyDescent="0.25">
      <c r="A95" s="7">
        <v>24</v>
      </c>
      <c r="B95" s="7">
        <v>1.5</v>
      </c>
      <c r="C95" s="7" t="s">
        <v>152</v>
      </c>
      <c r="D95" s="7" t="s">
        <v>196</v>
      </c>
      <c r="E95" s="7" t="s">
        <v>197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1008</v>
      </c>
      <c r="P95" s="7">
        <v>535.82108802544997</v>
      </c>
      <c r="Q95" s="7">
        <v>4</v>
      </c>
      <c r="R95" s="7">
        <v>2</v>
      </c>
      <c r="S95" s="7">
        <v>6</v>
      </c>
      <c r="T95" s="7">
        <v>0.13500000000000001</v>
      </c>
      <c r="U95" s="7">
        <v>0.22800000000000001</v>
      </c>
      <c r="V95" s="7">
        <v>0.14399999999999999</v>
      </c>
      <c r="W95" s="7">
        <v>0.14499999999999999</v>
      </c>
      <c r="X95" s="7">
        <v>0.17399999999999999</v>
      </c>
      <c r="Y95" s="7">
        <v>0.107</v>
      </c>
      <c r="CB95">
        <f t="shared" si="3"/>
        <v>8.9234171616680416E-2</v>
      </c>
      <c r="CC95">
        <f t="shared" si="2"/>
        <v>47.813550924699427</v>
      </c>
      <c r="CD95" s="7">
        <f t="shared" si="4"/>
        <v>5.7673746944497048E-2</v>
      </c>
      <c r="CE95" s="7">
        <f t="shared" si="5"/>
        <v>0.2028713671663164</v>
      </c>
      <c r="CF95" s="7">
        <f t="shared" si="6"/>
        <v>6.7335967442926234E-2</v>
      </c>
      <c r="CG95" s="7">
        <f t="shared" si="7"/>
        <v>6.8463694073402304E-2</v>
      </c>
      <c r="CH95" s="7">
        <f t="shared" si="8"/>
        <v>0.10604625083069369</v>
      </c>
      <c r="CI95" s="7">
        <f t="shared" si="9"/>
        <v>3.3014003242246778E-2</v>
      </c>
      <c r="CJ95" s="7" t="str">
        <f t="shared" si="10"/>
        <v/>
      </c>
      <c r="CK95" s="7" t="str">
        <f t="shared" si="11"/>
        <v/>
      </c>
      <c r="CL95" s="7" t="str">
        <f t="shared" si="12"/>
        <v/>
      </c>
      <c r="CM95" s="7" t="str">
        <f t="shared" si="13"/>
        <v/>
      </c>
      <c r="CN95" s="7" t="str">
        <f t="shared" si="14"/>
        <v/>
      </c>
      <c r="CO95" s="7" t="str">
        <f t="shared" si="15"/>
        <v/>
      </c>
      <c r="CP95" s="7" t="str">
        <f t="shared" si="16"/>
        <v/>
      </c>
      <c r="CQ95" s="7" t="str">
        <f t="shared" si="17"/>
        <v/>
      </c>
      <c r="CR95" s="7" t="str">
        <f t="shared" si="18"/>
        <v/>
      </c>
      <c r="CS95" s="7" t="str">
        <f t="shared" si="19"/>
        <v/>
      </c>
      <c r="CT95" s="7" t="str">
        <f t="shared" si="20"/>
        <v/>
      </c>
      <c r="CU95" s="7" t="str">
        <f t="shared" si="21"/>
        <v/>
      </c>
      <c r="CV95" s="7" t="str">
        <f t="shared" si="22"/>
        <v/>
      </c>
      <c r="CW95" s="7" t="str">
        <f t="shared" si="23"/>
        <v/>
      </c>
    </row>
    <row r="96" spans="1:101" x14ac:dyDescent="0.25">
      <c r="A96" s="6">
        <v>307</v>
      </c>
      <c r="B96" s="6">
        <v>2</v>
      </c>
      <c r="C96" t="s">
        <v>117</v>
      </c>
      <c r="D96" t="s">
        <v>231</v>
      </c>
      <c r="E96" t="s">
        <v>192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1</v>
      </c>
      <c r="P96">
        <v>0.21869452846703499</v>
      </c>
      <c r="Q96">
        <v>1</v>
      </c>
      <c r="R96">
        <v>-1</v>
      </c>
      <c r="S96">
        <v>1</v>
      </c>
      <c r="T96">
        <v>0.16600000000000001</v>
      </c>
      <c r="CB96">
        <f t="shared" si="3"/>
        <v>4.8030108000000002E-2</v>
      </c>
      <c r="CC96">
        <f t="shared" si="2"/>
        <v>1.0503921821280765E-2</v>
      </c>
      <c r="CD96">
        <v>4.8030108000000002E-2</v>
      </c>
    </row>
    <row r="97" spans="1:101" x14ac:dyDescent="0.25">
      <c r="A97" s="6">
        <v>332</v>
      </c>
      <c r="B97" s="6">
        <v>2</v>
      </c>
      <c r="C97" t="s">
        <v>119</v>
      </c>
      <c r="D97" t="s">
        <v>231</v>
      </c>
      <c r="E97" t="s">
        <v>192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31.25</v>
      </c>
      <c r="P97">
        <v>16.728499379008301</v>
      </c>
      <c r="Q97">
        <v>1</v>
      </c>
      <c r="R97">
        <v>-1</v>
      </c>
      <c r="S97">
        <v>1</v>
      </c>
      <c r="T97">
        <v>0.107</v>
      </c>
      <c r="CB97">
        <f t="shared" si="3"/>
        <v>1.2862951500000001E-2</v>
      </c>
      <c r="CC97">
        <f t="shared" si="2"/>
        <v>0.21517787617996392</v>
      </c>
      <c r="CD97">
        <v>1.2862951500000001E-2</v>
      </c>
    </row>
    <row r="98" spans="1:101" x14ac:dyDescent="0.25">
      <c r="A98" s="6">
        <v>277</v>
      </c>
      <c r="B98" s="6">
        <v>2</v>
      </c>
      <c r="C98" t="s">
        <v>123</v>
      </c>
      <c r="D98" t="s">
        <v>231</v>
      </c>
      <c r="E98" t="s">
        <v>192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1</v>
      </c>
      <c r="P98">
        <v>0.28692722134874998</v>
      </c>
      <c r="Q98">
        <v>1</v>
      </c>
      <c r="R98">
        <v>-1</v>
      </c>
      <c r="S98">
        <v>1</v>
      </c>
      <c r="T98">
        <v>0.20499999999999999</v>
      </c>
      <c r="CB98">
        <f t="shared" si="3"/>
        <v>9.0458812499999999E-2</v>
      </c>
      <c r="CC98">
        <f t="shared" si="2"/>
        <v>2.5955095717132573E-2</v>
      </c>
      <c r="CD98">
        <v>9.0458812499999999E-2</v>
      </c>
    </row>
    <row r="99" spans="1:101" x14ac:dyDescent="0.25">
      <c r="A99" s="6">
        <v>290</v>
      </c>
      <c r="B99" s="6">
        <v>2</v>
      </c>
      <c r="C99" t="s">
        <v>129</v>
      </c>
      <c r="D99" t="s">
        <v>231</v>
      </c>
      <c r="E99" t="s">
        <v>192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2.25</v>
      </c>
      <c r="P99">
        <v>1.4672414728061101</v>
      </c>
      <c r="Q99">
        <v>1</v>
      </c>
      <c r="R99">
        <v>-1</v>
      </c>
      <c r="S99">
        <v>1</v>
      </c>
      <c r="T99">
        <v>8.4000000000000005E-2</v>
      </c>
      <c r="CB99">
        <f t="shared" si="3"/>
        <v>6.2233920000000003E-3</v>
      </c>
      <c r="CC99">
        <f t="shared" si="2"/>
        <v>9.1312188439297629E-3</v>
      </c>
      <c r="CD99">
        <v>6.2233920000000003E-3</v>
      </c>
    </row>
    <row r="100" spans="1:101" s="7" customFormat="1" x14ac:dyDescent="0.25">
      <c r="A100" s="7">
        <v>241</v>
      </c>
      <c r="B100" s="7">
        <v>1.5</v>
      </c>
      <c r="C100" s="7" t="s">
        <v>112</v>
      </c>
      <c r="D100" s="7" t="s">
        <v>198</v>
      </c>
      <c r="E100" s="7" t="s">
        <v>199</v>
      </c>
      <c r="F100" s="7">
        <v>-1</v>
      </c>
      <c r="G100" s="7">
        <v>-1</v>
      </c>
      <c r="H100" s="7">
        <v>-1</v>
      </c>
      <c r="I100" s="7">
        <v>-1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12575.25</v>
      </c>
      <c r="P100" s="7">
        <v>1911.11310395438</v>
      </c>
      <c r="Q100" s="7">
        <v>243</v>
      </c>
      <c r="R100" s="7">
        <v>-1</v>
      </c>
      <c r="S100" s="7">
        <v>243</v>
      </c>
      <c r="T100" s="7">
        <v>6.9000000000000006E-2</v>
      </c>
      <c r="U100" s="7">
        <v>7.5999999999999998E-2</v>
      </c>
      <c r="V100" s="7">
        <v>7.1999999999999995E-2</v>
      </c>
      <c r="W100" s="7">
        <v>7.0000000000000007E-2</v>
      </c>
      <c r="X100" s="7">
        <v>7.4999999999999997E-2</v>
      </c>
      <c r="Y100" s="7">
        <v>8.8999999999999996E-2</v>
      </c>
      <c r="Z100" s="7">
        <v>7.3999999999999996E-2</v>
      </c>
      <c r="AA100" s="7">
        <v>8.8999999999999996E-2</v>
      </c>
      <c r="AB100" s="7">
        <v>7.1999999999999995E-2</v>
      </c>
      <c r="AC100" s="7">
        <v>6.9000000000000006E-2</v>
      </c>
      <c r="AD100" s="7">
        <v>0.08</v>
      </c>
      <c r="AE100" s="7">
        <v>6.9000000000000006E-2</v>
      </c>
      <c r="AF100" s="7">
        <v>7.0000000000000007E-2</v>
      </c>
      <c r="AG100" s="7">
        <v>7.0999999999999994E-2</v>
      </c>
      <c r="AH100" s="7">
        <v>7.0999999999999994E-2</v>
      </c>
      <c r="AI100" s="7">
        <v>7.6999999999999999E-2</v>
      </c>
      <c r="AJ100" s="7">
        <v>7.2999999999999995E-2</v>
      </c>
      <c r="AK100" s="7">
        <v>8.1000000000000003E-2</v>
      </c>
      <c r="AL100" s="7">
        <v>7.0000000000000007E-2</v>
      </c>
      <c r="AM100" s="7">
        <v>7.0999999999999994E-2</v>
      </c>
      <c r="CB100">
        <f t="shared" si="3"/>
        <v>9.2437846837787024E-2</v>
      </c>
      <c r="CC100">
        <f t="shared" si="2"/>
        <v>176.65918039302272</v>
      </c>
      <c r="CD100" s="7">
        <f t="shared" ref="CD100:CD119" si="24">IF(T100&gt;0,0.025*EXP(17.5*T100),"")</f>
        <v>8.3627785295740331E-2</v>
      </c>
      <c r="CE100" s="7">
        <f t="shared" ref="CE100:CE119" si="25">IF(U100&gt;0,0.025*EXP(17.5*U100),"")</f>
        <v>9.4526084689219525E-2</v>
      </c>
      <c r="CF100" s="7">
        <f t="shared" ref="CF100:CF119" si="26">IF(V100&gt;0,0.025*EXP(17.5*V100),"")</f>
        <v>8.8135537184134569E-2</v>
      </c>
      <c r="CG100" s="7">
        <f t="shared" ref="CG100:CG119" si="27">IF(W100&gt;0,0.025*EXP(17.5*W100),"")</f>
        <v>8.5104152069770483E-2</v>
      </c>
      <c r="CH100" s="7">
        <f t="shared" ref="CH100:CH119" si="28">IF(X100&gt;0,0.025*EXP(17.5*X100),"")</f>
        <v>9.2886268448527598E-2</v>
      </c>
      <c r="CI100" s="7">
        <f t="shared" ref="CI100:CI119" si="29">IF(Y100&gt;0,0.025*EXP(17.5*Y100),"")</f>
        <v>0.11867347627390945</v>
      </c>
      <c r="CJ100" s="7">
        <f t="shared" ref="CJ100:CJ119" si="30">IF(Z100&gt;0,0.025*EXP(17.5*Z100),"")</f>
        <v>9.1274899353531794E-2</v>
      </c>
      <c r="CK100" s="7">
        <f t="shared" ref="CK100:CK119" si="31">IF(AA100&gt;0,0.025*EXP(17.5*AA100),"")</f>
        <v>0.11867347627390945</v>
      </c>
      <c r="CL100" s="7">
        <f t="shared" ref="CL100:CL119" si="32">IF(AB100&gt;0,0.025*EXP(17.5*AB100),"")</f>
        <v>8.8135537184134569E-2</v>
      </c>
      <c r="CM100" s="7">
        <f t="shared" ref="CM100:CM119" si="33">IF(AC100&gt;0,0.025*EXP(17.5*AC100),"")</f>
        <v>8.3627785295740331E-2</v>
      </c>
      <c r="CN100" s="7">
        <f t="shared" ref="CN100:CN119" si="34">IF(AD100&gt;0,0.025*EXP(17.5*AD100),"")</f>
        <v>0.1013799991711169</v>
      </c>
      <c r="CO100" s="7">
        <f t="shared" ref="CO100:CO119" si="35">IF(AE100&gt;0,0.025*EXP(17.5*AE100),"")</f>
        <v>8.3627785295740331E-2</v>
      </c>
      <c r="CP100" s="7">
        <f t="shared" ref="CP100:CP119" si="36">IF(AF100&gt;0,0.025*EXP(17.5*AF100),"")</f>
        <v>8.5104152069770483E-2</v>
      </c>
      <c r="CQ100" s="7">
        <f t="shared" ref="CQ100:CQ119" si="37">IF(AG100&gt;0,0.025*EXP(17.5*AG100),"")</f>
        <v>8.6606582655532005E-2</v>
      </c>
      <c r="CR100" s="7">
        <f t="shared" ref="CR100:CR119" si="38">IF(AH100&gt;0,0.025*EXP(17.5*AH100),"")</f>
        <v>8.6606582655532005E-2</v>
      </c>
      <c r="CS100" s="7">
        <f t="shared" ref="CS100:CS119" si="39">IF(AI100&gt;0,0.025*EXP(17.5*AI100),"")</f>
        <v>9.619485028214779E-2</v>
      </c>
      <c r="CT100" s="7">
        <f t="shared" ref="CT100:CT119" si="40">IF(AJ100&gt;0,0.025*EXP(17.5*AJ100),"")</f>
        <v>8.9691483909852543E-2</v>
      </c>
      <c r="CU100" s="7">
        <f t="shared" ref="CU100:CU119" si="41">IF(AK100&gt;0,0.025*EXP(17.5*AK100),"")</f>
        <v>0.10316976392212798</v>
      </c>
      <c r="CV100" s="7">
        <f t="shared" ref="CV100:CV119" si="42">IF(AL100&gt;0,0.025*EXP(17.5*AL100),"")</f>
        <v>8.5104152069770483E-2</v>
      </c>
      <c r="CW100" s="7">
        <f t="shared" ref="CW100:CW119" si="43">IF(AM100&gt;0,0.025*EXP(17.5*AM100),"")</f>
        <v>8.6606582655532005E-2</v>
      </c>
    </row>
    <row r="101" spans="1:101" s="7" customFormat="1" x14ac:dyDescent="0.25">
      <c r="A101" s="7">
        <v>319</v>
      </c>
      <c r="B101" s="7">
        <v>1.5</v>
      </c>
      <c r="C101" s="7" t="s">
        <v>115</v>
      </c>
      <c r="D101" s="7" t="s">
        <v>198</v>
      </c>
      <c r="E101" s="7" t="s">
        <v>199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4</v>
      </c>
      <c r="P101" s="7">
        <v>0.67671514469044902</v>
      </c>
      <c r="Q101" s="7">
        <v>4</v>
      </c>
      <c r="R101" s="7">
        <v>-1</v>
      </c>
      <c r="S101" s="7">
        <v>4</v>
      </c>
      <c r="T101" s="7">
        <v>0.11600000000000001</v>
      </c>
      <c r="U101" s="7">
        <v>8.1000000000000003E-2</v>
      </c>
      <c r="V101" s="7">
        <v>0.111</v>
      </c>
      <c r="W101" s="7">
        <v>8.6999999999999994E-2</v>
      </c>
      <c r="CB101">
        <f t="shared" si="3"/>
        <v>0.14562947866379286</v>
      </c>
      <c r="CC101">
        <f t="shared" si="2"/>
        <v>9.8549673725163239E-2</v>
      </c>
      <c r="CD101" s="7">
        <f t="shared" si="24"/>
        <v>0.19035215896949942</v>
      </c>
      <c r="CE101" s="7">
        <f t="shared" si="25"/>
        <v>0.10316976392212798</v>
      </c>
      <c r="CF101" s="7">
        <f t="shared" si="26"/>
        <v>0.17440424030734322</v>
      </c>
      <c r="CG101" s="7">
        <f t="shared" si="27"/>
        <v>0.11459175145620078</v>
      </c>
      <c r="CH101" s="7" t="str">
        <f t="shared" si="28"/>
        <v/>
      </c>
      <c r="CI101" s="7" t="str">
        <f t="shared" si="29"/>
        <v/>
      </c>
      <c r="CJ101" s="7" t="str">
        <f t="shared" si="30"/>
        <v/>
      </c>
      <c r="CK101" s="7" t="str">
        <f t="shared" si="31"/>
        <v/>
      </c>
      <c r="CL101" s="7" t="str">
        <f t="shared" si="32"/>
        <v/>
      </c>
      <c r="CM101" s="7" t="str">
        <f t="shared" si="33"/>
        <v/>
      </c>
      <c r="CN101" s="7" t="str">
        <f t="shared" si="34"/>
        <v/>
      </c>
      <c r="CO101" s="7" t="str">
        <f t="shared" si="35"/>
        <v/>
      </c>
      <c r="CP101" s="7" t="str">
        <f t="shared" si="36"/>
        <v/>
      </c>
      <c r="CQ101" s="7" t="str">
        <f t="shared" si="37"/>
        <v/>
      </c>
      <c r="CR101" s="7" t="str">
        <f t="shared" si="38"/>
        <v/>
      </c>
      <c r="CS101" s="7" t="str">
        <f t="shared" si="39"/>
        <v/>
      </c>
      <c r="CT101" s="7" t="str">
        <f t="shared" si="40"/>
        <v/>
      </c>
      <c r="CU101" s="7" t="str">
        <f t="shared" si="41"/>
        <v/>
      </c>
      <c r="CV101" s="7" t="str">
        <f t="shared" si="42"/>
        <v/>
      </c>
      <c r="CW101" s="7" t="str">
        <f t="shared" si="43"/>
        <v/>
      </c>
    </row>
    <row r="102" spans="1:101" s="7" customFormat="1" x14ac:dyDescent="0.25">
      <c r="A102" s="7">
        <v>333</v>
      </c>
      <c r="B102" s="7">
        <v>1.5</v>
      </c>
      <c r="C102" s="7" t="s">
        <v>119</v>
      </c>
      <c r="D102" s="7" t="s">
        <v>198</v>
      </c>
      <c r="E102" s="7" t="s">
        <v>199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62.5</v>
      </c>
      <c r="P102" s="7">
        <v>33.456998758016603</v>
      </c>
      <c r="Q102" s="7">
        <v>2</v>
      </c>
      <c r="R102" s="7">
        <v>-1</v>
      </c>
      <c r="S102" s="7">
        <v>2</v>
      </c>
      <c r="T102" s="7">
        <v>8.5000000000000006E-2</v>
      </c>
      <c r="U102" s="7">
        <v>7.0000000000000007E-2</v>
      </c>
      <c r="CB102">
        <f t="shared" si="3"/>
        <v>9.7877283967159417E-2</v>
      </c>
      <c r="CC102">
        <f t="shared" si="2"/>
        <v>3.2746801681272908</v>
      </c>
      <c r="CD102" s="7">
        <f t="shared" si="24"/>
        <v>0.11065041586454837</v>
      </c>
      <c r="CE102" s="7">
        <f t="shared" si="25"/>
        <v>8.5104152069770483E-2</v>
      </c>
      <c r="CF102" s="7" t="str">
        <f t="shared" si="26"/>
        <v/>
      </c>
      <c r="CG102" s="7" t="str">
        <f t="shared" si="27"/>
        <v/>
      </c>
      <c r="CH102" s="7" t="str">
        <f t="shared" si="28"/>
        <v/>
      </c>
      <c r="CI102" s="7" t="str">
        <f t="shared" si="29"/>
        <v/>
      </c>
      <c r="CJ102" s="7" t="str">
        <f t="shared" si="30"/>
        <v/>
      </c>
      <c r="CK102" s="7" t="str">
        <f t="shared" si="31"/>
        <v/>
      </c>
      <c r="CL102" s="7" t="str">
        <f t="shared" si="32"/>
        <v/>
      </c>
      <c r="CM102" s="7" t="str">
        <f t="shared" si="33"/>
        <v/>
      </c>
      <c r="CN102" s="7" t="str">
        <f t="shared" si="34"/>
        <v/>
      </c>
      <c r="CO102" s="7" t="str">
        <f t="shared" si="35"/>
        <v/>
      </c>
      <c r="CP102" s="7" t="str">
        <f t="shared" si="36"/>
        <v/>
      </c>
      <c r="CQ102" s="7" t="str">
        <f t="shared" si="37"/>
        <v/>
      </c>
      <c r="CR102" s="7" t="str">
        <f t="shared" si="38"/>
        <v/>
      </c>
      <c r="CS102" s="7" t="str">
        <f t="shared" si="39"/>
        <v/>
      </c>
      <c r="CT102" s="7" t="str">
        <f t="shared" si="40"/>
        <v/>
      </c>
      <c r="CU102" s="7" t="str">
        <f t="shared" si="41"/>
        <v/>
      </c>
      <c r="CV102" s="7" t="str">
        <f t="shared" si="42"/>
        <v/>
      </c>
      <c r="CW102" s="7" t="str">
        <f t="shared" si="43"/>
        <v/>
      </c>
    </row>
    <row r="103" spans="1:101" s="7" customFormat="1" x14ac:dyDescent="0.25">
      <c r="A103" s="7">
        <v>350</v>
      </c>
      <c r="B103" s="7">
        <v>1.5</v>
      </c>
      <c r="C103" s="7" t="s">
        <v>121</v>
      </c>
      <c r="D103" s="7" t="s">
        <v>198</v>
      </c>
      <c r="E103" s="7" t="s">
        <v>199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2351.25</v>
      </c>
      <c r="P103" s="7">
        <v>274.689588434955</v>
      </c>
      <c r="Q103" s="7">
        <v>171</v>
      </c>
      <c r="R103" s="7">
        <v>-1</v>
      </c>
      <c r="S103" s="7">
        <v>171</v>
      </c>
      <c r="T103" s="7">
        <v>7.8E-2</v>
      </c>
      <c r="U103" s="7">
        <v>8.6999999999999994E-2</v>
      </c>
      <c r="V103" s="7">
        <v>9.0999999999999998E-2</v>
      </c>
      <c r="W103" s="7">
        <v>8.4000000000000005E-2</v>
      </c>
      <c r="X103" s="7">
        <v>0.09</v>
      </c>
      <c r="Y103" s="7">
        <v>8.1000000000000003E-2</v>
      </c>
      <c r="Z103" s="7">
        <v>8.1000000000000003E-2</v>
      </c>
      <c r="AA103" s="7">
        <v>7.9000000000000001E-2</v>
      </c>
      <c r="AB103" s="7">
        <v>8.3000000000000004E-2</v>
      </c>
      <c r="AC103" s="7">
        <v>8.5999999999999993E-2</v>
      </c>
      <c r="AD103" s="7">
        <v>8.7999999999999995E-2</v>
      </c>
      <c r="AE103" s="7">
        <v>0.08</v>
      </c>
      <c r="AF103" s="7">
        <v>0.09</v>
      </c>
      <c r="AG103" s="7">
        <v>7.5999999999999998E-2</v>
      </c>
      <c r="AH103" s="7">
        <v>8.4000000000000005E-2</v>
      </c>
      <c r="AI103" s="7">
        <v>7.9000000000000001E-2</v>
      </c>
      <c r="AJ103" s="7">
        <v>0.128</v>
      </c>
      <c r="AK103" s="7">
        <v>0.08</v>
      </c>
      <c r="AL103" s="7">
        <v>7.3999999999999996E-2</v>
      </c>
      <c r="AM103" s="7">
        <v>7.8E-2</v>
      </c>
      <c r="CB103">
        <f t="shared" si="3"/>
        <v>0.11286584647235709</v>
      </c>
      <c r="CC103">
        <f t="shared" si="2"/>
        <v>31.003072915854588</v>
      </c>
      <c r="CD103" s="7">
        <f t="shared" si="24"/>
        <v>9.7893076299818055E-2</v>
      </c>
      <c r="CE103" s="7">
        <f t="shared" si="25"/>
        <v>0.11459175145620078</v>
      </c>
      <c r="CF103" s="7">
        <f t="shared" si="26"/>
        <v>0.12290059094102512</v>
      </c>
      <c r="CG103" s="7">
        <f t="shared" si="27"/>
        <v>0.10873087852656856</v>
      </c>
      <c r="CH103" s="7">
        <f t="shared" si="28"/>
        <v>0.12076854045275696</v>
      </c>
      <c r="CI103" s="7">
        <f t="shared" si="29"/>
        <v>0.10316976392212798</v>
      </c>
      <c r="CJ103" s="7">
        <f t="shared" si="30"/>
        <v>0.10316976392212798</v>
      </c>
      <c r="CK103" s="7">
        <f t="shared" si="31"/>
        <v>9.962128283722127E-2</v>
      </c>
      <c r="CL103" s="7">
        <f t="shared" si="32"/>
        <v>0.10684464086996007</v>
      </c>
      <c r="CM103" s="7">
        <f t="shared" si="33"/>
        <v>0.11260384075721208</v>
      </c>
      <c r="CN103" s="7">
        <f t="shared" si="34"/>
        <v>0.11661475677470312</v>
      </c>
      <c r="CO103" s="7">
        <f t="shared" si="35"/>
        <v>0.1013799991711169</v>
      </c>
      <c r="CP103" s="7">
        <f t="shared" si="36"/>
        <v>0.12076854045275696</v>
      </c>
      <c r="CQ103" s="7">
        <f t="shared" si="37"/>
        <v>9.4526084689219525E-2</v>
      </c>
      <c r="CR103" s="7">
        <f t="shared" si="38"/>
        <v>0.10873087852656856</v>
      </c>
      <c r="CS103" s="7">
        <f t="shared" si="39"/>
        <v>9.962128283722127E-2</v>
      </c>
      <c r="CT103" s="7">
        <f t="shared" si="40"/>
        <v>0.23483328218606961</v>
      </c>
      <c r="CU103" s="7">
        <f t="shared" si="41"/>
        <v>0.1013799991711169</v>
      </c>
      <c r="CV103" s="7">
        <f t="shared" si="42"/>
        <v>9.1274899353531794E-2</v>
      </c>
      <c r="CW103" s="7">
        <f t="shared" si="43"/>
        <v>9.7893076299818055E-2</v>
      </c>
    </row>
    <row r="104" spans="1:101" s="7" customFormat="1" x14ac:dyDescent="0.25">
      <c r="A104" s="7">
        <v>267</v>
      </c>
      <c r="B104" s="7">
        <v>1.5</v>
      </c>
      <c r="C104" s="7" t="s">
        <v>125</v>
      </c>
      <c r="D104" s="7" t="s">
        <v>198</v>
      </c>
      <c r="E104" s="7" t="s">
        <v>199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1110</v>
      </c>
      <c r="P104" s="7">
        <v>135.41208150387399</v>
      </c>
      <c r="Q104" s="7">
        <v>185</v>
      </c>
      <c r="R104" s="7">
        <v>-1</v>
      </c>
      <c r="S104" s="7">
        <v>185</v>
      </c>
      <c r="T104" s="7">
        <v>7.5999999999999998E-2</v>
      </c>
      <c r="U104" s="7">
        <v>7.6999999999999999E-2</v>
      </c>
      <c r="V104" s="7">
        <v>7.6999999999999999E-2</v>
      </c>
      <c r="W104" s="7">
        <v>8.4000000000000005E-2</v>
      </c>
      <c r="X104" s="7">
        <v>7.2999999999999995E-2</v>
      </c>
      <c r="Y104" s="7">
        <v>8.4000000000000005E-2</v>
      </c>
      <c r="Z104" s="7">
        <v>7.8E-2</v>
      </c>
      <c r="AA104" s="7">
        <v>7.6999999999999999E-2</v>
      </c>
      <c r="AB104" s="7">
        <v>8.7999999999999995E-2</v>
      </c>
      <c r="AC104" s="7">
        <v>8.1000000000000003E-2</v>
      </c>
      <c r="AD104" s="7">
        <v>8.5999999999999993E-2</v>
      </c>
      <c r="AE104" s="7">
        <v>7.9000000000000001E-2</v>
      </c>
      <c r="AF104" s="7">
        <v>7.9000000000000001E-2</v>
      </c>
      <c r="AG104" s="7">
        <v>7.8E-2</v>
      </c>
      <c r="AH104" s="7">
        <v>7.2999999999999995E-2</v>
      </c>
      <c r="AI104" s="7">
        <v>8.4000000000000005E-2</v>
      </c>
      <c r="AJ104" s="7">
        <v>8.8999999999999996E-2</v>
      </c>
      <c r="AK104" s="7">
        <v>7.8E-2</v>
      </c>
      <c r="AL104" s="7">
        <v>7.8E-2</v>
      </c>
      <c r="AM104" s="7">
        <v>8.5000000000000006E-2</v>
      </c>
      <c r="CB104">
        <f t="shared" si="3"/>
        <v>0.10206066817006447</v>
      </c>
      <c r="CC104">
        <f t="shared" si="2"/>
        <v>13.820247516584608</v>
      </c>
      <c r="CD104" s="7">
        <f t="shared" si="24"/>
        <v>9.4526084689219525E-2</v>
      </c>
      <c r="CE104" s="7">
        <f t="shared" si="25"/>
        <v>9.619485028214779E-2</v>
      </c>
      <c r="CF104" s="7">
        <f t="shared" si="26"/>
        <v>9.619485028214779E-2</v>
      </c>
      <c r="CG104" s="7">
        <f t="shared" si="27"/>
        <v>0.10873087852656856</v>
      </c>
      <c r="CH104" s="7">
        <f t="shared" si="28"/>
        <v>8.9691483909852543E-2</v>
      </c>
      <c r="CI104" s="7">
        <f t="shared" si="29"/>
        <v>0.10873087852656856</v>
      </c>
      <c r="CJ104" s="7">
        <f t="shared" si="30"/>
        <v>9.7893076299818055E-2</v>
      </c>
      <c r="CK104" s="7">
        <f t="shared" si="31"/>
        <v>9.619485028214779E-2</v>
      </c>
      <c r="CL104" s="7">
        <f t="shared" si="32"/>
        <v>0.11661475677470312</v>
      </c>
      <c r="CM104" s="7">
        <f t="shared" si="33"/>
        <v>0.10316976392212798</v>
      </c>
      <c r="CN104" s="7">
        <f t="shared" si="34"/>
        <v>0.11260384075721208</v>
      </c>
      <c r="CO104" s="7">
        <f t="shared" si="35"/>
        <v>9.962128283722127E-2</v>
      </c>
      <c r="CP104" s="7">
        <f t="shared" si="36"/>
        <v>9.962128283722127E-2</v>
      </c>
      <c r="CQ104" s="7">
        <f t="shared" si="37"/>
        <v>9.7893076299818055E-2</v>
      </c>
      <c r="CR104" s="7">
        <f t="shared" si="38"/>
        <v>8.9691483909852543E-2</v>
      </c>
      <c r="CS104" s="7">
        <f t="shared" si="39"/>
        <v>0.10873087852656856</v>
      </c>
      <c r="CT104" s="7">
        <f t="shared" si="40"/>
        <v>0.11867347627390945</v>
      </c>
      <c r="CU104" s="7">
        <f t="shared" si="41"/>
        <v>9.7893076299818055E-2</v>
      </c>
      <c r="CV104" s="7">
        <f t="shared" si="42"/>
        <v>9.7893076299818055E-2</v>
      </c>
      <c r="CW104" s="7">
        <f t="shared" si="43"/>
        <v>0.11065041586454837</v>
      </c>
    </row>
    <row r="105" spans="1:101" s="7" customFormat="1" x14ac:dyDescent="0.25">
      <c r="A105" s="7">
        <v>255</v>
      </c>
      <c r="B105" s="7">
        <v>1.5</v>
      </c>
      <c r="C105" s="7" t="s">
        <v>127</v>
      </c>
      <c r="D105" s="7" t="s">
        <v>198</v>
      </c>
      <c r="E105" s="7" t="s">
        <v>199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42</v>
      </c>
      <c r="P105" s="7">
        <v>21.519541601156298</v>
      </c>
      <c r="Q105" s="7">
        <v>42</v>
      </c>
      <c r="R105" s="7">
        <v>-1</v>
      </c>
      <c r="S105" s="7">
        <v>42</v>
      </c>
      <c r="T105" s="7">
        <v>7.8E-2</v>
      </c>
      <c r="U105" s="7">
        <v>7.3999999999999996E-2</v>
      </c>
      <c r="V105" s="7">
        <v>7.1999999999999995E-2</v>
      </c>
      <c r="W105" s="7">
        <v>7.6999999999999999E-2</v>
      </c>
      <c r="X105" s="7">
        <v>0.126</v>
      </c>
      <c r="Y105" s="7">
        <v>7.0000000000000007E-2</v>
      </c>
      <c r="Z105" s="7">
        <v>7.9000000000000001E-2</v>
      </c>
      <c r="AA105" s="7">
        <v>7.3999999999999996E-2</v>
      </c>
      <c r="AB105" s="7">
        <v>8.3000000000000004E-2</v>
      </c>
      <c r="AC105" s="7">
        <v>0.11899999999999999</v>
      </c>
      <c r="AD105" s="7">
        <v>0.14399999999999999</v>
      </c>
      <c r="AE105" s="7">
        <v>7.6999999999999999E-2</v>
      </c>
      <c r="AF105" s="7">
        <v>6.8000000000000005E-2</v>
      </c>
      <c r="AG105" s="7">
        <v>6.5000000000000002E-2</v>
      </c>
      <c r="AH105" s="7">
        <v>0.10199999999999999</v>
      </c>
      <c r="AI105" s="7">
        <v>0.114</v>
      </c>
      <c r="AJ105" s="7">
        <v>7.5999999999999998E-2</v>
      </c>
      <c r="AK105" s="7">
        <v>8.1000000000000003E-2</v>
      </c>
      <c r="AL105" s="7">
        <v>6.9000000000000006E-2</v>
      </c>
      <c r="AM105" s="7">
        <v>6.9000000000000006E-2</v>
      </c>
      <c r="CB105">
        <f t="shared" si="3"/>
        <v>0.12242595381548298</v>
      </c>
      <c r="CC105">
        <f t="shared" si="2"/>
        <v>2.6345504061935254</v>
      </c>
      <c r="CD105" s="7">
        <f t="shared" si="24"/>
        <v>9.7893076299818055E-2</v>
      </c>
      <c r="CE105" s="7">
        <f t="shared" si="25"/>
        <v>9.1274899353531794E-2</v>
      </c>
      <c r="CF105" s="7">
        <f t="shared" si="26"/>
        <v>8.8135537184134569E-2</v>
      </c>
      <c r="CG105" s="7">
        <f t="shared" si="27"/>
        <v>9.619485028214779E-2</v>
      </c>
      <c r="CH105" s="7">
        <f t="shared" si="28"/>
        <v>0.2267562891964103</v>
      </c>
      <c r="CI105" s="7">
        <f t="shared" si="29"/>
        <v>8.5104152069770483E-2</v>
      </c>
      <c r="CJ105" s="7">
        <f t="shared" si="30"/>
        <v>9.962128283722127E-2</v>
      </c>
      <c r="CK105" s="7">
        <f t="shared" si="31"/>
        <v>9.1274899353531794E-2</v>
      </c>
      <c r="CL105" s="7">
        <f t="shared" si="32"/>
        <v>0.10684464086996007</v>
      </c>
      <c r="CM105" s="7">
        <f t="shared" si="33"/>
        <v>0.20061262803513641</v>
      </c>
      <c r="CN105" s="7">
        <f t="shared" si="34"/>
        <v>0.31071491658943862</v>
      </c>
      <c r="CO105" s="7">
        <f t="shared" si="35"/>
        <v>9.619485028214779E-2</v>
      </c>
      <c r="CP105" s="7">
        <f t="shared" si="36"/>
        <v>8.2177030184577976E-2</v>
      </c>
      <c r="CQ105" s="7">
        <f t="shared" si="37"/>
        <v>7.7974030182169807E-2</v>
      </c>
      <c r="CR105" s="7">
        <f t="shared" si="38"/>
        <v>0.14898949868956468</v>
      </c>
      <c r="CS105" s="7">
        <f t="shared" si="39"/>
        <v>0.18380507569726992</v>
      </c>
      <c r="CT105" s="7">
        <f t="shared" si="40"/>
        <v>9.4526084689219525E-2</v>
      </c>
      <c r="CU105" s="7">
        <f t="shared" si="41"/>
        <v>0.10316976392212798</v>
      </c>
      <c r="CV105" s="7">
        <f t="shared" si="42"/>
        <v>8.3627785295740331E-2</v>
      </c>
      <c r="CW105" s="7">
        <f t="shared" si="43"/>
        <v>8.3627785295740331E-2</v>
      </c>
    </row>
    <row r="106" spans="1:101" s="7" customFormat="1" x14ac:dyDescent="0.25">
      <c r="A106" s="7">
        <v>291</v>
      </c>
      <c r="B106" s="7">
        <v>1.5</v>
      </c>
      <c r="C106" s="7" t="s">
        <v>129</v>
      </c>
      <c r="D106" s="7" t="s">
        <v>198</v>
      </c>
      <c r="E106" s="7" t="s">
        <v>199</v>
      </c>
      <c r="F106" s="7">
        <v>-1</v>
      </c>
      <c r="G106" s="7">
        <v>-1</v>
      </c>
      <c r="H106" s="7">
        <v>-1</v>
      </c>
      <c r="I106" s="7">
        <v>-1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724.5</v>
      </c>
      <c r="P106" s="7">
        <v>472.451754243567</v>
      </c>
      <c r="Q106" s="7">
        <v>322</v>
      </c>
      <c r="R106" s="7">
        <v>-1</v>
      </c>
      <c r="S106" s="7">
        <v>322</v>
      </c>
      <c r="T106" s="7">
        <v>8.1000000000000003E-2</v>
      </c>
      <c r="U106" s="7">
        <v>8.1000000000000003E-2</v>
      </c>
      <c r="V106" s="7">
        <v>0.09</v>
      </c>
      <c r="W106" s="7">
        <v>7.6999999999999999E-2</v>
      </c>
      <c r="X106" s="7">
        <v>8.4000000000000005E-2</v>
      </c>
      <c r="Y106" s="7">
        <v>0.107</v>
      </c>
      <c r="Z106" s="7">
        <v>8.3000000000000004E-2</v>
      </c>
      <c r="AA106" s="7">
        <v>8.7999999999999995E-2</v>
      </c>
      <c r="AB106" s="7">
        <v>8.6999999999999994E-2</v>
      </c>
      <c r="AC106" s="7">
        <v>7.9000000000000001E-2</v>
      </c>
      <c r="AD106" s="7">
        <v>8.6999999999999994E-2</v>
      </c>
      <c r="AE106" s="7">
        <v>8.4000000000000005E-2</v>
      </c>
      <c r="AF106" s="7">
        <v>0.08</v>
      </c>
      <c r="AG106" s="7">
        <v>8.5000000000000006E-2</v>
      </c>
      <c r="AH106" s="7">
        <v>8.5999999999999993E-2</v>
      </c>
      <c r="AI106" s="7">
        <v>8.1000000000000003E-2</v>
      </c>
      <c r="AJ106" s="7">
        <v>7.8E-2</v>
      </c>
      <c r="AK106" s="7">
        <v>7.6999999999999999E-2</v>
      </c>
      <c r="AL106" s="7">
        <v>8.2000000000000003E-2</v>
      </c>
      <c r="AM106" s="7">
        <v>7.9000000000000001E-2</v>
      </c>
      <c r="CB106">
        <f t="shared" si="3"/>
        <v>0.10910733246042163</v>
      </c>
      <c r="CC106">
        <f t="shared" si="2"/>
        <v>51.547950621762283</v>
      </c>
      <c r="CD106" s="7">
        <f t="shared" si="24"/>
        <v>0.10316976392212798</v>
      </c>
      <c r="CE106" s="7">
        <f t="shared" si="25"/>
        <v>0.10316976392212798</v>
      </c>
      <c r="CF106" s="7">
        <f t="shared" si="26"/>
        <v>0.12076854045275696</v>
      </c>
      <c r="CG106" s="7">
        <f t="shared" si="27"/>
        <v>9.619485028214779E-2</v>
      </c>
      <c r="CH106" s="7">
        <f t="shared" si="28"/>
        <v>0.10873087852656856</v>
      </c>
      <c r="CI106" s="7">
        <f t="shared" si="29"/>
        <v>0.16261343582795867</v>
      </c>
      <c r="CJ106" s="7">
        <f t="shared" si="30"/>
        <v>0.10684464086996007</v>
      </c>
      <c r="CK106" s="7">
        <f t="shared" si="31"/>
        <v>0.11661475677470312</v>
      </c>
      <c r="CL106" s="7">
        <f t="shared" si="32"/>
        <v>0.11459175145620078</v>
      </c>
      <c r="CM106" s="7">
        <f t="shared" si="33"/>
        <v>9.962128283722127E-2</v>
      </c>
      <c r="CN106" s="7">
        <f t="shared" si="34"/>
        <v>0.11459175145620078</v>
      </c>
      <c r="CO106" s="7">
        <f t="shared" si="35"/>
        <v>0.10873087852656856</v>
      </c>
      <c r="CP106" s="7">
        <f t="shared" si="36"/>
        <v>0.1013799991711169</v>
      </c>
      <c r="CQ106" s="7">
        <f t="shared" si="37"/>
        <v>0.11065041586454837</v>
      </c>
      <c r="CR106" s="7">
        <f t="shared" si="38"/>
        <v>0.11260384075721208</v>
      </c>
      <c r="CS106" s="7">
        <f t="shared" si="39"/>
        <v>0.10316976392212798</v>
      </c>
      <c r="CT106" s="7">
        <f t="shared" si="40"/>
        <v>9.7893076299818055E-2</v>
      </c>
      <c r="CU106" s="7">
        <f t="shared" si="41"/>
        <v>9.619485028214779E-2</v>
      </c>
      <c r="CV106" s="7">
        <f t="shared" si="42"/>
        <v>0.10499112521969811</v>
      </c>
      <c r="CW106" s="7">
        <f t="shared" si="43"/>
        <v>9.962128283722127E-2</v>
      </c>
    </row>
    <row r="107" spans="1:101" s="7" customFormat="1" x14ac:dyDescent="0.25">
      <c r="A107" s="7">
        <v>190</v>
      </c>
      <c r="B107" s="7">
        <v>1.5</v>
      </c>
      <c r="C107" s="7" t="s">
        <v>132</v>
      </c>
      <c r="D107" s="7" t="s">
        <v>198</v>
      </c>
      <c r="E107" s="7" t="s">
        <v>199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41552</v>
      </c>
      <c r="P107" s="7">
        <v>17010.095510917799</v>
      </c>
      <c r="Q107" s="7">
        <v>31</v>
      </c>
      <c r="R107" s="7">
        <v>22</v>
      </c>
      <c r="S107" s="7">
        <v>53</v>
      </c>
      <c r="T107" s="7">
        <v>0.109</v>
      </c>
      <c r="U107" s="7">
        <v>0.10199999999999999</v>
      </c>
      <c r="V107" s="7">
        <v>9.4E-2</v>
      </c>
      <c r="W107" s="7">
        <v>8.4000000000000005E-2</v>
      </c>
      <c r="X107" s="7">
        <v>8.1000000000000003E-2</v>
      </c>
      <c r="Y107" s="7">
        <v>0.105</v>
      </c>
      <c r="Z107" s="7">
        <v>0.12</v>
      </c>
      <c r="AA107" s="7">
        <v>8.1000000000000003E-2</v>
      </c>
      <c r="AB107" s="7">
        <v>8.3000000000000004E-2</v>
      </c>
      <c r="AC107" s="7">
        <v>0.09</v>
      </c>
      <c r="AD107" s="7">
        <v>9.9000000000000005E-2</v>
      </c>
      <c r="AE107" s="7">
        <v>8.7999999999999995E-2</v>
      </c>
      <c r="AF107" s="7">
        <v>0.14199999999999999</v>
      </c>
      <c r="AG107" s="7">
        <v>9.0999999999999998E-2</v>
      </c>
      <c r="AH107" s="7">
        <v>0.16</v>
      </c>
      <c r="AI107" s="7">
        <v>0.128</v>
      </c>
      <c r="AJ107" s="7">
        <v>8.3000000000000004E-2</v>
      </c>
      <c r="AK107" s="7">
        <v>5.8000000000000003E-2</v>
      </c>
      <c r="AL107" s="7">
        <v>0.09</v>
      </c>
      <c r="CB107">
        <f t="shared" si="3"/>
        <v>0.1565388461448661</v>
      </c>
      <c r="CC107">
        <f t="shared" si="2"/>
        <v>2662.7407240930388</v>
      </c>
      <c r="CD107" s="7">
        <f t="shared" si="24"/>
        <v>0.16840567905905679</v>
      </c>
      <c r="CE107" s="7">
        <f t="shared" si="25"/>
        <v>0.14898949868956468</v>
      </c>
      <c r="CF107" s="7">
        <f t="shared" si="26"/>
        <v>0.12952524767371265</v>
      </c>
      <c r="CG107" s="7">
        <f t="shared" si="27"/>
        <v>0.10873087852656856</v>
      </c>
      <c r="CH107" s="7">
        <f t="shared" si="28"/>
        <v>0.10316976392212798</v>
      </c>
      <c r="CI107" s="7">
        <f t="shared" si="29"/>
        <v>0.15702041439172909</v>
      </c>
      <c r="CJ107" s="7">
        <f t="shared" si="30"/>
        <v>0.20415424781419131</v>
      </c>
      <c r="CK107" s="7">
        <f t="shared" si="31"/>
        <v>0.10316976392212798</v>
      </c>
      <c r="CL107" s="7">
        <f t="shared" si="32"/>
        <v>0.10684464086996007</v>
      </c>
      <c r="CM107" s="7">
        <f t="shared" si="33"/>
        <v>0.12076854045275696</v>
      </c>
      <c r="CN107" s="7">
        <f t="shared" si="34"/>
        <v>0.1413693296235311</v>
      </c>
      <c r="CO107" s="7">
        <f t="shared" si="35"/>
        <v>0.11661475677470312</v>
      </c>
      <c r="CP107" s="7">
        <f t="shared" si="36"/>
        <v>0.30002800637077987</v>
      </c>
      <c r="CQ107" s="7">
        <f t="shared" si="37"/>
        <v>0.12290059094102512</v>
      </c>
      <c r="CR107" s="7">
        <f t="shared" si="38"/>
        <v>0.41111616927742639</v>
      </c>
      <c r="CS107" s="7">
        <f t="shared" si="39"/>
        <v>0.23483328218606961</v>
      </c>
      <c r="CT107" s="7">
        <f t="shared" si="40"/>
        <v>0.10684464086996007</v>
      </c>
      <c r="CU107" s="7">
        <f t="shared" si="41"/>
        <v>6.8984084934407039E-2</v>
      </c>
      <c r="CV107" s="7">
        <f t="shared" si="42"/>
        <v>0.12076854045275696</v>
      </c>
      <c r="CW107" s="7" t="str">
        <f t="shared" si="43"/>
        <v/>
      </c>
    </row>
    <row r="108" spans="1:101" s="7" customFormat="1" x14ac:dyDescent="0.25">
      <c r="A108" s="7">
        <v>210</v>
      </c>
      <c r="B108" s="7">
        <v>1.5</v>
      </c>
      <c r="C108" s="7" t="s">
        <v>135</v>
      </c>
      <c r="D108" s="7" t="s">
        <v>198</v>
      </c>
      <c r="E108" s="7" t="s">
        <v>199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41968</v>
      </c>
      <c r="P108" s="7">
        <v>15733.623029353501</v>
      </c>
      <c r="Q108" s="7">
        <v>22</v>
      </c>
      <c r="R108" s="7">
        <v>21</v>
      </c>
      <c r="S108" s="7">
        <v>43</v>
      </c>
      <c r="T108" s="7">
        <v>9.0999999999999998E-2</v>
      </c>
      <c r="U108" s="7">
        <v>0.104</v>
      </c>
      <c r="V108" s="7">
        <v>0.10299999999999999</v>
      </c>
      <c r="W108" s="7">
        <v>0.1</v>
      </c>
      <c r="X108" s="7">
        <v>0.10299999999999999</v>
      </c>
      <c r="Y108" s="7">
        <v>0.106</v>
      </c>
      <c r="Z108" s="7">
        <v>9.8000000000000004E-2</v>
      </c>
      <c r="AA108" s="7">
        <v>0.11700000000000001</v>
      </c>
      <c r="AB108" s="7">
        <v>0.10199999999999999</v>
      </c>
      <c r="AC108" s="7">
        <v>8.8999999999999996E-2</v>
      </c>
      <c r="AD108" s="7">
        <v>0.10100000000000001</v>
      </c>
      <c r="AE108" s="7">
        <v>0.19600000000000001</v>
      </c>
      <c r="AF108" s="7">
        <v>0.10100000000000001</v>
      </c>
      <c r="AG108" s="7">
        <v>9.4E-2</v>
      </c>
      <c r="AH108" s="7">
        <v>9.9000000000000005E-2</v>
      </c>
      <c r="AI108" s="7">
        <v>9.5000000000000001E-2</v>
      </c>
      <c r="AJ108" s="7">
        <v>9.9000000000000005E-2</v>
      </c>
      <c r="AK108" s="7">
        <v>0.1</v>
      </c>
      <c r="AL108" s="7">
        <v>0.10100000000000001</v>
      </c>
      <c r="AM108" s="7">
        <v>0.105</v>
      </c>
      <c r="CB108">
        <f t="shared" si="3"/>
        <v>0.17702392708397813</v>
      </c>
      <c r="CC108">
        <f t="shared" si="2"/>
        <v>2785.227735915073</v>
      </c>
      <c r="CD108" s="7">
        <f t="shared" si="24"/>
        <v>0.12290059094102512</v>
      </c>
      <c r="CE108" s="7">
        <f t="shared" si="25"/>
        <v>0.15429646124708882</v>
      </c>
      <c r="CF108" s="7">
        <f t="shared" si="26"/>
        <v>0.15161976259966117</v>
      </c>
      <c r="CG108" s="7">
        <f t="shared" si="27"/>
        <v>0.14386506690014328</v>
      </c>
      <c r="CH108" s="7">
        <f t="shared" si="28"/>
        <v>0.15161976259966117</v>
      </c>
      <c r="CI108" s="7">
        <f t="shared" si="29"/>
        <v>0.15979245626552249</v>
      </c>
      <c r="CJ108" s="7">
        <f t="shared" si="30"/>
        <v>0.13891688780903549</v>
      </c>
      <c r="CK108" s="7">
        <f t="shared" si="31"/>
        <v>0.19371264020039231</v>
      </c>
      <c r="CL108" s="7">
        <f t="shared" si="32"/>
        <v>0.14898949868956468</v>
      </c>
      <c r="CM108" s="7">
        <f t="shared" si="33"/>
        <v>0.11867347627390945</v>
      </c>
      <c r="CN108" s="7">
        <f t="shared" si="34"/>
        <v>0.14640486397791924</v>
      </c>
      <c r="CO108" s="7">
        <f t="shared" si="35"/>
        <v>0.7719160687419262</v>
      </c>
      <c r="CP108" s="7">
        <f t="shared" si="36"/>
        <v>0.14640486397791924</v>
      </c>
      <c r="CQ108" s="7">
        <f t="shared" si="37"/>
        <v>0.12952524767371265</v>
      </c>
      <c r="CR108" s="7">
        <f t="shared" si="38"/>
        <v>0.1413693296235311</v>
      </c>
      <c r="CS108" s="7">
        <f t="shared" si="39"/>
        <v>0.1318118892652273</v>
      </c>
      <c r="CT108" s="7">
        <f t="shared" si="40"/>
        <v>0.1413693296235311</v>
      </c>
      <c r="CU108" s="7">
        <f t="shared" si="41"/>
        <v>0.14386506690014328</v>
      </c>
      <c r="CV108" s="7">
        <f t="shared" si="42"/>
        <v>0.14640486397791924</v>
      </c>
      <c r="CW108" s="7">
        <f t="shared" si="43"/>
        <v>0.15702041439172909</v>
      </c>
    </row>
    <row r="109" spans="1:101" s="7" customFormat="1" x14ac:dyDescent="0.25">
      <c r="A109" s="7">
        <v>154</v>
      </c>
      <c r="B109" s="7">
        <v>1.5</v>
      </c>
      <c r="C109" s="7" t="s">
        <v>136</v>
      </c>
      <c r="D109" s="7" t="s">
        <v>198</v>
      </c>
      <c r="E109" s="7" t="s">
        <v>199</v>
      </c>
      <c r="F109" s="7">
        <v>-1</v>
      </c>
      <c r="G109" s="7">
        <v>-1</v>
      </c>
      <c r="H109" s="7">
        <v>-1</v>
      </c>
      <c r="I109" s="7">
        <v>-1</v>
      </c>
      <c r="J109" s="7">
        <v>-1</v>
      </c>
      <c r="K109" s="7">
        <v>-1</v>
      </c>
      <c r="L109" s="7">
        <v>-1</v>
      </c>
      <c r="M109" s="7">
        <v>-1</v>
      </c>
      <c r="N109" s="7">
        <v>-1</v>
      </c>
      <c r="O109" s="7">
        <v>38400</v>
      </c>
      <c r="P109" s="7">
        <v>22058.379660648301</v>
      </c>
      <c r="Q109" s="7">
        <v>26</v>
      </c>
      <c r="R109" s="7">
        <v>34</v>
      </c>
      <c r="S109" s="7">
        <v>60</v>
      </c>
      <c r="T109" s="7">
        <v>0.1</v>
      </c>
      <c r="U109" s="7">
        <v>0.13600000000000001</v>
      </c>
      <c r="V109" s="7">
        <v>0.18</v>
      </c>
      <c r="W109" s="7">
        <v>8.5000000000000006E-2</v>
      </c>
      <c r="X109" s="7">
        <v>0.107</v>
      </c>
      <c r="Y109" s="7">
        <v>7.8E-2</v>
      </c>
      <c r="Z109" s="7">
        <v>0.09</v>
      </c>
      <c r="AA109" s="7">
        <v>8.3000000000000004E-2</v>
      </c>
      <c r="AB109" s="7">
        <v>9.8000000000000004E-2</v>
      </c>
      <c r="AC109" s="7">
        <v>9.0999999999999998E-2</v>
      </c>
      <c r="AD109" s="7">
        <v>7.8E-2</v>
      </c>
      <c r="AE109" s="7">
        <v>0.10299999999999999</v>
      </c>
      <c r="AF109" s="7">
        <v>9.2999999999999999E-2</v>
      </c>
      <c r="AG109" s="7">
        <v>0.10100000000000001</v>
      </c>
      <c r="AH109" s="7">
        <v>0.152</v>
      </c>
      <c r="AI109" s="7">
        <v>0.129</v>
      </c>
      <c r="AJ109" s="7">
        <v>0.104</v>
      </c>
      <c r="AK109" s="7">
        <v>0.113</v>
      </c>
      <c r="AL109" s="7">
        <v>9.5000000000000001E-2</v>
      </c>
      <c r="AM109" s="7">
        <v>0.06</v>
      </c>
      <c r="CB109">
        <f t="shared" si="3"/>
        <v>0.17578625884045021</v>
      </c>
      <c r="CC109">
        <f t="shared" si="2"/>
        <v>3877.5600366276444</v>
      </c>
      <c r="CD109" s="7">
        <f t="shared" si="24"/>
        <v>0.14386506690014328</v>
      </c>
      <c r="CE109" s="7">
        <f t="shared" si="25"/>
        <v>0.27012257159828157</v>
      </c>
      <c r="CF109" s="7">
        <f t="shared" si="26"/>
        <v>0.58340161452356776</v>
      </c>
      <c r="CG109" s="7">
        <f t="shared" si="27"/>
        <v>0.11065041586454837</v>
      </c>
      <c r="CH109" s="7">
        <f t="shared" si="28"/>
        <v>0.16261343582795867</v>
      </c>
      <c r="CI109" s="7">
        <f t="shared" si="29"/>
        <v>9.7893076299818055E-2</v>
      </c>
      <c r="CJ109" s="7">
        <f t="shared" si="30"/>
        <v>0.12076854045275696</v>
      </c>
      <c r="CK109" s="7">
        <f t="shared" si="31"/>
        <v>0.10684464086996007</v>
      </c>
      <c r="CL109" s="7">
        <f t="shared" si="32"/>
        <v>0.13891688780903549</v>
      </c>
      <c r="CM109" s="7">
        <f t="shared" si="33"/>
        <v>0.12290059094102512</v>
      </c>
      <c r="CN109" s="7">
        <f t="shared" si="34"/>
        <v>9.7893076299818055E-2</v>
      </c>
      <c r="CO109" s="7">
        <f t="shared" si="35"/>
        <v>0.15161976259966117</v>
      </c>
      <c r="CP109" s="7">
        <f t="shared" si="36"/>
        <v>0.12727827420164603</v>
      </c>
      <c r="CQ109" s="7">
        <f t="shared" si="37"/>
        <v>0.14640486397791924</v>
      </c>
      <c r="CR109" s="7">
        <f t="shared" si="38"/>
        <v>0.35740722746694009</v>
      </c>
      <c r="CS109" s="7">
        <f t="shared" si="39"/>
        <v>0.23897903415151861</v>
      </c>
      <c r="CT109" s="7">
        <f t="shared" si="40"/>
        <v>0.15429646124708882</v>
      </c>
      <c r="CU109" s="7">
        <f t="shared" si="41"/>
        <v>0.18061646856051028</v>
      </c>
      <c r="CV109" s="7">
        <f t="shared" si="42"/>
        <v>0.1318118892652273</v>
      </c>
      <c r="CW109" s="7">
        <f t="shared" si="43"/>
        <v>7.1441277951579105E-2</v>
      </c>
    </row>
    <row r="110" spans="1:101" s="7" customFormat="1" x14ac:dyDescent="0.25">
      <c r="A110" s="7">
        <v>172</v>
      </c>
      <c r="B110" s="7">
        <v>1.5</v>
      </c>
      <c r="C110" s="7" t="s">
        <v>138</v>
      </c>
      <c r="D110" s="7" t="s">
        <v>198</v>
      </c>
      <c r="E110" s="7" t="s">
        <v>199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569184</v>
      </c>
      <c r="P110" s="7">
        <v>405430.81232475</v>
      </c>
      <c r="Q110" s="7">
        <v>152</v>
      </c>
      <c r="R110" s="7">
        <v>142</v>
      </c>
      <c r="S110" s="7">
        <v>294</v>
      </c>
      <c r="T110" s="7">
        <v>9.2999999999999999E-2</v>
      </c>
      <c r="U110" s="7">
        <v>9.1999999999999998E-2</v>
      </c>
      <c r="V110" s="7">
        <v>0.11799999999999999</v>
      </c>
      <c r="W110" s="7">
        <v>0.11700000000000001</v>
      </c>
      <c r="X110" s="7">
        <v>0.10100000000000001</v>
      </c>
      <c r="Y110" s="7">
        <v>0.107</v>
      </c>
      <c r="Z110" s="7">
        <v>0.1</v>
      </c>
      <c r="AA110" s="7">
        <v>0.105</v>
      </c>
      <c r="AB110" s="7">
        <v>0.111</v>
      </c>
      <c r="AC110" s="7">
        <v>9.6000000000000002E-2</v>
      </c>
      <c r="AD110" s="7">
        <v>0.107</v>
      </c>
      <c r="AE110" s="7">
        <v>0.12</v>
      </c>
      <c r="AF110" s="7">
        <v>0.108</v>
      </c>
      <c r="AG110" s="7">
        <v>0.113</v>
      </c>
      <c r="AH110" s="7">
        <v>0.104</v>
      </c>
      <c r="AI110" s="7">
        <v>0.10100000000000001</v>
      </c>
      <c r="AJ110" s="7">
        <v>0.113</v>
      </c>
      <c r="AK110" s="7">
        <v>9.7000000000000003E-2</v>
      </c>
      <c r="AL110" s="7">
        <v>0.10199999999999999</v>
      </c>
      <c r="AM110" s="7">
        <v>0.124</v>
      </c>
      <c r="CB110">
        <f t="shared" si="3"/>
        <v>0.16301401581609587</v>
      </c>
      <c r="CC110">
        <f t="shared" si="2"/>
        <v>66090.904852639389</v>
      </c>
      <c r="CD110" s="7">
        <f t="shared" si="24"/>
        <v>0.12727827420164603</v>
      </c>
      <c r="CE110" s="7">
        <f t="shared" si="25"/>
        <v>0.12507028069583967</v>
      </c>
      <c r="CF110" s="7">
        <f t="shared" si="26"/>
        <v>0.19713244744137251</v>
      </c>
      <c r="CG110" s="7">
        <f t="shared" si="27"/>
        <v>0.19371264020039231</v>
      </c>
      <c r="CH110" s="7">
        <f t="shared" si="28"/>
        <v>0.14640486397791924</v>
      </c>
      <c r="CI110" s="7">
        <f t="shared" si="29"/>
        <v>0.16261343582795867</v>
      </c>
      <c r="CJ110" s="7">
        <f t="shared" si="30"/>
        <v>0.14386506690014328</v>
      </c>
      <c r="CK110" s="7">
        <f t="shared" si="31"/>
        <v>0.15702041439172909</v>
      </c>
      <c r="CL110" s="7">
        <f t="shared" si="32"/>
        <v>0.17440424030734322</v>
      </c>
      <c r="CM110" s="7">
        <f t="shared" si="33"/>
        <v>0.13413889927804937</v>
      </c>
      <c r="CN110" s="7">
        <f t="shared" si="34"/>
        <v>0.16261343582795867</v>
      </c>
      <c r="CO110" s="7">
        <f t="shared" si="35"/>
        <v>0.20415424781419131</v>
      </c>
      <c r="CP110" s="7">
        <f t="shared" si="36"/>
        <v>0.16548421702607694</v>
      </c>
      <c r="CQ110" s="7">
        <f t="shared" si="37"/>
        <v>0.18061646856051028</v>
      </c>
      <c r="CR110" s="7">
        <f t="shared" si="38"/>
        <v>0.15429646124708882</v>
      </c>
      <c r="CS110" s="7">
        <f t="shared" si="39"/>
        <v>0.14640486397791924</v>
      </c>
      <c r="CT110" s="7">
        <f t="shared" si="40"/>
        <v>0.18061646856051028</v>
      </c>
      <c r="CU110" s="7">
        <f t="shared" si="41"/>
        <v>0.13650699037718286</v>
      </c>
      <c r="CV110" s="7">
        <f t="shared" si="42"/>
        <v>0.14898949868956468</v>
      </c>
      <c r="CW110" s="7">
        <f t="shared" si="43"/>
        <v>0.21895710101852087</v>
      </c>
    </row>
    <row r="111" spans="1:101" s="7" customFormat="1" x14ac:dyDescent="0.25">
      <c r="A111" s="7">
        <v>80</v>
      </c>
      <c r="B111" s="7">
        <v>1.5</v>
      </c>
      <c r="C111" s="7" t="s">
        <v>141</v>
      </c>
      <c r="D111" s="7" t="s">
        <v>198</v>
      </c>
      <c r="E111" s="7" t="s">
        <v>199</v>
      </c>
      <c r="F111" s="7">
        <v>-1</v>
      </c>
      <c r="G111" s="7">
        <v>-1</v>
      </c>
      <c r="H111" s="7">
        <v>-1</v>
      </c>
      <c r="I111" s="7">
        <v>-1</v>
      </c>
      <c r="J111" s="7">
        <v>-1</v>
      </c>
      <c r="K111" s="7">
        <v>-1</v>
      </c>
      <c r="L111" s="7">
        <v>-1</v>
      </c>
      <c r="M111" s="7">
        <v>-1</v>
      </c>
      <c r="N111" s="7">
        <v>-1</v>
      </c>
      <c r="O111" s="7">
        <v>58056</v>
      </c>
      <c r="P111" s="7">
        <v>20271.2724555436</v>
      </c>
      <c r="Q111" s="7">
        <v>31</v>
      </c>
      <c r="R111" s="7">
        <v>28</v>
      </c>
      <c r="S111" s="7">
        <v>59</v>
      </c>
      <c r="T111" s="7">
        <v>9.2999999999999999E-2</v>
      </c>
      <c r="U111" s="7">
        <v>0.184</v>
      </c>
      <c r="V111" s="7">
        <v>9.8000000000000004E-2</v>
      </c>
      <c r="W111" s="7">
        <v>0.20599999999999999</v>
      </c>
      <c r="X111" s="7">
        <v>9.1999999999999998E-2</v>
      </c>
      <c r="Y111" s="7">
        <v>8.5999999999999993E-2</v>
      </c>
      <c r="Z111" s="7">
        <v>0.186</v>
      </c>
      <c r="AA111" s="7">
        <v>0.10199999999999999</v>
      </c>
      <c r="AB111" s="7">
        <v>9.1999999999999998E-2</v>
      </c>
      <c r="AC111" s="7">
        <v>0.153</v>
      </c>
      <c r="AD111" s="7">
        <v>9.4E-2</v>
      </c>
      <c r="AE111" s="7">
        <v>0.111</v>
      </c>
      <c r="AF111" s="7">
        <v>8.8999999999999996E-2</v>
      </c>
      <c r="AG111" s="7">
        <v>8.2000000000000003E-2</v>
      </c>
      <c r="AH111" s="7">
        <v>0.189</v>
      </c>
      <c r="AI111" s="7">
        <v>0.16600000000000001</v>
      </c>
      <c r="AJ111" s="7">
        <v>0.18099999999999999</v>
      </c>
      <c r="AK111" s="7">
        <v>8.5000000000000006E-2</v>
      </c>
      <c r="AL111" s="7">
        <v>9.0999999999999998E-2</v>
      </c>
      <c r="AM111" s="7">
        <v>9.5000000000000001E-2</v>
      </c>
      <c r="CB111">
        <f t="shared" si="3"/>
        <v>0.29805446051388707</v>
      </c>
      <c r="CC111">
        <f t="shared" si="2"/>
        <v>6041.9431756670665</v>
      </c>
      <c r="CD111" s="7">
        <f t="shared" si="24"/>
        <v>0.12727827420164603</v>
      </c>
      <c r="CE111" s="7">
        <f t="shared" si="25"/>
        <v>0.62570300453344518</v>
      </c>
      <c r="CF111" s="7">
        <f t="shared" si="26"/>
        <v>0.13891688780903549</v>
      </c>
      <c r="CG111" s="7">
        <f t="shared" si="27"/>
        <v>0.91954209643110441</v>
      </c>
      <c r="CH111" s="7">
        <f t="shared" si="28"/>
        <v>0.12507028069583967</v>
      </c>
      <c r="CI111" s="7">
        <f t="shared" si="29"/>
        <v>0.11260384075721208</v>
      </c>
      <c r="CJ111" s="7">
        <f t="shared" si="30"/>
        <v>0.64799036334997595</v>
      </c>
      <c r="CK111" s="7">
        <f t="shared" si="31"/>
        <v>0.14898949868956468</v>
      </c>
      <c r="CL111" s="7">
        <f t="shared" si="32"/>
        <v>0.12507028069583967</v>
      </c>
      <c r="CM111" s="7">
        <f t="shared" si="33"/>
        <v>0.36371690257748368</v>
      </c>
      <c r="CN111" s="7">
        <f t="shared" si="34"/>
        <v>0.12952524767371265</v>
      </c>
      <c r="CO111" s="7">
        <f t="shared" si="35"/>
        <v>0.17440424030734322</v>
      </c>
      <c r="CP111" s="7">
        <f t="shared" si="36"/>
        <v>0.11867347627390945</v>
      </c>
      <c r="CQ111" s="7">
        <f t="shared" si="37"/>
        <v>0.10499112521969811</v>
      </c>
      <c r="CR111" s="7">
        <f t="shared" si="38"/>
        <v>0.68291870413674205</v>
      </c>
      <c r="CS111" s="7">
        <f t="shared" si="39"/>
        <v>0.45663109130522966</v>
      </c>
      <c r="CT111" s="7">
        <f t="shared" si="40"/>
        <v>0.59370099954915723</v>
      </c>
      <c r="CU111" s="7">
        <f t="shared" si="41"/>
        <v>0.11065041586454837</v>
      </c>
      <c r="CV111" s="7">
        <f t="shared" si="42"/>
        <v>0.12290059094102512</v>
      </c>
      <c r="CW111" s="7">
        <f t="shared" si="43"/>
        <v>0.1318118892652273</v>
      </c>
    </row>
    <row r="112" spans="1:101" s="7" customFormat="1" x14ac:dyDescent="0.25">
      <c r="A112" s="7">
        <v>98</v>
      </c>
      <c r="B112" s="7">
        <v>1.5</v>
      </c>
      <c r="C112" s="7" t="s">
        <v>143</v>
      </c>
      <c r="D112" s="7" t="s">
        <v>198</v>
      </c>
      <c r="E112" s="7" t="s">
        <v>199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23680</v>
      </c>
      <c r="P112" s="7">
        <v>8188.0134209591097</v>
      </c>
      <c r="Q112" s="7">
        <v>6</v>
      </c>
      <c r="R112" s="7">
        <v>4</v>
      </c>
      <c r="S112" s="7">
        <v>10</v>
      </c>
      <c r="T112" s="7">
        <v>0.16900000000000001</v>
      </c>
      <c r="U112" s="7">
        <v>6.6000000000000003E-2</v>
      </c>
      <c r="V112" s="7">
        <v>7.0000000000000007E-2</v>
      </c>
      <c r="W112" s="7">
        <v>8.6999999999999994E-2</v>
      </c>
      <c r="X112" s="7">
        <v>0.08</v>
      </c>
      <c r="Y112" s="7">
        <v>0.12</v>
      </c>
      <c r="Z112" s="7">
        <v>5.3999999999999999E-2</v>
      </c>
      <c r="AA112" s="7">
        <v>8.8999999999999996E-2</v>
      </c>
      <c r="AB112" s="7">
        <v>7.0999999999999994E-2</v>
      </c>
      <c r="AC112" s="7">
        <v>0.08</v>
      </c>
      <c r="CB112">
        <f t="shared" si="3"/>
        <v>0.1436805805566036</v>
      </c>
      <c r="CC112">
        <f t="shared" si="2"/>
        <v>1176.4585219286669</v>
      </c>
      <c r="CD112" s="7">
        <f t="shared" si="24"/>
        <v>0.48124467705129997</v>
      </c>
      <c r="CE112" s="7">
        <f t="shared" si="25"/>
        <v>7.9350585438190013E-2</v>
      </c>
      <c r="CF112" s="7">
        <f t="shared" si="26"/>
        <v>8.5104152069770483E-2</v>
      </c>
      <c r="CG112" s="7">
        <f t="shared" si="27"/>
        <v>0.11459175145620078</v>
      </c>
      <c r="CH112" s="7">
        <f t="shared" si="28"/>
        <v>0.1013799991711169</v>
      </c>
      <c r="CI112" s="7">
        <f t="shared" si="29"/>
        <v>0.20415424781419131</v>
      </c>
      <c r="CJ112" s="7">
        <f t="shared" si="30"/>
        <v>6.4320334464708154E-2</v>
      </c>
      <c r="CK112" s="7">
        <f t="shared" si="31"/>
        <v>0.11867347627390945</v>
      </c>
      <c r="CL112" s="7">
        <f t="shared" si="32"/>
        <v>8.6606582655532005E-2</v>
      </c>
      <c r="CM112" s="7">
        <f t="shared" si="33"/>
        <v>0.1013799991711169</v>
      </c>
      <c r="CN112" s="7" t="str">
        <f t="shared" si="34"/>
        <v/>
      </c>
      <c r="CO112" s="7" t="str">
        <f t="shared" si="35"/>
        <v/>
      </c>
      <c r="CP112" s="7" t="str">
        <f t="shared" si="36"/>
        <v/>
      </c>
      <c r="CQ112" s="7" t="str">
        <f t="shared" si="37"/>
        <v/>
      </c>
      <c r="CR112" s="7" t="str">
        <f t="shared" si="38"/>
        <v/>
      </c>
      <c r="CS112" s="7" t="str">
        <f t="shared" si="39"/>
        <v/>
      </c>
      <c r="CT112" s="7" t="str">
        <f t="shared" si="40"/>
        <v/>
      </c>
      <c r="CU112" s="7" t="str">
        <f t="shared" si="41"/>
        <v/>
      </c>
      <c r="CV112" s="7" t="str">
        <f t="shared" si="42"/>
        <v/>
      </c>
      <c r="CW112" s="7" t="str">
        <f t="shared" si="43"/>
        <v/>
      </c>
    </row>
    <row r="113" spans="1:101" s="7" customFormat="1" x14ac:dyDescent="0.25">
      <c r="A113" s="7">
        <v>116</v>
      </c>
      <c r="B113" s="7">
        <v>1.5</v>
      </c>
      <c r="C113" s="7" t="s">
        <v>144</v>
      </c>
      <c r="D113" s="7" t="s">
        <v>198</v>
      </c>
      <c r="E113" s="7" t="s">
        <v>199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118272</v>
      </c>
      <c r="P113" s="7">
        <v>49556.096235263598</v>
      </c>
      <c r="Q113" s="7">
        <v>62</v>
      </c>
      <c r="R113" s="7">
        <v>70</v>
      </c>
      <c r="S113" s="7">
        <v>132</v>
      </c>
      <c r="T113" s="7">
        <v>0.108</v>
      </c>
      <c r="U113" s="7">
        <v>9.1999999999999998E-2</v>
      </c>
      <c r="V113" s="7">
        <v>9.9000000000000005E-2</v>
      </c>
      <c r="W113" s="7">
        <v>9.9000000000000005E-2</v>
      </c>
      <c r="X113" s="7">
        <v>9.6000000000000002E-2</v>
      </c>
      <c r="Y113" s="7">
        <v>0.11799999999999999</v>
      </c>
      <c r="Z113" s="7">
        <v>0.1</v>
      </c>
      <c r="AA113" s="7">
        <v>0.10299999999999999</v>
      </c>
      <c r="AB113" s="7">
        <v>9.9000000000000005E-2</v>
      </c>
      <c r="AC113" s="7">
        <v>0.104</v>
      </c>
      <c r="AD113" s="7">
        <v>0.124</v>
      </c>
      <c r="AE113" s="7">
        <v>0.112</v>
      </c>
      <c r="AF113" s="7">
        <v>0.10100000000000001</v>
      </c>
      <c r="AG113" s="7">
        <v>0.106</v>
      </c>
      <c r="AH113" s="7">
        <v>0.106</v>
      </c>
      <c r="AI113" s="7">
        <v>9.9000000000000005E-2</v>
      </c>
      <c r="AJ113" s="7">
        <v>0.111</v>
      </c>
      <c r="AK113" s="7">
        <v>0.1</v>
      </c>
      <c r="AL113" s="7">
        <v>0.115</v>
      </c>
      <c r="AM113" s="7">
        <v>0.157</v>
      </c>
      <c r="CB113">
        <f t="shared" si="3"/>
        <v>0.16974615716480451</v>
      </c>
      <c r="CC113">
        <f t="shared" si="2"/>
        <v>8411.9569000252322</v>
      </c>
      <c r="CD113" s="7">
        <f t="shared" si="24"/>
        <v>0.16548421702607694</v>
      </c>
      <c r="CE113" s="7">
        <f t="shared" si="25"/>
        <v>0.12507028069583967</v>
      </c>
      <c r="CF113" s="7">
        <f t="shared" si="26"/>
        <v>0.1413693296235311</v>
      </c>
      <c r="CG113" s="7">
        <f t="shared" si="27"/>
        <v>0.1413693296235311</v>
      </c>
      <c r="CH113" s="7">
        <f t="shared" si="28"/>
        <v>0.13413889927804937</v>
      </c>
      <c r="CI113" s="7">
        <f t="shared" si="29"/>
        <v>0.19713244744137251</v>
      </c>
      <c r="CJ113" s="7">
        <f t="shared" si="30"/>
        <v>0.14386506690014328</v>
      </c>
      <c r="CK113" s="7">
        <f t="shared" si="31"/>
        <v>0.15161976259966117</v>
      </c>
      <c r="CL113" s="7">
        <f t="shared" si="32"/>
        <v>0.1413693296235311</v>
      </c>
      <c r="CM113" s="7">
        <f t="shared" si="33"/>
        <v>0.15429646124708882</v>
      </c>
      <c r="CN113" s="7">
        <f t="shared" si="34"/>
        <v>0.21895710101852087</v>
      </c>
      <c r="CO113" s="7">
        <f t="shared" si="35"/>
        <v>0.17748317662891583</v>
      </c>
      <c r="CP113" s="7">
        <f t="shared" si="36"/>
        <v>0.14640486397791924</v>
      </c>
      <c r="CQ113" s="7">
        <f t="shared" si="37"/>
        <v>0.15979245626552249</v>
      </c>
      <c r="CR113" s="7">
        <f t="shared" si="38"/>
        <v>0.15979245626552249</v>
      </c>
      <c r="CS113" s="7">
        <f t="shared" si="39"/>
        <v>0.1413693296235311</v>
      </c>
      <c r="CT113" s="7">
        <f t="shared" si="40"/>
        <v>0.17440424030734322</v>
      </c>
      <c r="CU113" s="7">
        <f t="shared" si="41"/>
        <v>0.14386506690014328</v>
      </c>
      <c r="CV113" s="7">
        <f t="shared" si="42"/>
        <v>0.18704997457505201</v>
      </c>
      <c r="CW113" s="7">
        <f t="shared" si="43"/>
        <v>0.39008935367479419</v>
      </c>
    </row>
    <row r="114" spans="1:101" s="7" customFormat="1" x14ac:dyDescent="0.25">
      <c r="A114" s="7">
        <v>133</v>
      </c>
      <c r="B114" s="7">
        <v>1.5</v>
      </c>
      <c r="C114" s="7" t="s">
        <v>145</v>
      </c>
      <c r="D114" s="7" t="s">
        <v>198</v>
      </c>
      <c r="E114" s="7" t="s">
        <v>199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34272</v>
      </c>
      <c r="P114" s="7">
        <v>14029.890097953699</v>
      </c>
      <c r="Q114" s="7">
        <v>33</v>
      </c>
      <c r="R114" s="7">
        <v>30</v>
      </c>
      <c r="S114" s="7">
        <v>63</v>
      </c>
      <c r="T114" s="7">
        <v>0.10100000000000001</v>
      </c>
      <c r="U114" s="7">
        <v>9.7000000000000003E-2</v>
      </c>
      <c r="V114" s="7">
        <v>9.6000000000000002E-2</v>
      </c>
      <c r="W114" s="7">
        <v>0.18</v>
      </c>
      <c r="X114" s="7">
        <v>0.14299999999999999</v>
      </c>
      <c r="Y114" s="7">
        <v>0.104</v>
      </c>
      <c r="Z114" s="7">
        <v>9.9000000000000005E-2</v>
      </c>
      <c r="AA114" s="7">
        <v>9.9000000000000005E-2</v>
      </c>
      <c r="AB114" s="7">
        <v>9.8000000000000004E-2</v>
      </c>
      <c r="AC114" s="7">
        <v>9.8000000000000004E-2</v>
      </c>
      <c r="AD114" s="7">
        <v>0.10199999999999999</v>
      </c>
      <c r="AE114" s="7">
        <v>0.107</v>
      </c>
      <c r="AF114" s="7">
        <v>9.4E-2</v>
      </c>
      <c r="AG114" s="7">
        <v>0.123</v>
      </c>
      <c r="AH114" s="7">
        <v>0.159</v>
      </c>
      <c r="AI114" s="7">
        <v>0.10299999999999999</v>
      </c>
      <c r="AJ114" s="7">
        <v>9.5000000000000001E-2</v>
      </c>
      <c r="AK114" s="7">
        <v>0.10299999999999999</v>
      </c>
      <c r="AL114" s="7">
        <v>0.115</v>
      </c>
      <c r="AM114" s="7">
        <v>0.109</v>
      </c>
      <c r="CB114">
        <f t="shared" si="3"/>
        <v>0.19357120648445253</v>
      </c>
      <c r="CC114">
        <f t="shared" si="2"/>
        <v>2715.7827531051717</v>
      </c>
      <c r="CD114" s="7">
        <f t="shared" si="24"/>
        <v>0.14640486397791924</v>
      </c>
      <c r="CE114" s="7">
        <f t="shared" si="25"/>
        <v>0.13650699037718286</v>
      </c>
      <c r="CF114" s="7">
        <f t="shared" si="26"/>
        <v>0.13413889927804937</v>
      </c>
      <c r="CG114" s="7">
        <f t="shared" si="27"/>
        <v>0.58340161452356776</v>
      </c>
      <c r="CH114" s="7">
        <f t="shared" si="28"/>
        <v>0.30532470744109852</v>
      </c>
      <c r="CI114" s="7">
        <f t="shared" si="29"/>
        <v>0.15429646124708882</v>
      </c>
      <c r="CJ114" s="7">
        <f t="shared" si="30"/>
        <v>0.1413693296235311</v>
      </c>
      <c r="CK114" s="7">
        <f t="shared" si="31"/>
        <v>0.1413693296235311</v>
      </c>
      <c r="CL114" s="7">
        <f t="shared" si="32"/>
        <v>0.13891688780903549</v>
      </c>
      <c r="CM114" s="7">
        <f t="shared" si="33"/>
        <v>0.13891688780903549</v>
      </c>
      <c r="CN114" s="7">
        <f t="shared" si="34"/>
        <v>0.14898949868956468</v>
      </c>
      <c r="CO114" s="7">
        <f t="shared" si="35"/>
        <v>0.16261343582795867</v>
      </c>
      <c r="CP114" s="7">
        <f t="shared" si="36"/>
        <v>0.12952524767371265</v>
      </c>
      <c r="CQ114" s="7">
        <f t="shared" si="37"/>
        <v>0.21515868483059278</v>
      </c>
      <c r="CR114" s="7">
        <f t="shared" si="38"/>
        <v>0.40398422285852364</v>
      </c>
      <c r="CS114" s="7">
        <f t="shared" si="39"/>
        <v>0.15161976259966117</v>
      </c>
      <c r="CT114" s="7">
        <f t="shared" si="40"/>
        <v>0.1318118892652273</v>
      </c>
      <c r="CU114" s="7">
        <f t="shared" si="41"/>
        <v>0.15161976259966117</v>
      </c>
      <c r="CV114" s="7">
        <f t="shared" si="42"/>
        <v>0.18704997457505201</v>
      </c>
      <c r="CW114" s="7">
        <f t="shared" si="43"/>
        <v>0.16840567905905679</v>
      </c>
    </row>
    <row r="115" spans="1:101" s="7" customFormat="1" x14ac:dyDescent="0.25">
      <c r="A115" s="7">
        <v>42</v>
      </c>
      <c r="B115" s="7">
        <v>1.5</v>
      </c>
      <c r="C115" s="7" t="s">
        <v>146</v>
      </c>
      <c r="D115" s="7" t="s">
        <v>198</v>
      </c>
      <c r="E115" s="7" t="s">
        <v>199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120704</v>
      </c>
      <c r="P115" s="7">
        <v>42988.840841315498</v>
      </c>
      <c r="Q115" s="7">
        <v>47</v>
      </c>
      <c r="R115" s="7">
        <v>35</v>
      </c>
      <c r="S115" s="7">
        <v>82</v>
      </c>
      <c r="T115" s="7">
        <v>0.13400000000000001</v>
      </c>
      <c r="U115" s="7">
        <v>0.11799999999999999</v>
      </c>
      <c r="V115" s="7">
        <v>0.17799999999999999</v>
      </c>
      <c r="W115" s="7">
        <v>9.4E-2</v>
      </c>
      <c r="X115" s="7">
        <v>0.115</v>
      </c>
      <c r="Y115" s="7">
        <v>8.7999999999999995E-2</v>
      </c>
      <c r="Z115" s="7">
        <v>9.9000000000000005E-2</v>
      </c>
      <c r="AA115" s="7">
        <v>0.17899999999999999</v>
      </c>
      <c r="AB115" s="7">
        <v>0.109</v>
      </c>
      <c r="AC115" s="7">
        <v>0.1</v>
      </c>
      <c r="AD115" s="7">
        <v>0.121</v>
      </c>
      <c r="AE115" s="7">
        <v>0.10199999999999999</v>
      </c>
      <c r="AF115" s="7">
        <v>0.111</v>
      </c>
      <c r="AG115" s="7">
        <v>8.5000000000000006E-2</v>
      </c>
      <c r="AH115" s="7">
        <v>0.187</v>
      </c>
      <c r="AI115" s="7">
        <v>0.11</v>
      </c>
      <c r="AJ115" s="7">
        <v>0.09</v>
      </c>
      <c r="AK115" s="7">
        <v>0.09</v>
      </c>
      <c r="AL115" s="7">
        <v>0.1</v>
      </c>
      <c r="AM115" s="7">
        <v>9.4E-2</v>
      </c>
      <c r="CB115">
        <f t="shared" si="3"/>
        <v>0.22344748189347374</v>
      </c>
      <c r="CC115">
        <f t="shared" si="2"/>
        <v>9605.7482355112697</v>
      </c>
      <c r="CD115" s="7">
        <f t="shared" si="24"/>
        <v>0.26083181818872297</v>
      </c>
      <c r="CE115" s="7">
        <f t="shared" si="25"/>
        <v>0.19713244744137251</v>
      </c>
      <c r="CF115" s="7">
        <f t="shared" si="26"/>
        <v>0.56333575883736597</v>
      </c>
      <c r="CG115" s="7">
        <f t="shared" si="27"/>
        <v>0.12952524767371265</v>
      </c>
      <c r="CH115" s="7">
        <f t="shared" si="28"/>
        <v>0.18704997457505201</v>
      </c>
      <c r="CI115" s="7">
        <f t="shared" si="29"/>
        <v>0.11661475677470312</v>
      </c>
      <c r="CJ115" s="7">
        <f t="shared" si="30"/>
        <v>0.1413693296235311</v>
      </c>
      <c r="CK115" s="7">
        <f t="shared" si="31"/>
        <v>0.57328090080219707</v>
      </c>
      <c r="CL115" s="7">
        <f t="shared" si="32"/>
        <v>0.16840567905905679</v>
      </c>
      <c r="CM115" s="7">
        <f t="shared" si="33"/>
        <v>0.14386506690014328</v>
      </c>
      <c r="CN115" s="7">
        <f t="shared" si="34"/>
        <v>0.20775839142727506</v>
      </c>
      <c r="CO115" s="7">
        <f t="shared" si="35"/>
        <v>0.14898949868956468</v>
      </c>
      <c r="CP115" s="7">
        <f t="shared" si="36"/>
        <v>0.17440424030734322</v>
      </c>
      <c r="CQ115" s="7">
        <f t="shared" si="37"/>
        <v>0.11065041586454837</v>
      </c>
      <c r="CR115" s="7">
        <f t="shared" si="38"/>
        <v>0.65942999957803661</v>
      </c>
      <c r="CS115" s="7">
        <f t="shared" si="39"/>
        <v>0.17137871664747947</v>
      </c>
      <c r="CT115" s="7">
        <f t="shared" si="40"/>
        <v>0.12076854045275696</v>
      </c>
      <c r="CU115" s="7">
        <f t="shared" si="41"/>
        <v>0.12076854045275696</v>
      </c>
      <c r="CV115" s="7">
        <f t="shared" si="42"/>
        <v>0.14386506690014328</v>
      </c>
      <c r="CW115" s="7">
        <f t="shared" si="43"/>
        <v>0.12952524767371265</v>
      </c>
    </row>
    <row r="116" spans="1:101" s="7" customFormat="1" x14ac:dyDescent="0.25">
      <c r="A116" s="7">
        <v>61</v>
      </c>
      <c r="B116" s="7">
        <v>1.5</v>
      </c>
      <c r="C116" s="7" t="s">
        <v>148</v>
      </c>
      <c r="D116" s="7" t="s">
        <v>198</v>
      </c>
      <c r="E116" s="7" t="s">
        <v>199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228288</v>
      </c>
      <c r="P116" s="7">
        <v>72593.733563556903</v>
      </c>
      <c r="Q116" s="7">
        <v>59</v>
      </c>
      <c r="R116" s="7">
        <v>64</v>
      </c>
      <c r="S116" s="7">
        <v>123</v>
      </c>
      <c r="T116" s="7">
        <v>0.11</v>
      </c>
      <c r="U116" s="7">
        <v>0.106</v>
      </c>
      <c r="V116" s="7">
        <v>0.115</v>
      </c>
      <c r="W116" s="7">
        <v>0.108</v>
      </c>
      <c r="X116" s="7">
        <v>0.11</v>
      </c>
      <c r="Y116" s="7">
        <v>9.9000000000000005E-2</v>
      </c>
      <c r="Z116" s="7">
        <v>0.105</v>
      </c>
      <c r="AA116" s="7">
        <v>0.108</v>
      </c>
      <c r="AB116" s="7">
        <v>0.114</v>
      </c>
      <c r="AC116" s="7">
        <v>0.104</v>
      </c>
      <c r="AD116" s="7">
        <v>9.2999999999999999E-2</v>
      </c>
      <c r="AE116" s="7">
        <v>0.11</v>
      </c>
      <c r="AF116" s="7">
        <v>0.122</v>
      </c>
      <c r="AG116" s="7">
        <v>8.8999999999999996E-2</v>
      </c>
      <c r="AH116" s="7">
        <v>9.6000000000000002E-2</v>
      </c>
      <c r="AI116" s="7">
        <v>0.10199999999999999</v>
      </c>
      <c r="AJ116" s="7">
        <v>0.11</v>
      </c>
      <c r="AK116" s="7">
        <v>0.112</v>
      </c>
      <c r="AL116" s="7">
        <v>9.6000000000000002E-2</v>
      </c>
      <c r="CB116">
        <f t="shared" si="3"/>
        <v>0.16062870523494416</v>
      </c>
      <c r="CC116">
        <f t="shared" si="2"/>
        <v>11660.637430484654</v>
      </c>
      <c r="CD116" s="7">
        <f t="shared" si="24"/>
        <v>0.17137871664747947</v>
      </c>
      <c r="CE116" s="7">
        <f t="shared" si="25"/>
        <v>0.15979245626552249</v>
      </c>
      <c r="CF116" s="7">
        <f t="shared" si="26"/>
        <v>0.18704997457505201</v>
      </c>
      <c r="CG116" s="7">
        <f t="shared" si="27"/>
        <v>0.16548421702607694</v>
      </c>
      <c r="CH116" s="7">
        <f t="shared" si="28"/>
        <v>0.17137871664747947</v>
      </c>
      <c r="CI116" s="7">
        <f t="shared" si="29"/>
        <v>0.1413693296235311</v>
      </c>
      <c r="CJ116" s="7">
        <f t="shared" si="30"/>
        <v>0.15702041439172909</v>
      </c>
      <c r="CK116" s="7">
        <f t="shared" si="31"/>
        <v>0.16548421702607694</v>
      </c>
      <c r="CL116" s="7">
        <f t="shared" si="32"/>
        <v>0.18380507569726992</v>
      </c>
      <c r="CM116" s="7">
        <f t="shared" si="33"/>
        <v>0.15429646124708882</v>
      </c>
      <c r="CN116" s="7">
        <f t="shared" si="34"/>
        <v>0.12727827420164603</v>
      </c>
      <c r="CO116" s="7">
        <f t="shared" si="35"/>
        <v>0.17137871664747947</v>
      </c>
      <c r="CP116" s="7">
        <f t="shared" si="36"/>
        <v>0.21142616267153885</v>
      </c>
      <c r="CQ116" s="7">
        <f t="shared" si="37"/>
        <v>0.11867347627390945</v>
      </c>
      <c r="CR116" s="7">
        <f t="shared" si="38"/>
        <v>0.13413889927804937</v>
      </c>
      <c r="CS116" s="7">
        <f t="shared" si="39"/>
        <v>0.14898949868956468</v>
      </c>
      <c r="CT116" s="7">
        <f t="shared" si="40"/>
        <v>0.17137871664747947</v>
      </c>
      <c r="CU116" s="7">
        <f t="shared" si="41"/>
        <v>0.17748317662891583</v>
      </c>
      <c r="CV116" s="7">
        <f t="shared" si="42"/>
        <v>0.13413889927804937</v>
      </c>
      <c r="CW116" s="7" t="str">
        <f t="shared" si="43"/>
        <v/>
      </c>
    </row>
    <row r="117" spans="1:101" s="7" customFormat="1" x14ac:dyDescent="0.25">
      <c r="A117" s="7">
        <v>228</v>
      </c>
      <c r="B117" s="7">
        <v>1.5</v>
      </c>
      <c r="C117" s="7" t="s">
        <v>150</v>
      </c>
      <c r="D117" s="7" t="s">
        <v>198</v>
      </c>
      <c r="E117" s="7" t="s">
        <v>199</v>
      </c>
      <c r="F117" s="7">
        <v>-1</v>
      </c>
      <c r="G117" s="7">
        <v>-1</v>
      </c>
      <c r="H117" s="7">
        <v>-1</v>
      </c>
      <c r="I117" s="7">
        <v>-1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103904</v>
      </c>
      <c r="P117" s="7">
        <v>37005.505358364702</v>
      </c>
      <c r="Q117" s="7">
        <v>88</v>
      </c>
      <c r="R117" s="7">
        <v>103</v>
      </c>
      <c r="S117" s="7">
        <v>191</v>
      </c>
      <c r="T117" s="7">
        <v>9.8000000000000004E-2</v>
      </c>
      <c r="U117" s="7">
        <v>9.5000000000000001E-2</v>
      </c>
      <c r="V117" s="7">
        <v>0.114</v>
      </c>
      <c r="W117" s="7">
        <v>0.104</v>
      </c>
      <c r="X117" s="7">
        <v>9.5000000000000001E-2</v>
      </c>
      <c r="Y117" s="7">
        <v>0.11899999999999999</v>
      </c>
      <c r="Z117" s="7">
        <v>0.09</v>
      </c>
      <c r="AA117" s="7">
        <v>9.9000000000000005E-2</v>
      </c>
      <c r="AB117" s="7">
        <v>9.2999999999999999E-2</v>
      </c>
      <c r="AC117" s="7">
        <v>0.10100000000000001</v>
      </c>
      <c r="AD117" s="7">
        <v>0.10100000000000001</v>
      </c>
      <c r="AE117" s="7">
        <v>9.6000000000000002E-2</v>
      </c>
      <c r="AF117" s="7">
        <v>9.9000000000000005E-2</v>
      </c>
      <c r="AG117" s="7">
        <v>9.4E-2</v>
      </c>
      <c r="AH117" s="7">
        <v>0.112</v>
      </c>
      <c r="AI117" s="7">
        <v>8.6999999999999994E-2</v>
      </c>
      <c r="AJ117" s="7">
        <v>9.9000000000000005E-2</v>
      </c>
      <c r="AK117" s="7">
        <v>9.7000000000000003E-2</v>
      </c>
      <c r="AL117" s="7">
        <v>8.5999999999999993E-2</v>
      </c>
      <c r="AM117" s="7">
        <v>9.0999999999999998E-2</v>
      </c>
      <c r="CB117">
        <f t="shared" si="3"/>
        <v>0.14169849299560594</v>
      </c>
      <c r="CC117">
        <f t="shared" si="2"/>
        <v>5243.6243418210988</v>
      </c>
      <c r="CD117" s="7">
        <f t="shared" si="24"/>
        <v>0.13891688780903549</v>
      </c>
      <c r="CE117" s="7">
        <f t="shared" si="25"/>
        <v>0.1318118892652273</v>
      </c>
      <c r="CF117" s="7">
        <f t="shared" si="26"/>
        <v>0.18380507569726992</v>
      </c>
      <c r="CG117" s="7">
        <f t="shared" si="27"/>
        <v>0.15429646124708882</v>
      </c>
      <c r="CH117" s="7">
        <f t="shared" si="28"/>
        <v>0.1318118892652273</v>
      </c>
      <c r="CI117" s="7">
        <f t="shared" si="29"/>
        <v>0.20061262803513641</v>
      </c>
      <c r="CJ117" s="7">
        <f t="shared" si="30"/>
        <v>0.12076854045275696</v>
      </c>
      <c r="CK117" s="7">
        <f t="shared" si="31"/>
        <v>0.1413693296235311</v>
      </c>
      <c r="CL117" s="7">
        <f t="shared" si="32"/>
        <v>0.12727827420164603</v>
      </c>
      <c r="CM117" s="7">
        <f t="shared" si="33"/>
        <v>0.14640486397791924</v>
      </c>
      <c r="CN117" s="7">
        <f t="shared" si="34"/>
        <v>0.14640486397791924</v>
      </c>
      <c r="CO117" s="7">
        <f t="shared" si="35"/>
        <v>0.13413889927804937</v>
      </c>
      <c r="CP117" s="7">
        <f t="shared" si="36"/>
        <v>0.1413693296235311</v>
      </c>
      <c r="CQ117" s="7">
        <f t="shared" si="37"/>
        <v>0.12952524767371265</v>
      </c>
      <c r="CR117" s="7">
        <f t="shared" si="38"/>
        <v>0.17748317662891583</v>
      </c>
      <c r="CS117" s="7">
        <f t="shared" si="39"/>
        <v>0.11459175145620078</v>
      </c>
      <c r="CT117" s="7">
        <f t="shared" si="40"/>
        <v>0.1413693296235311</v>
      </c>
      <c r="CU117" s="7">
        <f t="shared" si="41"/>
        <v>0.13650699037718286</v>
      </c>
      <c r="CV117" s="7">
        <f t="shared" si="42"/>
        <v>0.11260384075721208</v>
      </c>
      <c r="CW117" s="7">
        <f t="shared" si="43"/>
        <v>0.12290059094102512</v>
      </c>
    </row>
    <row r="118" spans="1:101" s="7" customFormat="1" x14ac:dyDescent="0.25">
      <c r="A118" s="7">
        <v>7</v>
      </c>
      <c r="B118" s="7">
        <v>1.5</v>
      </c>
      <c r="C118" s="7" t="s">
        <v>151</v>
      </c>
      <c r="D118" s="7" t="s">
        <v>198</v>
      </c>
      <c r="E118" s="7" t="s">
        <v>199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191360</v>
      </c>
      <c r="P118" s="7">
        <v>77446.636770662706</v>
      </c>
      <c r="Q118" s="7">
        <v>92</v>
      </c>
      <c r="R118" s="7">
        <v>92</v>
      </c>
      <c r="S118" s="7">
        <v>184</v>
      </c>
      <c r="T118" s="7">
        <v>0.184</v>
      </c>
      <c r="U118" s="7">
        <v>9.1999999999999998E-2</v>
      </c>
      <c r="V118" s="7">
        <v>8.8999999999999996E-2</v>
      </c>
      <c r="W118" s="7">
        <v>0.1</v>
      </c>
      <c r="X118" s="7">
        <v>7.6999999999999999E-2</v>
      </c>
      <c r="Y118" s="7">
        <v>9.7000000000000003E-2</v>
      </c>
      <c r="Z118" s="7">
        <v>7.9000000000000001E-2</v>
      </c>
      <c r="AA118" s="7">
        <v>8.4000000000000005E-2</v>
      </c>
      <c r="AB118" s="7">
        <v>7.0999999999999994E-2</v>
      </c>
      <c r="AC118" s="7">
        <v>9.5000000000000001E-2</v>
      </c>
      <c r="AD118" s="7">
        <v>8.2000000000000003E-2</v>
      </c>
      <c r="AE118" s="7">
        <v>6.9000000000000006E-2</v>
      </c>
      <c r="AF118" s="7">
        <v>6.2E-2</v>
      </c>
      <c r="AG118" s="7">
        <v>8.7999999999999995E-2</v>
      </c>
      <c r="AH118" s="7">
        <v>7.8E-2</v>
      </c>
      <c r="AI118" s="7">
        <v>8.6999999999999994E-2</v>
      </c>
      <c r="AJ118" s="7">
        <v>9.7000000000000003E-2</v>
      </c>
      <c r="AK118" s="7">
        <v>0.214</v>
      </c>
      <c r="AL118" s="7">
        <v>7.8E-2</v>
      </c>
      <c r="AM118" s="7">
        <v>7.5999999999999998E-2</v>
      </c>
      <c r="CB118">
        <f t="shared" si="3"/>
        <v>0.18255700623495158</v>
      </c>
      <c r="CC118">
        <f t="shared" si="2"/>
        <v>14138.426151817903</v>
      </c>
      <c r="CD118" s="7">
        <f t="shared" si="24"/>
        <v>0.62570300453344518</v>
      </c>
      <c r="CE118" s="7">
        <f t="shared" si="25"/>
        <v>0.12507028069583967</v>
      </c>
      <c r="CF118" s="7">
        <f t="shared" si="26"/>
        <v>0.11867347627390945</v>
      </c>
      <c r="CG118" s="7">
        <f t="shared" si="27"/>
        <v>0.14386506690014328</v>
      </c>
      <c r="CH118" s="7">
        <f t="shared" si="28"/>
        <v>9.619485028214779E-2</v>
      </c>
      <c r="CI118" s="7">
        <f t="shared" si="29"/>
        <v>0.13650699037718286</v>
      </c>
      <c r="CJ118" s="7">
        <f t="shared" si="30"/>
        <v>9.962128283722127E-2</v>
      </c>
      <c r="CK118" s="7">
        <f t="shared" si="31"/>
        <v>0.10873087852656856</v>
      </c>
      <c r="CL118" s="7">
        <f t="shared" si="32"/>
        <v>8.6606582655532005E-2</v>
      </c>
      <c r="CM118" s="7">
        <f t="shared" si="33"/>
        <v>0.1318118892652273</v>
      </c>
      <c r="CN118" s="7">
        <f t="shared" si="34"/>
        <v>0.10499112521969811</v>
      </c>
      <c r="CO118" s="7">
        <f t="shared" si="35"/>
        <v>8.3627785295740331E-2</v>
      </c>
      <c r="CP118" s="7">
        <f t="shared" si="36"/>
        <v>7.3985995468487289E-2</v>
      </c>
      <c r="CQ118" s="7">
        <f t="shared" si="37"/>
        <v>0.11661475677470312</v>
      </c>
      <c r="CR118" s="7">
        <f t="shared" si="38"/>
        <v>9.7893076299818055E-2</v>
      </c>
      <c r="CS118" s="7">
        <f t="shared" si="39"/>
        <v>0.11459175145620078</v>
      </c>
      <c r="CT118" s="7">
        <f t="shared" si="40"/>
        <v>0.13650699037718286</v>
      </c>
      <c r="CU118" s="7">
        <f t="shared" si="41"/>
        <v>1.0577251804709453</v>
      </c>
      <c r="CV118" s="7">
        <f t="shared" si="42"/>
        <v>9.7893076299818055E-2</v>
      </c>
      <c r="CW118" s="7">
        <f t="shared" si="43"/>
        <v>9.4526084689219525E-2</v>
      </c>
    </row>
    <row r="119" spans="1:101" s="7" customFormat="1" x14ac:dyDescent="0.25">
      <c r="A119" s="7">
        <v>25</v>
      </c>
      <c r="B119" s="7">
        <v>1.5</v>
      </c>
      <c r="C119" s="7" t="s">
        <v>152</v>
      </c>
      <c r="D119" s="7" t="s">
        <v>198</v>
      </c>
      <c r="E119" s="7" t="s">
        <v>199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15624</v>
      </c>
      <c r="P119" s="7">
        <v>8305.2268643944808</v>
      </c>
      <c r="Q119" s="7">
        <v>51</v>
      </c>
      <c r="R119" s="7">
        <v>42</v>
      </c>
      <c r="S119" s="7">
        <v>93</v>
      </c>
      <c r="T119" s="7">
        <v>7.9000000000000001E-2</v>
      </c>
      <c r="U119" s="7">
        <v>0.11600000000000001</v>
      </c>
      <c r="V119" s="7">
        <v>0.108</v>
      </c>
      <c r="W119" s="7">
        <v>9.8000000000000004E-2</v>
      </c>
      <c r="X119" s="7">
        <v>0.107</v>
      </c>
      <c r="Y119" s="7">
        <v>9.4E-2</v>
      </c>
      <c r="Z119" s="7">
        <v>0.114</v>
      </c>
      <c r="AA119" s="7">
        <v>0.1</v>
      </c>
      <c r="AB119" s="7">
        <v>0.124</v>
      </c>
      <c r="AC119" s="7">
        <v>0.107</v>
      </c>
      <c r="AD119" s="7">
        <v>0.123</v>
      </c>
      <c r="AE119" s="7">
        <v>0.114</v>
      </c>
      <c r="AF119" s="7">
        <v>0.157</v>
      </c>
      <c r="AG119" s="7">
        <v>9.7000000000000003E-2</v>
      </c>
      <c r="AH119" s="7">
        <v>0.10100000000000001</v>
      </c>
      <c r="AI119" s="7">
        <v>0.11799999999999999</v>
      </c>
      <c r="AJ119" s="7">
        <v>8.7999999999999995E-2</v>
      </c>
      <c r="AK119" s="7">
        <v>9.2999999999999999E-2</v>
      </c>
      <c r="AL119" s="7">
        <v>0.11</v>
      </c>
      <c r="AM119" s="7">
        <v>0.1</v>
      </c>
      <c r="CB119">
        <f t="shared" si="3"/>
        <v>0.17119940700552502</v>
      </c>
      <c r="CC119">
        <f t="shared" si="2"/>
        <v>1421.8499142306912</v>
      </c>
      <c r="CD119" s="7">
        <f t="shared" si="24"/>
        <v>9.962128283722127E-2</v>
      </c>
      <c r="CE119" s="7">
        <f t="shared" si="25"/>
        <v>0.19035215896949942</v>
      </c>
      <c r="CF119" s="7">
        <f t="shared" si="26"/>
        <v>0.16548421702607694</v>
      </c>
      <c r="CG119" s="7">
        <f t="shared" si="27"/>
        <v>0.13891688780903549</v>
      </c>
      <c r="CH119" s="7">
        <f t="shared" si="28"/>
        <v>0.16261343582795867</v>
      </c>
      <c r="CI119" s="7">
        <f t="shared" si="29"/>
        <v>0.12952524767371265</v>
      </c>
      <c r="CJ119" s="7">
        <f t="shared" si="30"/>
        <v>0.18380507569726992</v>
      </c>
      <c r="CK119" s="7">
        <f t="shared" si="31"/>
        <v>0.14386506690014328</v>
      </c>
      <c r="CL119" s="7">
        <f t="shared" si="32"/>
        <v>0.21895710101852087</v>
      </c>
      <c r="CM119" s="7">
        <f t="shared" si="33"/>
        <v>0.16261343582795867</v>
      </c>
      <c r="CN119" s="7">
        <f t="shared" si="34"/>
        <v>0.21515868483059278</v>
      </c>
      <c r="CO119" s="7">
        <f t="shared" si="35"/>
        <v>0.18380507569726992</v>
      </c>
      <c r="CP119" s="7">
        <f t="shared" si="36"/>
        <v>0.39008935367479419</v>
      </c>
      <c r="CQ119" s="7">
        <f t="shared" si="37"/>
        <v>0.13650699037718286</v>
      </c>
      <c r="CR119" s="7">
        <f t="shared" si="38"/>
        <v>0.14640486397791924</v>
      </c>
      <c r="CS119" s="7">
        <f t="shared" si="39"/>
        <v>0.19713244744137251</v>
      </c>
      <c r="CT119" s="7">
        <f t="shared" si="40"/>
        <v>0.11661475677470312</v>
      </c>
      <c r="CU119" s="7">
        <f t="shared" si="41"/>
        <v>0.12727827420164603</v>
      </c>
      <c r="CV119" s="7">
        <f t="shared" si="42"/>
        <v>0.17137871664747947</v>
      </c>
      <c r="CW119" s="7">
        <f t="shared" si="43"/>
        <v>0.14386506690014328</v>
      </c>
    </row>
    <row r="120" spans="1:101" x14ac:dyDescent="0.25">
      <c r="A120" s="6">
        <v>308</v>
      </c>
      <c r="B120" s="6">
        <v>2</v>
      </c>
      <c r="C120" t="s">
        <v>117</v>
      </c>
      <c r="D120" t="s">
        <v>225</v>
      </c>
      <c r="E120" t="s">
        <v>192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1</v>
      </c>
      <c r="P120">
        <v>0.21869452846703499</v>
      </c>
      <c r="Q120">
        <v>1</v>
      </c>
      <c r="R120">
        <v>-1</v>
      </c>
      <c r="S120">
        <v>1</v>
      </c>
      <c r="T120">
        <v>0.21199999999999999</v>
      </c>
      <c r="CB120">
        <f t="shared" si="3"/>
        <v>0.10004534399999999</v>
      </c>
      <c r="CC120">
        <f t="shared" si="2"/>
        <v>2.1879369331402308E-2</v>
      </c>
      <c r="CD120">
        <v>0.10004534399999999</v>
      </c>
    </row>
    <row r="121" spans="1:101" x14ac:dyDescent="0.25">
      <c r="A121" s="6">
        <v>278</v>
      </c>
      <c r="B121" s="6">
        <v>2</v>
      </c>
      <c r="C121" t="s">
        <v>123</v>
      </c>
      <c r="D121" t="s">
        <v>225</v>
      </c>
      <c r="E121" t="s">
        <v>192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1</v>
      </c>
      <c r="P121">
        <v>0.28692722134874998</v>
      </c>
      <c r="Q121">
        <v>1</v>
      </c>
      <c r="R121">
        <v>-1</v>
      </c>
      <c r="S121">
        <v>1</v>
      </c>
      <c r="T121">
        <v>0.17</v>
      </c>
      <c r="CB121">
        <f t="shared" si="3"/>
        <v>5.15865E-2</v>
      </c>
      <c r="CC121">
        <f t="shared" si="2"/>
        <v>1.4801571104107292E-2</v>
      </c>
      <c r="CD121">
        <v>5.15865E-2</v>
      </c>
    </row>
    <row r="122" spans="1:101" x14ac:dyDescent="0.25">
      <c r="A122" s="6">
        <v>256</v>
      </c>
      <c r="B122" s="6">
        <v>2</v>
      </c>
      <c r="C122" t="s">
        <v>127</v>
      </c>
      <c r="D122" t="s">
        <v>225</v>
      </c>
      <c r="E122" t="s">
        <v>192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15</v>
      </c>
      <c r="P122">
        <v>7.68555057184152</v>
      </c>
      <c r="Q122">
        <v>15</v>
      </c>
      <c r="R122">
        <v>-1</v>
      </c>
      <c r="S122">
        <v>15</v>
      </c>
      <c r="T122">
        <v>0.14599999999999999</v>
      </c>
      <c r="U122">
        <v>0.246</v>
      </c>
      <c r="V122">
        <v>0.22</v>
      </c>
      <c r="W122">
        <v>0.24199999999999999</v>
      </c>
      <c r="X122">
        <v>0.20499999999999999</v>
      </c>
      <c r="Y122">
        <v>0.23</v>
      </c>
      <c r="Z122">
        <v>0.22</v>
      </c>
      <c r="AA122">
        <v>0.26300000000000001</v>
      </c>
      <c r="AB122">
        <v>0.184</v>
      </c>
      <c r="AC122">
        <v>0.27800000000000002</v>
      </c>
      <c r="AD122">
        <v>0.27100000000000002</v>
      </c>
      <c r="AE122">
        <v>0.20100000000000001</v>
      </c>
      <c r="AF122">
        <v>0.26200000000000001</v>
      </c>
      <c r="AG122">
        <v>0.23200000000000001</v>
      </c>
      <c r="AH122">
        <v>0.27500000000000002</v>
      </c>
      <c r="CB122">
        <f t="shared" si="3"/>
        <v>0.13961322970000001</v>
      </c>
      <c r="CC122">
        <f t="shared" si="2"/>
        <v>1.0730045373574766</v>
      </c>
      <c r="CD122">
        <v>3.2677428000000001E-2</v>
      </c>
      <c r="CE122">
        <v>0.15631282799999999</v>
      </c>
      <c r="CF122">
        <v>0.111804</v>
      </c>
      <c r="CG122">
        <v>0.14881112399999999</v>
      </c>
      <c r="CH122">
        <v>9.0458812499999999E-2</v>
      </c>
      <c r="CI122">
        <v>0.12775349999999999</v>
      </c>
      <c r="CJ122">
        <v>0.111804</v>
      </c>
      <c r="CK122">
        <v>0.19101019350000001</v>
      </c>
      <c r="CL122">
        <v>6.5409791999999994E-2</v>
      </c>
      <c r="CM122">
        <v>0.22559199599999999</v>
      </c>
      <c r="CN122">
        <v>0.20897636550000001</v>
      </c>
      <c r="CO122">
        <v>8.5266310499999998E-2</v>
      </c>
      <c r="CP122">
        <v>0.188839644</v>
      </c>
      <c r="CQ122">
        <v>0.13111526400000001</v>
      </c>
      <c r="CR122">
        <v>0.2183671875</v>
      </c>
    </row>
    <row r="123" spans="1:101" x14ac:dyDescent="0.25">
      <c r="A123" s="6">
        <v>191</v>
      </c>
      <c r="B123" s="6">
        <v>2</v>
      </c>
      <c r="C123" t="s">
        <v>132</v>
      </c>
      <c r="D123" t="s">
        <v>200</v>
      </c>
      <c r="E123" t="s">
        <v>192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2352</v>
      </c>
      <c r="P123">
        <v>962.83559495761006</v>
      </c>
      <c r="Q123">
        <v>0</v>
      </c>
      <c r="R123">
        <v>3</v>
      </c>
      <c r="S123">
        <v>3</v>
      </c>
      <c r="T123">
        <v>9.2999999999999999E-2</v>
      </c>
      <c r="U123">
        <v>0.10199999999999999</v>
      </c>
      <c r="V123">
        <v>8.8999999999999996E-2</v>
      </c>
      <c r="CB123">
        <f t="shared" si="3"/>
        <v>1.7136893333333333E-2</v>
      </c>
      <c r="CC123">
        <f t="shared" si="2"/>
        <v>16.5000108883251</v>
      </c>
      <c r="CD123">
        <v>1.608714E-2</v>
      </c>
      <c r="CE123">
        <v>2.1224159999999999E-2</v>
      </c>
      <c r="CF123">
        <v>1.409938E-2</v>
      </c>
    </row>
    <row r="124" spans="1:101" x14ac:dyDescent="0.25">
      <c r="A124" s="6">
        <v>211</v>
      </c>
      <c r="B124" s="6">
        <v>2</v>
      </c>
      <c r="C124" t="s">
        <v>135</v>
      </c>
      <c r="D124" t="s">
        <v>200</v>
      </c>
      <c r="E124" t="s">
        <v>192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4880</v>
      </c>
      <c r="P124">
        <v>1829.4910499248199</v>
      </c>
      <c r="Q124">
        <v>1</v>
      </c>
      <c r="R124">
        <v>4</v>
      </c>
      <c r="S124">
        <v>5</v>
      </c>
      <c r="T124">
        <v>0.127</v>
      </c>
      <c r="U124">
        <v>0.11799999999999999</v>
      </c>
      <c r="V124">
        <v>0.1</v>
      </c>
      <c r="W124">
        <v>0.10199999999999999</v>
      </c>
      <c r="X124">
        <v>0.122</v>
      </c>
      <c r="CB124">
        <f t="shared" si="3"/>
        <v>3.0273884000000008E-2</v>
      </c>
      <c r="CC124">
        <f t="shared" si="2"/>
        <v>55.385799824462218</v>
      </c>
      <c r="CD124">
        <v>4.0967660000000003E-2</v>
      </c>
      <c r="CE124">
        <v>3.2860640000000003E-2</v>
      </c>
      <c r="CF124">
        <v>0.02</v>
      </c>
      <c r="CG124">
        <v>2.1224159999999999E-2</v>
      </c>
      <c r="CH124">
        <v>3.6316960000000002E-2</v>
      </c>
    </row>
    <row r="125" spans="1:101" x14ac:dyDescent="0.25">
      <c r="A125" s="6">
        <v>155</v>
      </c>
      <c r="B125" s="6">
        <v>2</v>
      </c>
      <c r="C125" t="s">
        <v>136</v>
      </c>
      <c r="D125" t="s">
        <v>200</v>
      </c>
      <c r="E125" t="s">
        <v>192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28160</v>
      </c>
      <c r="P125">
        <v>16176.1450844754</v>
      </c>
      <c r="Q125">
        <v>20</v>
      </c>
      <c r="R125">
        <v>24</v>
      </c>
      <c r="S125">
        <v>44</v>
      </c>
      <c r="T125">
        <v>0.1</v>
      </c>
      <c r="U125">
        <v>0.127</v>
      </c>
      <c r="V125">
        <v>0.122</v>
      </c>
      <c r="W125">
        <v>0.111</v>
      </c>
      <c r="X125">
        <v>9.8000000000000004E-2</v>
      </c>
      <c r="Y125">
        <v>0.107</v>
      </c>
      <c r="Z125">
        <v>8.5000000000000006E-2</v>
      </c>
      <c r="AA125">
        <v>0.159</v>
      </c>
      <c r="AB125">
        <v>0.08</v>
      </c>
      <c r="AC125">
        <v>8.5000000000000006E-2</v>
      </c>
      <c r="AD125">
        <v>9.8000000000000004E-2</v>
      </c>
      <c r="AE125">
        <v>0.108</v>
      </c>
      <c r="AF125">
        <v>6.8000000000000005E-2</v>
      </c>
      <c r="AG125">
        <v>8.2000000000000003E-2</v>
      </c>
      <c r="AH125">
        <v>8.8999999999999996E-2</v>
      </c>
      <c r="AI125">
        <v>0.10100000000000001</v>
      </c>
      <c r="AJ125">
        <v>9.0999999999999998E-2</v>
      </c>
      <c r="AK125">
        <v>0.115</v>
      </c>
      <c r="AL125">
        <v>0.11700000000000001</v>
      </c>
      <c r="AM125">
        <v>8.3000000000000004E-2</v>
      </c>
      <c r="CB125">
        <f t="shared" si="3"/>
        <v>2.3407846E-2</v>
      </c>
      <c r="CC125">
        <f t="shared" si="2"/>
        <v>378.64871301105717</v>
      </c>
      <c r="CD125">
        <v>0.02</v>
      </c>
      <c r="CE125">
        <v>4.0967660000000003E-2</v>
      </c>
      <c r="CF125">
        <v>3.6316960000000002E-2</v>
      </c>
      <c r="CG125">
        <v>2.7352620000000001E-2</v>
      </c>
      <c r="CH125">
        <v>1.8823840000000001E-2</v>
      </c>
      <c r="CI125">
        <v>2.4500859999999999E-2</v>
      </c>
      <c r="CJ125">
        <v>1.22825E-2</v>
      </c>
      <c r="CK125">
        <v>8.0393580000000006E-2</v>
      </c>
      <c r="CL125">
        <v>1.0240000000000001E-2</v>
      </c>
      <c r="CM125">
        <v>1.22825E-2</v>
      </c>
      <c r="CN125">
        <v>1.8823840000000001E-2</v>
      </c>
      <c r="CO125">
        <v>2.519424E-2</v>
      </c>
      <c r="CP125">
        <v>6.2886399999999999E-3</v>
      </c>
      <c r="CQ125">
        <v>1.102736E-2</v>
      </c>
      <c r="CR125">
        <v>1.409938E-2</v>
      </c>
      <c r="CS125">
        <v>2.0606019999999999E-2</v>
      </c>
      <c r="CT125">
        <v>1.507142E-2</v>
      </c>
      <c r="CU125">
        <v>3.04175E-2</v>
      </c>
      <c r="CV125">
        <v>3.203226E-2</v>
      </c>
      <c r="CW125">
        <v>1.143574E-2</v>
      </c>
    </row>
    <row r="126" spans="1:101" x14ac:dyDescent="0.25">
      <c r="A126" s="6">
        <v>173</v>
      </c>
      <c r="B126" s="6">
        <v>2</v>
      </c>
      <c r="C126" t="s">
        <v>138</v>
      </c>
      <c r="D126" t="s">
        <v>200</v>
      </c>
      <c r="E126" t="s">
        <v>192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11616</v>
      </c>
      <c r="P126">
        <v>8274.0982107091895</v>
      </c>
      <c r="Q126">
        <v>2</v>
      </c>
      <c r="R126">
        <v>4</v>
      </c>
      <c r="S126">
        <v>6</v>
      </c>
      <c r="T126">
        <v>0.11</v>
      </c>
      <c r="U126">
        <v>0.113</v>
      </c>
      <c r="V126">
        <v>8.3000000000000004E-2</v>
      </c>
      <c r="W126">
        <v>9.6000000000000002E-2</v>
      </c>
      <c r="X126">
        <v>0.12</v>
      </c>
      <c r="Y126">
        <v>9.6000000000000002E-2</v>
      </c>
      <c r="CB126">
        <f t="shared" si="3"/>
        <v>2.2810520000000001E-2</v>
      </c>
      <c r="CC126">
        <f t="shared" si="2"/>
        <v>188.73648271734618</v>
      </c>
      <c r="CD126">
        <v>2.6620000000000001E-2</v>
      </c>
      <c r="CE126">
        <v>2.8857939999999999E-2</v>
      </c>
      <c r="CF126">
        <v>1.143574E-2</v>
      </c>
      <c r="CG126">
        <v>1.7694720000000001E-2</v>
      </c>
      <c r="CH126">
        <v>3.456E-2</v>
      </c>
      <c r="CI126">
        <v>1.7694720000000001E-2</v>
      </c>
    </row>
    <row r="127" spans="1:101" x14ac:dyDescent="0.25">
      <c r="A127" s="6">
        <v>81</v>
      </c>
      <c r="B127" s="6">
        <v>2</v>
      </c>
      <c r="C127" t="s">
        <v>141</v>
      </c>
      <c r="D127" t="s">
        <v>200</v>
      </c>
      <c r="E127" t="s">
        <v>192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15744</v>
      </c>
      <c r="P127">
        <v>5497.29422523216</v>
      </c>
      <c r="Q127">
        <v>3</v>
      </c>
      <c r="R127">
        <v>13</v>
      </c>
      <c r="S127">
        <v>16</v>
      </c>
      <c r="T127">
        <v>0.121</v>
      </c>
      <c r="U127">
        <v>9.2999999999999999E-2</v>
      </c>
      <c r="V127">
        <v>0.104</v>
      </c>
      <c r="W127">
        <v>8.5999999999999993E-2</v>
      </c>
      <c r="X127">
        <v>7.9000000000000001E-2</v>
      </c>
      <c r="Y127">
        <v>0.106</v>
      </c>
      <c r="Z127">
        <v>0.109</v>
      </c>
      <c r="AA127">
        <v>9.6000000000000002E-2</v>
      </c>
      <c r="AB127">
        <v>9.4E-2</v>
      </c>
      <c r="AC127">
        <v>0.1</v>
      </c>
      <c r="AD127">
        <v>0.1</v>
      </c>
      <c r="AE127">
        <v>8.4000000000000005E-2</v>
      </c>
      <c r="AF127">
        <v>0.122</v>
      </c>
      <c r="AG127">
        <v>0.125</v>
      </c>
      <c r="AH127">
        <v>0.107</v>
      </c>
      <c r="AI127">
        <v>0.128</v>
      </c>
      <c r="CB127">
        <f t="shared" si="3"/>
        <v>2.3393892499999996E-2</v>
      </c>
      <c r="CC127">
        <f t="shared" si="2"/>
        <v>128.60311014595192</v>
      </c>
      <c r="CD127">
        <v>3.5431219999999999E-2</v>
      </c>
      <c r="CE127">
        <v>1.608714E-2</v>
      </c>
      <c r="CF127">
        <v>2.2497280000000001E-2</v>
      </c>
      <c r="CG127">
        <v>1.2721120000000001E-2</v>
      </c>
      <c r="CH127">
        <v>9.8607799999999995E-3</v>
      </c>
      <c r="CI127">
        <v>2.3820319999999999E-2</v>
      </c>
      <c r="CJ127">
        <v>2.5900579999999999E-2</v>
      </c>
      <c r="CK127">
        <v>1.7694720000000001E-2</v>
      </c>
      <c r="CL127">
        <v>1.661168E-2</v>
      </c>
      <c r="CM127">
        <v>0.02</v>
      </c>
      <c r="CN127">
        <v>0.02</v>
      </c>
      <c r="CO127">
        <v>1.1854079999999999E-2</v>
      </c>
      <c r="CP127">
        <v>3.6316960000000002E-2</v>
      </c>
      <c r="CQ127">
        <v>3.90625E-2</v>
      </c>
      <c r="CR127">
        <v>2.4500859999999999E-2</v>
      </c>
      <c r="CS127">
        <v>4.1943040000000001E-2</v>
      </c>
    </row>
    <row r="128" spans="1:101" x14ac:dyDescent="0.25">
      <c r="A128" s="6">
        <v>99</v>
      </c>
      <c r="B128" s="6">
        <v>2</v>
      </c>
      <c r="C128" t="s">
        <v>143</v>
      </c>
      <c r="D128" t="s">
        <v>200</v>
      </c>
      <c r="E128" t="s">
        <v>192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14208</v>
      </c>
      <c r="P128">
        <v>4912.8080525754604</v>
      </c>
      <c r="Q128">
        <v>2</v>
      </c>
      <c r="R128">
        <v>4</v>
      </c>
      <c r="S128">
        <v>6</v>
      </c>
      <c r="T128">
        <v>0.14799999999999999</v>
      </c>
      <c r="U128">
        <v>9.7000000000000003E-2</v>
      </c>
      <c r="V128">
        <v>0.10100000000000001</v>
      </c>
      <c r="W128">
        <v>0.115</v>
      </c>
      <c r="X128">
        <v>0.1</v>
      </c>
      <c r="Y128">
        <v>0.122</v>
      </c>
      <c r="CB128">
        <f t="shared" si="3"/>
        <v>3.1738296666666672E-2</v>
      </c>
      <c r="CC128">
        <f t="shared" si="2"/>
        <v>155.92415943902893</v>
      </c>
      <c r="CD128">
        <v>6.4835840000000006E-2</v>
      </c>
      <c r="CE128">
        <v>1.8253459999999999E-2</v>
      </c>
      <c r="CF128">
        <v>2.0606019999999999E-2</v>
      </c>
      <c r="CG128">
        <v>3.04175E-2</v>
      </c>
      <c r="CH128">
        <v>0.02</v>
      </c>
      <c r="CI128">
        <v>3.6316960000000002E-2</v>
      </c>
    </row>
    <row r="129" spans="1:101" x14ac:dyDescent="0.25">
      <c r="A129" s="6">
        <v>117</v>
      </c>
      <c r="B129" s="6">
        <v>2</v>
      </c>
      <c r="C129" t="s">
        <v>144</v>
      </c>
      <c r="D129" t="s">
        <v>200</v>
      </c>
      <c r="E129" t="s">
        <v>192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2688</v>
      </c>
      <c r="P129">
        <v>1126.2749144378099</v>
      </c>
      <c r="Q129">
        <v>2</v>
      </c>
      <c r="R129">
        <v>1</v>
      </c>
      <c r="S129">
        <v>3</v>
      </c>
      <c r="T129">
        <v>0.08</v>
      </c>
      <c r="U129">
        <v>0.10100000000000001</v>
      </c>
      <c r="V129">
        <v>0.122</v>
      </c>
      <c r="CB129">
        <f t="shared" si="3"/>
        <v>2.2387660000000004E-2</v>
      </c>
      <c r="CC129">
        <f t="shared" si="2"/>
        <v>25.214659850962782</v>
      </c>
      <c r="CD129">
        <v>1.0240000000000001E-2</v>
      </c>
      <c r="CE129">
        <v>2.0606019999999999E-2</v>
      </c>
      <c r="CF129">
        <v>3.6316960000000002E-2</v>
      </c>
    </row>
    <row r="130" spans="1:101" x14ac:dyDescent="0.25">
      <c r="A130" s="6">
        <v>134</v>
      </c>
      <c r="B130" s="6">
        <v>2</v>
      </c>
      <c r="C130" t="s">
        <v>145</v>
      </c>
      <c r="D130" t="s">
        <v>200</v>
      </c>
      <c r="E130" t="s">
        <v>192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8160</v>
      </c>
      <c r="P130">
        <v>3340.4500233223198</v>
      </c>
      <c r="Q130">
        <v>13</v>
      </c>
      <c r="R130">
        <v>2</v>
      </c>
      <c r="S130">
        <v>15</v>
      </c>
      <c r="T130">
        <v>9.9000000000000005E-2</v>
      </c>
      <c r="U130">
        <v>9.8000000000000004E-2</v>
      </c>
      <c r="V130">
        <v>0.112</v>
      </c>
      <c r="W130">
        <v>0.11700000000000001</v>
      </c>
      <c r="X130">
        <v>9.9000000000000005E-2</v>
      </c>
      <c r="Y130">
        <v>9.0999999999999998E-2</v>
      </c>
      <c r="Z130">
        <v>0.10100000000000001</v>
      </c>
      <c r="AA130">
        <v>9.7000000000000003E-2</v>
      </c>
      <c r="AB130">
        <v>9.2999999999999999E-2</v>
      </c>
      <c r="AC130">
        <v>8.5999999999999993E-2</v>
      </c>
      <c r="AD130">
        <v>8.3000000000000004E-2</v>
      </c>
      <c r="AE130">
        <v>9.0999999999999998E-2</v>
      </c>
      <c r="AF130">
        <v>7.8E-2</v>
      </c>
      <c r="AG130">
        <v>0.107</v>
      </c>
      <c r="AH130">
        <v>9.0999999999999998E-2</v>
      </c>
      <c r="CB130">
        <f t="shared" si="3"/>
        <v>1.8405084000000002E-2</v>
      </c>
      <c r="CC130">
        <f t="shared" ref="CC130:CC193" si="44">CB130*P130</f>
        <v>61.481263277049258</v>
      </c>
      <c r="CD130">
        <v>1.940598E-2</v>
      </c>
      <c r="CE130">
        <v>1.8823840000000001E-2</v>
      </c>
      <c r="CF130">
        <v>2.8098560000000002E-2</v>
      </c>
      <c r="CG130">
        <v>3.203226E-2</v>
      </c>
      <c r="CH130">
        <v>1.940598E-2</v>
      </c>
      <c r="CI130">
        <v>1.507142E-2</v>
      </c>
      <c r="CJ130">
        <v>2.0606019999999999E-2</v>
      </c>
      <c r="CK130">
        <v>1.8253459999999999E-2</v>
      </c>
      <c r="CL130">
        <v>1.608714E-2</v>
      </c>
      <c r="CM130">
        <v>1.2721120000000001E-2</v>
      </c>
      <c r="CN130">
        <v>1.143574E-2</v>
      </c>
      <c r="CO130">
        <v>1.507142E-2</v>
      </c>
      <c r="CP130">
        <v>9.4910399999999992E-3</v>
      </c>
      <c r="CQ130">
        <v>2.4500859999999999E-2</v>
      </c>
      <c r="CR130">
        <v>1.507142E-2</v>
      </c>
    </row>
    <row r="131" spans="1:101" x14ac:dyDescent="0.25">
      <c r="A131" s="6">
        <v>43</v>
      </c>
      <c r="B131" s="6">
        <v>2</v>
      </c>
      <c r="C131" t="s">
        <v>146</v>
      </c>
      <c r="D131" t="s">
        <v>200</v>
      </c>
      <c r="E131" t="s">
        <v>192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14720</v>
      </c>
      <c r="P131">
        <v>5242.5415660140898</v>
      </c>
      <c r="Q131">
        <v>4</v>
      </c>
      <c r="R131">
        <v>6</v>
      </c>
      <c r="S131">
        <v>10</v>
      </c>
      <c r="T131">
        <v>0.106</v>
      </c>
      <c r="U131">
        <v>0.105</v>
      </c>
      <c r="V131">
        <v>0.1</v>
      </c>
      <c r="W131">
        <v>0.106</v>
      </c>
      <c r="X131">
        <v>0.11799999999999999</v>
      </c>
      <c r="Y131">
        <v>0.10199999999999999</v>
      </c>
      <c r="Z131">
        <v>9.0999999999999998E-2</v>
      </c>
      <c r="AA131">
        <v>8.4000000000000005E-2</v>
      </c>
      <c r="AB131">
        <v>0.11700000000000001</v>
      </c>
      <c r="AC131">
        <v>9.6000000000000002E-2</v>
      </c>
      <c r="CB131">
        <f t="shared" ref="CB131:CB194" si="45">AVERAGE(CD131:CW131)</f>
        <v>2.2153041999999998E-2</v>
      </c>
      <c r="CC131">
        <f t="shared" si="44"/>
        <v>116.1382434986559</v>
      </c>
      <c r="CD131">
        <v>2.3820319999999999E-2</v>
      </c>
      <c r="CE131">
        <v>2.3152499999999999E-2</v>
      </c>
      <c r="CF131">
        <v>0.02</v>
      </c>
      <c r="CG131">
        <v>2.3820319999999999E-2</v>
      </c>
      <c r="CH131">
        <v>3.2860640000000003E-2</v>
      </c>
      <c r="CI131">
        <v>2.1224159999999999E-2</v>
      </c>
      <c r="CJ131">
        <v>1.507142E-2</v>
      </c>
      <c r="CK131">
        <v>1.1854079999999999E-2</v>
      </c>
      <c r="CL131">
        <v>3.203226E-2</v>
      </c>
      <c r="CM131">
        <v>1.7694720000000001E-2</v>
      </c>
    </row>
    <row r="132" spans="1:101" x14ac:dyDescent="0.25">
      <c r="A132" s="6">
        <v>62</v>
      </c>
      <c r="B132" s="6">
        <v>2</v>
      </c>
      <c r="C132" t="s">
        <v>148</v>
      </c>
      <c r="D132" t="s">
        <v>200</v>
      </c>
      <c r="E132" t="s">
        <v>192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1856</v>
      </c>
      <c r="P132">
        <v>590.19295580127505</v>
      </c>
      <c r="Q132">
        <v>1</v>
      </c>
      <c r="R132">
        <v>0</v>
      </c>
      <c r="S132">
        <v>1</v>
      </c>
      <c r="T132">
        <v>0.10299999999999999</v>
      </c>
      <c r="CB132">
        <f t="shared" si="45"/>
        <v>2.1854539999999999E-2</v>
      </c>
      <c r="CC132">
        <f t="shared" si="44"/>
        <v>12.898395560277196</v>
      </c>
      <c r="CD132">
        <v>2.1854539999999999E-2</v>
      </c>
    </row>
    <row r="133" spans="1:101" x14ac:dyDescent="0.25">
      <c r="A133" s="6">
        <v>229</v>
      </c>
      <c r="B133" s="6">
        <v>2</v>
      </c>
      <c r="C133" t="s">
        <v>150</v>
      </c>
      <c r="D133" t="s">
        <v>200</v>
      </c>
      <c r="E133" t="s">
        <v>192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5984</v>
      </c>
      <c r="P133">
        <v>2131.2071148796399</v>
      </c>
      <c r="Q133">
        <v>3</v>
      </c>
      <c r="R133">
        <v>8</v>
      </c>
      <c r="S133">
        <v>11</v>
      </c>
      <c r="T133">
        <v>8.6999999999999994E-2</v>
      </c>
      <c r="U133">
        <v>8.3000000000000004E-2</v>
      </c>
      <c r="V133">
        <v>0.108</v>
      </c>
      <c r="W133">
        <v>9.1999999999999998E-2</v>
      </c>
      <c r="X133">
        <v>7.6999999999999999E-2</v>
      </c>
      <c r="Y133">
        <v>8.6999999999999994E-2</v>
      </c>
      <c r="Z133">
        <v>9.8000000000000004E-2</v>
      </c>
      <c r="AA133">
        <v>7.9000000000000001E-2</v>
      </c>
      <c r="AB133">
        <v>8.5999999999999993E-2</v>
      </c>
      <c r="AC133">
        <v>0.10100000000000001</v>
      </c>
      <c r="AD133">
        <v>9.5000000000000001E-2</v>
      </c>
      <c r="CB133">
        <f t="shared" si="45"/>
        <v>1.5166707272727275E-2</v>
      </c>
      <c r="CC133">
        <f t="shared" si="44"/>
        <v>32.323394448933144</v>
      </c>
      <c r="CD133">
        <v>1.3170060000000001E-2</v>
      </c>
      <c r="CE133">
        <v>1.143574E-2</v>
      </c>
      <c r="CF133">
        <v>2.519424E-2</v>
      </c>
      <c r="CG133">
        <v>1.5573760000000001E-2</v>
      </c>
      <c r="CH133">
        <v>9.1306600000000005E-3</v>
      </c>
      <c r="CI133">
        <v>1.3170060000000001E-2</v>
      </c>
      <c r="CJ133">
        <v>1.8823840000000001E-2</v>
      </c>
      <c r="CK133">
        <v>9.8607799999999995E-3</v>
      </c>
      <c r="CL133">
        <v>1.2721120000000001E-2</v>
      </c>
      <c r="CM133">
        <v>2.0606019999999999E-2</v>
      </c>
      <c r="CN133">
        <v>1.71475E-2</v>
      </c>
    </row>
    <row r="134" spans="1:101" x14ac:dyDescent="0.25">
      <c r="A134" s="6">
        <v>8</v>
      </c>
      <c r="B134" s="6">
        <v>2</v>
      </c>
      <c r="C134" t="s">
        <v>151</v>
      </c>
      <c r="D134" t="s">
        <v>200</v>
      </c>
      <c r="E134" t="s">
        <v>192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5200</v>
      </c>
      <c r="P134">
        <v>2104.5281731158302</v>
      </c>
      <c r="Q134">
        <v>5</v>
      </c>
      <c r="R134">
        <v>0</v>
      </c>
      <c r="S134">
        <v>5</v>
      </c>
      <c r="T134">
        <v>0.109</v>
      </c>
      <c r="U134">
        <v>8.3000000000000004E-2</v>
      </c>
      <c r="V134">
        <v>9.6000000000000002E-2</v>
      </c>
      <c r="W134">
        <v>8.8999999999999996E-2</v>
      </c>
      <c r="X134">
        <v>0.114</v>
      </c>
      <c r="CB134">
        <f t="shared" si="45"/>
        <v>1.9752260000000001E-2</v>
      </c>
      <c r="CC134">
        <f t="shared" si="44"/>
        <v>41.569187652708891</v>
      </c>
      <c r="CD134">
        <v>2.5900579999999999E-2</v>
      </c>
      <c r="CE134">
        <v>1.143574E-2</v>
      </c>
      <c r="CF134">
        <v>1.7694720000000001E-2</v>
      </c>
      <c r="CG134">
        <v>1.409938E-2</v>
      </c>
      <c r="CH134">
        <v>2.9630879999999998E-2</v>
      </c>
    </row>
    <row r="135" spans="1:101" x14ac:dyDescent="0.25">
      <c r="A135" s="6">
        <v>26</v>
      </c>
      <c r="B135" s="6">
        <v>2</v>
      </c>
      <c r="C135" t="s">
        <v>152</v>
      </c>
      <c r="D135" t="s">
        <v>200</v>
      </c>
      <c r="E135" t="s">
        <v>192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8568</v>
      </c>
      <c r="P135">
        <v>4554.4792482163302</v>
      </c>
      <c r="Q135">
        <v>23</v>
      </c>
      <c r="R135">
        <v>28</v>
      </c>
      <c r="S135">
        <v>51</v>
      </c>
      <c r="T135">
        <v>7.8E-2</v>
      </c>
      <c r="U135">
        <v>6.8000000000000005E-2</v>
      </c>
      <c r="V135">
        <v>7.5999999999999998E-2</v>
      </c>
      <c r="W135">
        <v>9.1999999999999998E-2</v>
      </c>
      <c r="X135">
        <v>9.4E-2</v>
      </c>
      <c r="Y135">
        <v>0.105</v>
      </c>
      <c r="Z135">
        <v>9.7000000000000003E-2</v>
      </c>
      <c r="AA135">
        <v>8.4000000000000005E-2</v>
      </c>
      <c r="AB135">
        <v>9.8000000000000004E-2</v>
      </c>
      <c r="AC135">
        <v>7.9000000000000001E-2</v>
      </c>
      <c r="AD135">
        <v>9.0999999999999998E-2</v>
      </c>
      <c r="AE135">
        <v>0.10100000000000001</v>
      </c>
      <c r="AF135">
        <v>0.107</v>
      </c>
      <c r="AG135">
        <v>9.1999999999999998E-2</v>
      </c>
      <c r="AH135">
        <v>7.1999999999999995E-2</v>
      </c>
      <c r="AI135">
        <v>8.2000000000000003E-2</v>
      </c>
      <c r="AJ135">
        <v>9.5000000000000001E-2</v>
      </c>
      <c r="AK135">
        <v>8.2000000000000003E-2</v>
      </c>
      <c r="AL135">
        <v>9.7000000000000003E-2</v>
      </c>
      <c r="AM135">
        <v>0.105</v>
      </c>
      <c r="CB135">
        <f t="shared" si="45"/>
        <v>1.5125725000000001E-2</v>
      </c>
      <c r="CC135">
        <f t="shared" si="44"/>
        <v>68.889800626726952</v>
      </c>
      <c r="CD135">
        <v>9.4910399999999992E-3</v>
      </c>
      <c r="CE135">
        <v>6.2886399999999999E-3</v>
      </c>
      <c r="CF135">
        <v>8.7795200000000007E-3</v>
      </c>
      <c r="CG135">
        <v>1.5573760000000001E-2</v>
      </c>
      <c r="CH135">
        <v>1.661168E-2</v>
      </c>
      <c r="CI135">
        <v>2.3152499999999999E-2</v>
      </c>
      <c r="CJ135">
        <v>1.8253459999999999E-2</v>
      </c>
      <c r="CK135">
        <v>1.1854079999999999E-2</v>
      </c>
      <c r="CL135">
        <v>1.8823840000000001E-2</v>
      </c>
      <c r="CM135">
        <v>9.8607799999999995E-3</v>
      </c>
      <c r="CN135">
        <v>1.507142E-2</v>
      </c>
      <c r="CO135">
        <v>2.0606019999999999E-2</v>
      </c>
      <c r="CP135">
        <v>2.4500859999999999E-2</v>
      </c>
      <c r="CQ135">
        <v>1.5573760000000001E-2</v>
      </c>
      <c r="CR135">
        <v>7.4649599999999997E-3</v>
      </c>
      <c r="CS135">
        <v>1.102736E-2</v>
      </c>
      <c r="CT135">
        <v>1.71475E-2</v>
      </c>
      <c r="CU135">
        <v>1.102736E-2</v>
      </c>
      <c r="CV135">
        <v>1.8253459999999999E-2</v>
      </c>
      <c r="CW135">
        <v>2.3152499999999999E-2</v>
      </c>
    </row>
    <row r="136" spans="1:101" x14ac:dyDescent="0.25">
      <c r="A136" s="6">
        <v>242</v>
      </c>
      <c r="B136" s="6">
        <v>2</v>
      </c>
      <c r="C136" t="s">
        <v>112</v>
      </c>
      <c r="D136" t="s">
        <v>201</v>
      </c>
      <c r="E136" t="s">
        <v>192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155.25</v>
      </c>
      <c r="P136">
        <v>23.593988937708399</v>
      </c>
      <c r="Q136">
        <v>3</v>
      </c>
      <c r="R136">
        <v>-1</v>
      </c>
      <c r="S136">
        <v>3</v>
      </c>
      <c r="T136">
        <v>0.122</v>
      </c>
      <c r="U136">
        <v>0.126</v>
      </c>
      <c r="V136">
        <v>0.115</v>
      </c>
      <c r="CB136">
        <f t="shared" si="45"/>
        <v>5.417155485000001E-3</v>
      </c>
      <c r="CC136">
        <f t="shared" si="44"/>
        <v>0.1278123065869364</v>
      </c>
      <c r="CD136">
        <v>5.5292571600000003E-3</v>
      </c>
      <c r="CE136">
        <v>6.0911449200000004E-3</v>
      </c>
      <c r="CF136">
        <v>4.6310643749999996E-3</v>
      </c>
    </row>
    <row r="137" spans="1:101" x14ac:dyDescent="0.25">
      <c r="A137" s="6">
        <v>320</v>
      </c>
      <c r="B137" s="6">
        <v>2</v>
      </c>
      <c r="C137" t="s">
        <v>115</v>
      </c>
      <c r="D137" t="s">
        <v>201</v>
      </c>
      <c r="E137" t="s">
        <v>192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3</v>
      </c>
      <c r="P137">
        <v>0.50753635851783596</v>
      </c>
      <c r="Q137">
        <v>3</v>
      </c>
      <c r="R137">
        <v>-1</v>
      </c>
      <c r="S137">
        <v>3</v>
      </c>
      <c r="T137">
        <v>0.13300000000000001</v>
      </c>
      <c r="U137">
        <v>0.14599999999999999</v>
      </c>
      <c r="V137">
        <v>0.123</v>
      </c>
      <c r="CB137">
        <f t="shared" si="45"/>
        <v>7.4355246E-3</v>
      </c>
      <c r="CC137">
        <f t="shared" si="44"/>
        <v>3.773799079153789E-3</v>
      </c>
      <c r="CD137">
        <v>7.1637796649999998E-3</v>
      </c>
      <c r="CE137">
        <v>9.47645412E-3</v>
      </c>
      <c r="CF137">
        <v>5.6663400150000001E-3</v>
      </c>
    </row>
    <row r="138" spans="1:101" x14ac:dyDescent="0.25">
      <c r="A138" s="6">
        <v>334</v>
      </c>
      <c r="B138" s="6">
        <v>2</v>
      </c>
      <c r="C138" t="s">
        <v>119</v>
      </c>
      <c r="D138" t="s">
        <v>201</v>
      </c>
      <c r="E138" t="s">
        <v>192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250</v>
      </c>
      <c r="P138">
        <v>133.82799503206601</v>
      </c>
      <c r="Q138">
        <v>8</v>
      </c>
      <c r="R138">
        <v>-1</v>
      </c>
      <c r="S138">
        <v>8</v>
      </c>
      <c r="T138">
        <v>0.123</v>
      </c>
      <c r="U138">
        <v>0.121</v>
      </c>
      <c r="V138">
        <v>0.11899999999999999</v>
      </c>
      <c r="W138">
        <v>0.124</v>
      </c>
      <c r="X138">
        <v>0.13500000000000001</v>
      </c>
      <c r="Y138">
        <v>0.128</v>
      </c>
      <c r="Z138">
        <v>0.127</v>
      </c>
      <c r="AA138">
        <v>0.13700000000000001</v>
      </c>
      <c r="CB138">
        <f t="shared" si="45"/>
        <v>6.2428110412500008E-3</v>
      </c>
      <c r="CC138">
        <f t="shared" si="44"/>
        <v>0.83546288501453192</v>
      </c>
      <c r="CD138">
        <v>5.6663400150000001E-3</v>
      </c>
      <c r="CE138">
        <v>5.3944032450000002E-3</v>
      </c>
      <c r="CF138">
        <v>5.1313091550000004E-3</v>
      </c>
      <c r="CG138">
        <v>5.8056700800000003E-3</v>
      </c>
      <c r="CH138">
        <v>7.4918418750000004E-3</v>
      </c>
      <c r="CI138">
        <v>6.3858278400000003E-3</v>
      </c>
      <c r="CJ138">
        <v>6.237326235E-3</v>
      </c>
      <c r="CK138">
        <v>7.8297698850000007E-3</v>
      </c>
    </row>
    <row r="139" spans="1:101" x14ac:dyDescent="0.25">
      <c r="A139" s="6">
        <v>351</v>
      </c>
      <c r="B139" s="6">
        <v>2</v>
      </c>
      <c r="C139" t="s">
        <v>121</v>
      </c>
      <c r="D139" t="s">
        <v>201</v>
      </c>
      <c r="E139" t="s">
        <v>192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55</v>
      </c>
      <c r="P139">
        <v>6.4254874487708697</v>
      </c>
      <c r="Q139">
        <v>4</v>
      </c>
      <c r="R139">
        <v>-1</v>
      </c>
      <c r="S139">
        <v>4</v>
      </c>
      <c r="T139">
        <v>0.11799999999999999</v>
      </c>
      <c r="U139">
        <v>0.11700000000000001</v>
      </c>
      <c r="V139">
        <v>0.115</v>
      </c>
      <c r="W139">
        <v>0.13200000000000001</v>
      </c>
      <c r="CB139">
        <f t="shared" si="45"/>
        <v>5.3786027400000002E-3</v>
      </c>
      <c r="CC139">
        <f t="shared" si="44"/>
        <v>3.4560144397794611E-2</v>
      </c>
      <c r="CD139">
        <v>5.0030324400000001E-3</v>
      </c>
      <c r="CE139">
        <v>4.8769115850000001E-3</v>
      </c>
      <c r="CF139">
        <v>4.6310643749999996E-3</v>
      </c>
      <c r="CG139">
        <v>7.0034025600000001E-3</v>
      </c>
    </row>
    <row r="140" spans="1:101" x14ac:dyDescent="0.25">
      <c r="A140" s="6">
        <v>257</v>
      </c>
      <c r="B140" s="6">
        <v>2</v>
      </c>
      <c r="C140" t="s">
        <v>127</v>
      </c>
      <c r="D140" t="s">
        <v>201</v>
      </c>
      <c r="E140" t="s">
        <v>192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2</v>
      </c>
      <c r="P140">
        <v>1.0247400762455401</v>
      </c>
      <c r="Q140">
        <v>2</v>
      </c>
      <c r="R140">
        <v>-1</v>
      </c>
      <c r="S140">
        <v>2</v>
      </c>
      <c r="T140">
        <v>0.115</v>
      </c>
      <c r="U140">
        <v>0.13</v>
      </c>
      <c r="CB140">
        <f t="shared" si="45"/>
        <v>5.6604646875000001E-3</v>
      </c>
      <c r="CC140">
        <f t="shared" si="44"/>
        <v>5.8005050154539377E-3</v>
      </c>
      <c r="CD140">
        <v>4.6310643749999996E-3</v>
      </c>
      <c r="CE140">
        <v>6.6898649999999997E-3</v>
      </c>
    </row>
    <row r="141" spans="1:101" x14ac:dyDescent="0.25">
      <c r="A141" s="6">
        <v>192</v>
      </c>
      <c r="B141" s="6">
        <v>2</v>
      </c>
      <c r="C141" t="s">
        <v>132</v>
      </c>
      <c r="D141" t="s">
        <v>201</v>
      </c>
      <c r="E141" t="s">
        <v>192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34496</v>
      </c>
      <c r="P141">
        <v>14121.5887260449</v>
      </c>
      <c r="Q141">
        <v>23</v>
      </c>
      <c r="R141">
        <v>21</v>
      </c>
      <c r="S141">
        <v>44</v>
      </c>
      <c r="T141">
        <v>0.12</v>
      </c>
      <c r="U141">
        <v>0.15</v>
      </c>
      <c r="V141">
        <v>0.16</v>
      </c>
      <c r="W141">
        <v>0.159</v>
      </c>
      <c r="X141">
        <v>0.14599999999999999</v>
      </c>
      <c r="Y141">
        <v>0.17499999999999999</v>
      </c>
      <c r="Z141">
        <v>0.14699999999999999</v>
      </c>
      <c r="AA141">
        <v>0.13900000000000001</v>
      </c>
      <c r="AB141">
        <v>0.14199999999999999</v>
      </c>
      <c r="AC141">
        <v>0.13400000000000001</v>
      </c>
      <c r="AD141">
        <v>0.14199999999999999</v>
      </c>
      <c r="AE141">
        <v>0.156</v>
      </c>
      <c r="AF141">
        <v>0.17100000000000001</v>
      </c>
      <c r="AG141">
        <v>0.13900000000000001</v>
      </c>
      <c r="AH141">
        <v>0.122</v>
      </c>
      <c r="AI141">
        <v>0.156</v>
      </c>
      <c r="AJ141">
        <v>0.13800000000000001</v>
      </c>
      <c r="AK141">
        <v>0.151</v>
      </c>
      <c r="AL141">
        <v>0.158</v>
      </c>
      <c r="AM141">
        <v>0.151</v>
      </c>
      <c r="CB141">
        <f t="shared" si="45"/>
        <v>1.0084706268E-2</v>
      </c>
      <c r="CC141">
        <f t="shared" si="44"/>
        <v>142.41207433966312</v>
      </c>
      <c r="CD141">
        <v>5.2617599999999999E-3</v>
      </c>
      <c r="CE141">
        <v>1.0276875E-2</v>
      </c>
      <c r="CF141">
        <v>1.247232E-2</v>
      </c>
      <c r="CG141">
        <v>1.2239922554999999E-2</v>
      </c>
      <c r="CH141">
        <v>9.47645412E-3</v>
      </c>
      <c r="CI141">
        <v>1.6319296875E-2</v>
      </c>
      <c r="CJ141">
        <v>9.6725125350000003E-3</v>
      </c>
      <c r="CK141">
        <v>8.1777098549999996E-3</v>
      </c>
      <c r="CL141">
        <v>8.7187119600000001E-3</v>
      </c>
      <c r="CM141">
        <v>7.3265866800000003E-3</v>
      </c>
      <c r="CN141">
        <v>8.7187119600000001E-3</v>
      </c>
      <c r="CO141">
        <v>1.156008672E-2</v>
      </c>
      <c r="CP141">
        <v>1.5225642495E-2</v>
      </c>
      <c r="CQ141">
        <v>8.1777098549999996E-3</v>
      </c>
      <c r="CR141">
        <v>5.5292571600000003E-3</v>
      </c>
      <c r="CS141">
        <v>1.156008672E-2</v>
      </c>
      <c r="CT141">
        <v>8.0024792400000006E-3</v>
      </c>
      <c r="CU141">
        <v>1.0483785795000001E-2</v>
      </c>
      <c r="CV141">
        <v>1.2010430040000001E-2</v>
      </c>
      <c r="CW141">
        <v>1.0483785795000001E-2</v>
      </c>
    </row>
    <row r="142" spans="1:101" x14ac:dyDescent="0.25">
      <c r="A142" s="6">
        <v>212</v>
      </c>
      <c r="B142" s="6">
        <v>2</v>
      </c>
      <c r="C142" t="s">
        <v>135</v>
      </c>
      <c r="D142" t="s">
        <v>201</v>
      </c>
      <c r="E142" t="s">
        <v>192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48800</v>
      </c>
      <c r="P142">
        <v>18294.910499248199</v>
      </c>
      <c r="Q142">
        <v>21</v>
      </c>
      <c r="R142">
        <v>29</v>
      </c>
      <c r="S142">
        <v>50</v>
      </c>
      <c r="T142">
        <v>0.152</v>
      </c>
      <c r="U142">
        <v>0.125</v>
      </c>
      <c r="V142">
        <v>0.129</v>
      </c>
      <c r="W142">
        <v>0.13</v>
      </c>
      <c r="X142">
        <v>0.14699999999999999</v>
      </c>
      <c r="Y142">
        <v>0.152</v>
      </c>
      <c r="Z142">
        <v>0.127</v>
      </c>
      <c r="AA142">
        <v>0.11899999999999999</v>
      </c>
      <c r="AB142">
        <v>0.129</v>
      </c>
      <c r="AC142">
        <v>0.14000000000000001</v>
      </c>
      <c r="AD142">
        <v>0.13600000000000001</v>
      </c>
      <c r="AE142">
        <v>0.13200000000000001</v>
      </c>
      <c r="AF142">
        <v>0.129</v>
      </c>
      <c r="AG142">
        <v>0.123</v>
      </c>
      <c r="AH142">
        <v>0.13700000000000001</v>
      </c>
      <c r="AI142">
        <v>0.14499999999999999</v>
      </c>
      <c r="AJ142">
        <v>0.127</v>
      </c>
      <c r="AK142">
        <v>0.129</v>
      </c>
      <c r="AL142">
        <v>0.13600000000000001</v>
      </c>
      <c r="AM142">
        <v>0.14499999999999999</v>
      </c>
      <c r="CB142">
        <f t="shared" si="45"/>
        <v>7.5094716637499987E-3</v>
      </c>
      <c r="CC142">
        <f t="shared" si="44"/>
        <v>137.38511198494669</v>
      </c>
      <c r="CD142">
        <v>1.069345536E-2</v>
      </c>
      <c r="CE142">
        <v>5.9472656249999999E-3</v>
      </c>
      <c r="CF142">
        <v>6.5366680050000002E-3</v>
      </c>
      <c r="CG142">
        <v>6.6898649999999997E-3</v>
      </c>
      <c r="CH142">
        <v>9.6725125350000003E-3</v>
      </c>
      <c r="CI142">
        <v>1.069345536E-2</v>
      </c>
      <c r="CJ142">
        <v>6.237326235E-3</v>
      </c>
      <c r="CK142">
        <v>5.1313091550000004E-3</v>
      </c>
      <c r="CL142">
        <v>6.5366680050000002E-3</v>
      </c>
      <c r="CM142">
        <v>8.3554800000000002E-3</v>
      </c>
      <c r="CN142">
        <v>7.65956352E-3</v>
      </c>
      <c r="CO142">
        <v>7.0034025600000001E-3</v>
      </c>
      <c r="CP142">
        <v>6.5366680050000002E-3</v>
      </c>
      <c r="CQ142">
        <v>5.6663400150000001E-3</v>
      </c>
      <c r="CR142">
        <v>7.8297698850000007E-3</v>
      </c>
      <c r="CS142">
        <v>9.2830631249999993E-3</v>
      </c>
      <c r="CT142">
        <v>6.237326235E-3</v>
      </c>
      <c r="CU142">
        <v>6.5366680050000002E-3</v>
      </c>
      <c r="CV142">
        <v>7.65956352E-3</v>
      </c>
      <c r="CW142">
        <v>9.2830631249999993E-3</v>
      </c>
    </row>
    <row r="143" spans="1:101" x14ac:dyDescent="0.25">
      <c r="A143" s="6">
        <v>156</v>
      </c>
      <c r="B143" s="6">
        <v>2</v>
      </c>
      <c r="C143" t="s">
        <v>136</v>
      </c>
      <c r="D143" t="s">
        <v>201</v>
      </c>
      <c r="E143" t="s">
        <v>192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28160</v>
      </c>
      <c r="P143">
        <v>16176.1450844754</v>
      </c>
      <c r="Q143">
        <v>20</v>
      </c>
      <c r="R143">
        <v>24</v>
      </c>
      <c r="S143">
        <v>44</v>
      </c>
      <c r="T143">
        <v>0.17399999999999999</v>
      </c>
      <c r="U143">
        <v>0.157</v>
      </c>
      <c r="V143">
        <v>0.16800000000000001</v>
      </c>
      <c r="W143">
        <v>0.17</v>
      </c>
      <c r="X143">
        <v>0.187</v>
      </c>
      <c r="Y143">
        <v>0.151</v>
      </c>
      <c r="Z143">
        <v>0.17199999999999999</v>
      </c>
      <c r="AA143">
        <v>0.16</v>
      </c>
      <c r="AB143">
        <v>0.13100000000000001</v>
      </c>
      <c r="AC143">
        <v>0.16700000000000001</v>
      </c>
      <c r="AD143">
        <v>0.16700000000000001</v>
      </c>
      <c r="AE143">
        <v>0.14499999999999999</v>
      </c>
      <c r="AF143">
        <v>0.14399999999999999</v>
      </c>
      <c r="AG143">
        <v>0.153</v>
      </c>
      <c r="AH143">
        <v>0.19500000000000001</v>
      </c>
      <c r="AI143">
        <v>0.182</v>
      </c>
      <c r="AJ143">
        <v>8.7999999999999995E-2</v>
      </c>
      <c r="AK143">
        <v>0.183</v>
      </c>
      <c r="AL143">
        <v>0.14099999999999999</v>
      </c>
      <c r="AM143">
        <v>0.11899999999999999</v>
      </c>
      <c r="CB143">
        <f t="shared" si="45"/>
        <v>1.2770750705999997E-2</v>
      </c>
      <c r="CC143">
        <f t="shared" si="44"/>
        <v>206.5815162579226</v>
      </c>
      <c r="CD143">
        <v>1.6041133079999999E-2</v>
      </c>
      <c r="CE143">
        <v>1.1783824185E-2</v>
      </c>
      <c r="CF143">
        <v>1.443826944E-2</v>
      </c>
      <c r="CG143">
        <v>1.4960085E-2</v>
      </c>
      <c r="CH143">
        <v>1.9911873135000001E-2</v>
      </c>
      <c r="CI143">
        <v>1.0483785795000001E-2</v>
      </c>
      <c r="CJ143">
        <v>1.549432416E-2</v>
      </c>
      <c r="CK143">
        <v>1.247232E-2</v>
      </c>
      <c r="CL143">
        <v>6.8454370950000003E-3</v>
      </c>
      <c r="CM143">
        <v>1.4181974835E-2</v>
      </c>
      <c r="CN143">
        <v>1.4181974835E-2</v>
      </c>
      <c r="CO143">
        <v>9.2830631249999993E-3</v>
      </c>
      <c r="CP143">
        <v>9.0923212799999993E-3</v>
      </c>
      <c r="CQ143">
        <v>1.0905901964999999E-2</v>
      </c>
      <c r="CR143">
        <v>2.2578294374999999E-2</v>
      </c>
      <c r="CS143">
        <v>1.8356989559999998E-2</v>
      </c>
      <c r="CT143">
        <v>2.0750822400000001E-3</v>
      </c>
      <c r="CU143">
        <v>1.8661242915000001E-2</v>
      </c>
      <c r="CV143">
        <v>8.5358079449999995E-3</v>
      </c>
      <c r="CW143">
        <v>5.1313091550000004E-3</v>
      </c>
    </row>
    <row r="144" spans="1:101" x14ac:dyDescent="0.25">
      <c r="A144" s="6">
        <v>174</v>
      </c>
      <c r="B144" s="6">
        <v>2</v>
      </c>
      <c r="C144" t="s">
        <v>138</v>
      </c>
      <c r="D144" t="s">
        <v>201</v>
      </c>
      <c r="E144" t="s">
        <v>192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183920</v>
      </c>
      <c r="P144">
        <v>131006.555002896</v>
      </c>
      <c r="Q144">
        <v>49</v>
      </c>
      <c r="R144">
        <v>46</v>
      </c>
      <c r="S144">
        <v>95</v>
      </c>
      <c r="T144">
        <v>0.157</v>
      </c>
      <c r="U144">
        <v>0.13300000000000001</v>
      </c>
      <c r="V144">
        <v>0.15</v>
      </c>
      <c r="W144">
        <v>0.158</v>
      </c>
      <c r="X144">
        <v>0.152</v>
      </c>
      <c r="Y144">
        <v>0.16200000000000001</v>
      </c>
      <c r="Z144">
        <v>0.17199999999999999</v>
      </c>
      <c r="AA144">
        <v>0.15</v>
      </c>
      <c r="AB144">
        <v>0.13200000000000001</v>
      </c>
      <c r="AC144">
        <v>0.14899999999999999</v>
      </c>
      <c r="AD144">
        <v>0.17699999999999999</v>
      </c>
      <c r="AE144">
        <v>0.14799999999999999</v>
      </c>
      <c r="AF144">
        <v>0.123</v>
      </c>
      <c r="AG144">
        <v>0.161</v>
      </c>
      <c r="AH144">
        <v>0.153</v>
      </c>
      <c r="AI144">
        <v>0.13900000000000001</v>
      </c>
      <c r="AJ144">
        <v>0.19</v>
      </c>
      <c r="AK144">
        <v>0.16700000000000001</v>
      </c>
      <c r="AL144">
        <v>0.17799999999999999</v>
      </c>
      <c r="AM144">
        <v>0.17499999999999999</v>
      </c>
      <c r="CB144">
        <f t="shared" si="45"/>
        <v>1.2024781429499998E-2</v>
      </c>
      <c r="CC144">
        <f t="shared" si="44"/>
        <v>1575.3251897415939</v>
      </c>
      <c r="CD144">
        <v>1.1783824185E-2</v>
      </c>
      <c r="CE144">
        <v>7.1637796649999998E-3</v>
      </c>
      <c r="CF144">
        <v>1.0276875E-2</v>
      </c>
      <c r="CG144">
        <v>1.2010430040000001E-2</v>
      </c>
      <c r="CH144">
        <v>1.069345536E-2</v>
      </c>
      <c r="CI144">
        <v>1.2945902759999999E-2</v>
      </c>
      <c r="CJ144">
        <v>1.549432416E-2</v>
      </c>
      <c r="CK144">
        <v>1.0276875E-2</v>
      </c>
      <c r="CL144">
        <v>7.0034025600000001E-3</v>
      </c>
      <c r="CM144">
        <v>1.0072704704999999E-2</v>
      </c>
      <c r="CN144">
        <v>1.6885234485000001E-2</v>
      </c>
      <c r="CO144">
        <v>9.8712566399999993E-3</v>
      </c>
      <c r="CP144">
        <v>5.6663400150000001E-3</v>
      </c>
      <c r="CQ144">
        <v>1.2707640645000001E-2</v>
      </c>
      <c r="CR144">
        <v>1.0905901964999999E-2</v>
      </c>
      <c r="CS144">
        <v>8.1777098549999996E-3</v>
      </c>
      <c r="CT144">
        <v>2.0885654999999999E-2</v>
      </c>
      <c r="CU144">
        <v>1.4181974835E-2</v>
      </c>
      <c r="CV144">
        <v>1.7173044839999999E-2</v>
      </c>
      <c r="CW144">
        <v>1.6319296875E-2</v>
      </c>
    </row>
    <row r="145" spans="1:101" x14ac:dyDescent="0.25">
      <c r="A145" s="6">
        <v>82</v>
      </c>
      <c r="B145" s="6">
        <v>2</v>
      </c>
      <c r="C145" t="s">
        <v>141</v>
      </c>
      <c r="D145" t="s">
        <v>201</v>
      </c>
      <c r="E145" t="s">
        <v>192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33456</v>
      </c>
      <c r="P145">
        <v>11681.750228618301</v>
      </c>
      <c r="Q145">
        <v>22</v>
      </c>
      <c r="R145">
        <v>12</v>
      </c>
      <c r="S145">
        <v>34</v>
      </c>
      <c r="T145">
        <v>0.13300000000000001</v>
      </c>
      <c r="U145">
        <v>0.161</v>
      </c>
      <c r="V145">
        <v>0.13100000000000001</v>
      </c>
      <c r="W145">
        <v>0.153</v>
      </c>
      <c r="X145">
        <v>0.13</v>
      </c>
      <c r="Y145">
        <v>0.152</v>
      </c>
      <c r="Z145">
        <v>0.14599999999999999</v>
      </c>
      <c r="AA145">
        <v>0.14899999999999999</v>
      </c>
      <c r="AB145">
        <v>0.129</v>
      </c>
      <c r="AC145">
        <v>0.125</v>
      </c>
      <c r="AD145">
        <v>0.14599999999999999</v>
      </c>
      <c r="AE145">
        <v>0.13400000000000001</v>
      </c>
      <c r="AF145">
        <v>0.13500000000000001</v>
      </c>
      <c r="AG145">
        <v>0.121</v>
      </c>
      <c r="AH145">
        <v>0.13600000000000001</v>
      </c>
      <c r="AI145">
        <v>0.123</v>
      </c>
      <c r="AJ145">
        <v>0.125</v>
      </c>
      <c r="AK145">
        <v>0.125</v>
      </c>
      <c r="AL145">
        <v>0.13</v>
      </c>
      <c r="AM145">
        <v>0.14099999999999999</v>
      </c>
      <c r="CB145">
        <f t="shared" si="45"/>
        <v>7.8587282917499997E-3</v>
      </c>
      <c r="CC145">
        <f t="shared" si="44"/>
        <v>91.803701018799671</v>
      </c>
      <c r="CD145">
        <v>7.1637796649999998E-3</v>
      </c>
      <c r="CE145">
        <v>1.2707640645000001E-2</v>
      </c>
      <c r="CF145">
        <v>6.8454370950000003E-3</v>
      </c>
      <c r="CG145">
        <v>1.0905901964999999E-2</v>
      </c>
      <c r="CH145">
        <v>6.6898649999999997E-3</v>
      </c>
      <c r="CI145">
        <v>1.069345536E-2</v>
      </c>
      <c r="CJ145">
        <v>9.47645412E-3</v>
      </c>
      <c r="CK145">
        <v>1.0072704704999999E-2</v>
      </c>
      <c r="CL145">
        <v>6.5366680050000002E-3</v>
      </c>
      <c r="CM145">
        <v>5.9472656249999999E-3</v>
      </c>
      <c r="CN145">
        <v>9.47645412E-3</v>
      </c>
      <c r="CO145">
        <v>7.3265866800000003E-3</v>
      </c>
      <c r="CP145">
        <v>7.4918418750000004E-3</v>
      </c>
      <c r="CQ145">
        <v>5.3944032450000002E-3</v>
      </c>
      <c r="CR145">
        <v>7.65956352E-3</v>
      </c>
      <c r="CS145">
        <v>5.6663400150000001E-3</v>
      </c>
      <c r="CT145">
        <v>5.9472656249999999E-3</v>
      </c>
      <c r="CU145">
        <v>5.9472656249999999E-3</v>
      </c>
      <c r="CV145">
        <v>6.6898649999999997E-3</v>
      </c>
      <c r="CW145">
        <v>8.5358079449999995E-3</v>
      </c>
    </row>
    <row r="146" spans="1:101" x14ac:dyDescent="0.25">
      <c r="A146" s="6">
        <v>100</v>
      </c>
      <c r="B146" s="6">
        <v>2</v>
      </c>
      <c r="C146" t="s">
        <v>143</v>
      </c>
      <c r="D146" t="s">
        <v>201</v>
      </c>
      <c r="E146" t="s">
        <v>192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9472</v>
      </c>
      <c r="P146">
        <v>3275.2053683836398</v>
      </c>
      <c r="Q146">
        <v>1</v>
      </c>
      <c r="R146">
        <v>3</v>
      </c>
      <c r="S146">
        <v>4</v>
      </c>
      <c r="T146">
        <v>0.151</v>
      </c>
      <c r="U146">
        <v>0.14799999999999999</v>
      </c>
      <c r="V146">
        <v>0.157</v>
      </c>
      <c r="W146">
        <v>0.113</v>
      </c>
      <c r="CB146">
        <f t="shared" si="45"/>
        <v>9.1331219962500002E-3</v>
      </c>
      <c r="CC146">
        <f t="shared" si="44"/>
        <v>29.912850192220706</v>
      </c>
      <c r="CD146">
        <v>1.0483785795000001E-2</v>
      </c>
      <c r="CE146">
        <v>9.8712566399999993E-3</v>
      </c>
      <c r="CF146">
        <v>1.1783824185E-2</v>
      </c>
      <c r="CG146">
        <v>4.3936213650000002E-3</v>
      </c>
    </row>
    <row r="147" spans="1:101" x14ac:dyDescent="0.25">
      <c r="A147" s="6">
        <v>118</v>
      </c>
      <c r="B147" s="6">
        <v>2</v>
      </c>
      <c r="C147" t="s">
        <v>144</v>
      </c>
      <c r="D147" t="s">
        <v>201</v>
      </c>
      <c r="E147" t="s">
        <v>192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10752</v>
      </c>
      <c r="P147">
        <v>4505.0996577512396</v>
      </c>
      <c r="Q147">
        <v>5</v>
      </c>
      <c r="R147">
        <v>7</v>
      </c>
      <c r="S147">
        <v>12</v>
      </c>
      <c r="T147">
        <v>0.123</v>
      </c>
      <c r="U147">
        <v>0.14499999999999999</v>
      </c>
      <c r="V147">
        <v>0.14299999999999999</v>
      </c>
      <c r="W147">
        <v>0.127</v>
      </c>
      <c r="X147">
        <v>0.14799999999999999</v>
      </c>
      <c r="Y147">
        <v>0.14199999999999999</v>
      </c>
      <c r="Z147">
        <v>0.14099999999999999</v>
      </c>
      <c r="AA147">
        <v>0.17</v>
      </c>
      <c r="AB147">
        <v>0.13600000000000001</v>
      </c>
      <c r="AC147">
        <v>0.13500000000000001</v>
      </c>
      <c r="AD147">
        <v>0.13500000000000001</v>
      </c>
      <c r="AE147">
        <v>0.14299999999999999</v>
      </c>
      <c r="CB147">
        <f t="shared" si="45"/>
        <v>8.6436882350000004E-3</v>
      </c>
      <c r="CC147">
        <f t="shared" si="44"/>
        <v>38.940676909206921</v>
      </c>
      <c r="CD147">
        <v>5.6663400150000001E-3</v>
      </c>
      <c r="CE147">
        <v>9.2830631249999993E-3</v>
      </c>
      <c r="CF147">
        <v>8.9042103149999993E-3</v>
      </c>
      <c r="CG147">
        <v>6.237326235E-3</v>
      </c>
      <c r="CH147">
        <v>9.8712566399999993E-3</v>
      </c>
      <c r="CI147">
        <v>8.7187119600000001E-3</v>
      </c>
      <c r="CJ147">
        <v>8.5358079449999995E-3</v>
      </c>
      <c r="CK147">
        <v>1.4960085E-2</v>
      </c>
      <c r="CL147">
        <v>7.65956352E-3</v>
      </c>
      <c r="CM147">
        <v>7.4918418750000004E-3</v>
      </c>
      <c r="CN147">
        <v>7.4918418750000004E-3</v>
      </c>
      <c r="CO147">
        <v>8.9042103149999993E-3</v>
      </c>
    </row>
    <row r="148" spans="1:101" x14ac:dyDescent="0.25">
      <c r="A148" s="6">
        <v>135</v>
      </c>
      <c r="B148" s="6">
        <v>2</v>
      </c>
      <c r="C148" t="s">
        <v>145</v>
      </c>
      <c r="D148" t="s">
        <v>201</v>
      </c>
      <c r="E148" t="s">
        <v>192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13600</v>
      </c>
      <c r="P148">
        <v>5567.4167055372</v>
      </c>
      <c r="Q148">
        <v>10</v>
      </c>
      <c r="R148">
        <v>15</v>
      </c>
      <c r="S148">
        <v>25</v>
      </c>
      <c r="T148">
        <v>0.15</v>
      </c>
      <c r="U148">
        <v>0.1</v>
      </c>
      <c r="V148">
        <v>0.13900000000000001</v>
      </c>
      <c r="W148">
        <v>0.13900000000000001</v>
      </c>
      <c r="X148">
        <v>0.14899999999999999</v>
      </c>
      <c r="Y148">
        <v>0.129</v>
      </c>
      <c r="Z148">
        <v>0.13400000000000001</v>
      </c>
      <c r="AA148">
        <v>0.13900000000000001</v>
      </c>
      <c r="AB148">
        <v>0.13400000000000001</v>
      </c>
      <c r="AC148">
        <v>0.14899999999999999</v>
      </c>
      <c r="AD148">
        <v>8.5999999999999993E-2</v>
      </c>
      <c r="AE148">
        <v>0.13700000000000001</v>
      </c>
      <c r="AF148">
        <v>0.127</v>
      </c>
      <c r="AG148">
        <v>0.1</v>
      </c>
      <c r="AH148">
        <v>0.13500000000000001</v>
      </c>
      <c r="AI148">
        <v>0.13600000000000001</v>
      </c>
      <c r="AJ148">
        <v>0.13100000000000001</v>
      </c>
      <c r="AK148">
        <v>0.13900000000000001</v>
      </c>
      <c r="AL148">
        <v>0.128</v>
      </c>
      <c r="AM148">
        <v>0.123</v>
      </c>
      <c r="CB148">
        <f t="shared" si="45"/>
        <v>7.0232931090000008E-3</v>
      </c>
      <c r="CC148">
        <f t="shared" si="44"/>
        <v>39.1015993829309</v>
      </c>
      <c r="CD148">
        <v>1.0276875E-2</v>
      </c>
      <c r="CE148">
        <v>3.045E-3</v>
      </c>
      <c r="CF148">
        <v>8.1777098549999996E-3</v>
      </c>
      <c r="CG148">
        <v>8.1777098549999996E-3</v>
      </c>
      <c r="CH148">
        <v>1.0072704704999999E-2</v>
      </c>
      <c r="CI148">
        <v>6.5366680050000002E-3</v>
      </c>
      <c r="CJ148">
        <v>7.3265866800000003E-3</v>
      </c>
      <c r="CK148">
        <v>8.1777098549999996E-3</v>
      </c>
      <c r="CL148">
        <v>7.3265866800000003E-3</v>
      </c>
      <c r="CM148">
        <v>1.0072704704999999E-2</v>
      </c>
      <c r="CN148">
        <v>1.93679052E-3</v>
      </c>
      <c r="CO148">
        <v>7.8297698850000007E-3</v>
      </c>
      <c r="CP148">
        <v>6.237326235E-3</v>
      </c>
      <c r="CQ148">
        <v>3.045E-3</v>
      </c>
      <c r="CR148">
        <v>7.4918418750000004E-3</v>
      </c>
      <c r="CS148">
        <v>7.65956352E-3</v>
      </c>
      <c r="CT148">
        <v>6.8454370950000003E-3</v>
      </c>
      <c r="CU148">
        <v>8.1777098549999996E-3</v>
      </c>
      <c r="CV148">
        <v>6.3858278400000003E-3</v>
      </c>
      <c r="CW148">
        <v>5.6663400150000001E-3</v>
      </c>
    </row>
    <row r="149" spans="1:101" x14ac:dyDescent="0.25">
      <c r="A149" s="6">
        <v>44</v>
      </c>
      <c r="B149" s="6">
        <v>2</v>
      </c>
      <c r="C149" t="s">
        <v>146</v>
      </c>
      <c r="D149" t="s">
        <v>201</v>
      </c>
      <c r="E149" t="s">
        <v>192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11776</v>
      </c>
      <c r="P149">
        <v>4194.0332528112704</v>
      </c>
      <c r="Q149">
        <v>3</v>
      </c>
      <c r="R149">
        <v>5</v>
      </c>
      <c r="S149">
        <v>8</v>
      </c>
      <c r="T149">
        <v>0.122</v>
      </c>
      <c r="U149">
        <v>0.11799999999999999</v>
      </c>
      <c r="V149">
        <v>0.13900000000000001</v>
      </c>
      <c r="W149">
        <v>0.11799999999999999</v>
      </c>
      <c r="X149">
        <v>0.14499999999999999</v>
      </c>
      <c r="Y149">
        <v>0.13100000000000001</v>
      </c>
      <c r="Z149">
        <v>0.124</v>
      </c>
      <c r="AA149">
        <v>0.12</v>
      </c>
      <c r="CB149">
        <f t="shared" si="45"/>
        <v>6.3636202743749988E-3</v>
      </c>
      <c r="CC149">
        <f t="shared" si="44"/>
        <v>26.689235038992724</v>
      </c>
      <c r="CD149">
        <v>5.5292571600000003E-3</v>
      </c>
      <c r="CE149">
        <v>5.0030324400000001E-3</v>
      </c>
      <c r="CF149">
        <v>8.1777098549999996E-3</v>
      </c>
      <c r="CG149">
        <v>5.0030324400000001E-3</v>
      </c>
      <c r="CH149">
        <v>9.2830631249999993E-3</v>
      </c>
      <c r="CI149">
        <v>6.8454370950000003E-3</v>
      </c>
      <c r="CJ149">
        <v>5.8056700800000003E-3</v>
      </c>
      <c r="CK149">
        <v>5.2617599999999999E-3</v>
      </c>
    </row>
    <row r="150" spans="1:101" x14ac:dyDescent="0.25">
      <c r="A150" s="6">
        <v>63</v>
      </c>
      <c r="B150" s="6">
        <v>2</v>
      </c>
      <c r="C150" t="s">
        <v>148</v>
      </c>
      <c r="D150" t="s">
        <v>201</v>
      </c>
      <c r="E150" t="s">
        <v>192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50112</v>
      </c>
      <c r="P150">
        <v>15935.209806634401</v>
      </c>
      <c r="Q150">
        <v>9</v>
      </c>
      <c r="R150">
        <v>18</v>
      </c>
      <c r="S150">
        <v>27</v>
      </c>
      <c r="T150">
        <v>0.13900000000000001</v>
      </c>
      <c r="U150">
        <v>0.14499999999999999</v>
      </c>
      <c r="V150">
        <v>0.13</v>
      </c>
      <c r="W150">
        <v>0.13</v>
      </c>
      <c r="X150">
        <v>0.159</v>
      </c>
      <c r="Y150">
        <v>0.14099999999999999</v>
      </c>
      <c r="Z150">
        <v>0.13400000000000001</v>
      </c>
      <c r="AA150">
        <v>0.13400000000000001</v>
      </c>
      <c r="AB150">
        <v>0.154</v>
      </c>
      <c r="AC150">
        <v>0.16400000000000001</v>
      </c>
      <c r="AD150">
        <v>0.122</v>
      </c>
      <c r="AE150">
        <v>0.122</v>
      </c>
      <c r="AF150">
        <v>0.14299999999999999</v>
      </c>
      <c r="AG150">
        <v>0.13300000000000001</v>
      </c>
      <c r="AH150">
        <v>0.151</v>
      </c>
      <c r="AI150">
        <v>0.14399999999999999</v>
      </c>
      <c r="AJ150">
        <v>0.156</v>
      </c>
      <c r="AK150">
        <v>0.157</v>
      </c>
      <c r="AL150">
        <v>0.125</v>
      </c>
      <c r="AM150">
        <v>0.14799999999999999</v>
      </c>
      <c r="CB150">
        <f t="shared" si="45"/>
        <v>8.8343459872499992E-3</v>
      </c>
      <c r="CC150">
        <f t="shared" si="44"/>
        <v>140.77715681122746</v>
      </c>
      <c r="CD150">
        <v>8.1777098549999996E-3</v>
      </c>
      <c r="CE150">
        <v>9.2830631249999993E-3</v>
      </c>
      <c r="CF150">
        <v>6.6898649999999997E-3</v>
      </c>
      <c r="CG150">
        <v>6.6898649999999997E-3</v>
      </c>
      <c r="CH150">
        <v>1.2239922554999999E-2</v>
      </c>
      <c r="CI150">
        <v>8.5358079449999995E-3</v>
      </c>
      <c r="CJ150">
        <v>7.3265866800000003E-3</v>
      </c>
      <c r="CK150">
        <v>7.3265866800000003E-3</v>
      </c>
      <c r="CL150">
        <v>1.112114388E-2</v>
      </c>
      <c r="CM150">
        <v>1.343132448E-2</v>
      </c>
      <c r="CN150">
        <v>5.5292571600000003E-3</v>
      </c>
      <c r="CO150">
        <v>5.5292571600000003E-3</v>
      </c>
      <c r="CP150">
        <v>8.9042103149999993E-3</v>
      </c>
      <c r="CQ150">
        <v>7.1637796649999998E-3</v>
      </c>
      <c r="CR150">
        <v>1.0483785795000001E-2</v>
      </c>
      <c r="CS150">
        <v>9.0923212799999993E-3</v>
      </c>
      <c r="CT150">
        <v>1.156008672E-2</v>
      </c>
      <c r="CU150">
        <v>1.1783824185E-2</v>
      </c>
      <c r="CV150">
        <v>5.9472656249999999E-3</v>
      </c>
      <c r="CW150">
        <v>9.8712566399999993E-3</v>
      </c>
    </row>
    <row r="151" spans="1:101" x14ac:dyDescent="0.25">
      <c r="A151" s="6">
        <v>230</v>
      </c>
      <c r="B151" s="6">
        <v>2</v>
      </c>
      <c r="C151" t="s">
        <v>150</v>
      </c>
      <c r="D151" t="s">
        <v>201</v>
      </c>
      <c r="E151" t="s">
        <v>192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7072</v>
      </c>
      <c r="P151">
        <v>2518.6993175850298</v>
      </c>
      <c r="Q151">
        <v>3</v>
      </c>
      <c r="R151">
        <v>10</v>
      </c>
      <c r="S151">
        <v>13</v>
      </c>
      <c r="T151">
        <v>0.13800000000000001</v>
      </c>
      <c r="U151">
        <v>0.14299999999999999</v>
      </c>
      <c r="V151">
        <v>0.115</v>
      </c>
      <c r="W151">
        <v>0.14000000000000001</v>
      </c>
      <c r="X151">
        <v>0.13200000000000001</v>
      </c>
      <c r="Y151">
        <v>0.152</v>
      </c>
      <c r="Z151">
        <v>0.14399999999999999</v>
      </c>
      <c r="AA151">
        <v>0.121</v>
      </c>
      <c r="AB151">
        <v>0.13600000000000001</v>
      </c>
      <c r="AC151">
        <v>0.191</v>
      </c>
      <c r="AD151">
        <v>0.14799999999999999</v>
      </c>
      <c r="AE151">
        <v>0.159</v>
      </c>
      <c r="AF151">
        <v>0.12</v>
      </c>
      <c r="CB151">
        <f t="shared" si="45"/>
        <v>9.1020374065384612E-3</v>
      </c>
      <c r="CC151">
        <f t="shared" si="44"/>
        <v>22.925295404481837</v>
      </c>
      <c r="CD151">
        <v>8.0024792400000006E-3</v>
      </c>
      <c r="CE151">
        <v>8.9042103149999993E-3</v>
      </c>
      <c r="CF151">
        <v>4.6310643749999996E-3</v>
      </c>
      <c r="CG151">
        <v>8.3554800000000002E-3</v>
      </c>
      <c r="CH151">
        <v>7.0034025600000001E-3</v>
      </c>
      <c r="CI151">
        <v>1.069345536E-2</v>
      </c>
      <c r="CJ151">
        <v>9.0923212799999993E-3</v>
      </c>
      <c r="CK151">
        <v>5.3944032450000002E-3</v>
      </c>
      <c r="CL151">
        <v>7.65956352E-3</v>
      </c>
      <c r="CM151">
        <v>2.1217167195000001E-2</v>
      </c>
      <c r="CN151">
        <v>9.8712566399999993E-3</v>
      </c>
      <c r="CO151">
        <v>1.2239922554999999E-2</v>
      </c>
      <c r="CP151">
        <v>5.2617599999999999E-3</v>
      </c>
    </row>
    <row r="152" spans="1:101" x14ac:dyDescent="0.25">
      <c r="A152" s="6">
        <v>9</v>
      </c>
      <c r="B152" s="6">
        <v>2</v>
      </c>
      <c r="C152" t="s">
        <v>151</v>
      </c>
      <c r="D152" t="s">
        <v>201</v>
      </c>
      <c r="E152" t="s">
        <v>192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49920</v>
      </c>
      <c r="P152">
        <v>20203.470461911998</v>
      </c>
      <c r="Q152">
        <v>22</v>
      </c>
      <c r="R152">
        <v>26</v>
      </c>
      <c r="S152">
        <v>48</v>
      </c>
      <c r="T152">
        <v>0.159</v>
      </c>
      <c r="U152">
        <v>0.17499999999999999</v>
      </c>
      <c r="V152">
        <v>0.16200000000000001</v>
      </c>
      <c r="W152">
        <v>0.16700000000000001</v>
      </c>
      <c r="X152">
        <v>0.182</v>
      </c>
      <c r="Y152">
        <v>0.16400000000000001</v>
      </c>
      <c r="Z152">
        <v>0.14000000000000001</v>
      </c>
      <c r="AA152">
        <v>0.17100000000000001</v>
      </c>
      <c r="AB152">
        <v>0.14299999999999999</v>
      </c>
      <c r="AC152">
        <v>0.151</v>
      </c>
      <c r="AD152">
        <v>0.13500000000000001</v>
      </c>
      <c r="AE152">
        <v>0.14499999999999999</v>
      </c>
      <c r="AF152">
        <v>0.16700000000000001</v>
      </c>
      <c r="AG152">
        <v>0.156</v>
      </c>
      <c r="AH152">
        <v>0.18</v>
      </c>
      <c r="AI152">
        <v>0.152</v>
      </c>
      <c r="AJ152">
        <v>0.151</v>
      </c>
      <c r="AK152">
        <v>0.14699999999999999</v>
      </c>
      <c r="AL152">
        <v>0.153</v>
      </c>
      <c r="AM152">
        <v>0.12</v>
      </c>
      <c r="CB152">
        <f t="shared" si="45"/>
        <v>1.1886867593999997E-2</v>
      </c>
      <c r="CC152">
        <f t="shared" si="44"/>
        <v>240.15597832003789</v>
      </c>
      <c r="CD152">
        <v>1.2239922554999999E-2</v>
      </c>
      <c r="CE152">
        <v>1.6319296875E-2</v>
      </c>
      <c r="CF152">
        <v>1.2945902759999999E-2</v>
      </c>
      <c r="CG152">
        <v>1.4181974835E-2</v>
      </c>
      <c r="CH152">
        <v>1.8356989559999998E-2</v>
      </c>
      <c r="CI152">
        <v>1.343132448E-2</v>
      </c>
      <c r="CJ152">
        <v>8.3554800000000002E-3</v>
      </c>
      <c r="CK152">
        <v>1.5225642495E-2</v>
      </c>
      <c r="CL152">
        <v>8.9042103149999993E-3</v>
      </c>
      <c r="CM152">
        <v>1.0483785795000001E-2</v>
      </c>
      <c r="CN152">
        <v>7.4918418750000004E-3</v>
      </c>
      <c r="CO152">
        <v>9.2830631249999993E-3</v>
      </c>
      <c r="CP152">
        <v>1.4181974835E-2</v>
      </c>
      <c r="CQ152">
        <v>1.156008672E-2</v>
      </c>
      <c r="CR152">
        <v>1.775844E-2</v>
      </c>
      <c r="CS152">
        <v>1.069345536E-2</v>
      </c>
      <c r="CT152">
        <v>1.0483785795000001E-2</v>
      </c>
      <c r="CU152">
        <v>9.6725125350000003E-3</v>
      </c>
      <c r="CV152">
        <v>1.0905901964999999E-2</v>
      </c>
      <c r="CW152">
        <v>5.2617599999999999E-3</v>
      </c>
    </row>
    <row r="153" spans="1:101" x14ac:dyDescent="0.25">
      <c r="A153" s="6">
        <v>27</v>
      </c>
      <c r="B153" s="6">
        <v>2</v>
      </c>
      <c r="C153" t="s">
        <v>152</v>
      </c>
      <c r="D153" t="s">
        <v>201</v>
      </c>
      <c r="E153" t="s">
        <v>192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8904</v>
      </c>
      <c r="P153">
        <v>4733.08627755814</v>
      </c>
      <c r="Q153">
        <v>27</v>
      </c>
      <c r="R153">
        <v>26</v>
      </c>
      <c r="S153">
        <v>53</v>
      </c>
      <c r="T153">
        <v>0.152</v>
      </c>
      <c r="U153">
        <v>0.157</v>
      </c>
      <c r="V153">
        <v>0.16400000000000001</v>
      </c>
      <c r="W153">
        <v>0.11700000000000001</v>
      </c>
      <c r="X153">
        <v>0.14199999999999999</v>
      </c>
      <c r="Y153">
        <v>0.151</v>
      </c>
      <c r="Z153">
        <v>0.13300000000000001</v>
      </c>
      <c r="AA153">
        <v>0.123</v>
      </c>
      <c r="AB153">
        <v>0.153</v>
      </c>
      <c r="AC153">
        <v>0.152</v>
      </c>
      <c r="AD153">
        <v>0.14799999999999999</v>
      </c>
      <c r="AE153">
        <v>0.154</v>
      </c>
      <c r="AF153">
        <v>0.16800000000000001</v>
      </c>
      <c r="AG153">
        <v>0.17699999999999999</v>
      </c>
      <c r="AH153">
        <v>0.14699999999999999</v>
      </c>
      <c r="AI153">
        <v>0.14799999999999999</v>
      </c>
      <c r="AJ153">
        <v>0.14799999999999999</v>
      </c>
      <c r="AK153">
        <v>0.14499999999999999</v>
      </c>
      <c r="AL153">
        <v>0.17799999999999999</v>
      </c>
      <c r="AM153">
        <v>0.153</v>
      </c>
      <c r="CB153">
        <f t="shared" si="45"/>
        <v>1.0675521527999996E-2</v>
      </c>
      <c r="CC153">
        <f t="shared" si="44"/>
        <v>50.528164449953287</v>
      </c>
      <c r="CD153">
        <v>1.069345536E-2</v>
      </c>
      <c r="CE153">
        <v>1.1783824185E-2</v>
      </c>
      <c r="CF153">
        <v>1.343132448E-2</v>
      </c>
      <c r="CG153">
        <v>4.8769115850000001E-3</v>
      </c>
      <c r="CH153">
        <v>8.7187119600000001E-3</v>
      </c>
      <c r="CI153">
        <v>1.0483785795000001E-2</v>
      </c>
      <c r="CJ153">
        <v>7.1637796649999998E-3</v>
      </c>
      <c r="CK153">
        <v>5.6663400150000001E-3</v>
      </c>
      <c r="CL153">
        <v>1.0905901964999999E-2</v>
      </c>
      <c r="CM153">
        <v>1.069345536E-2</v>
      </c>
      <c r="CN153">
        <v>9.8712566399999993E-3</v>
      </c>
      <c r="CO153">
        <v>1.112114388E-2</v>
      </c>
      <c r="CP153">
        <v>1.443826944E-2</v>
      </c>
      <c r="CQ153">
        <v>1.6885234485000001E-2</v>
      </c>
      <c r="CR153">
        <v>9.6725125350000003E-3</v>
      </c>
      <c r="CS153">
        <v>9.8712566399999993E-3</v>
      </c>
      <c r="CT153">
        <v>9.8712566399999993E-3</v>
      </c>
      <c r="CU153">
        <v>9.2830631249999993E-3</v>
      </c>
      <c r="CV153">
        <v>1.7173044839999999E-2</v>
      </c>
      <c r="CW153">
        <v>1.0905901964999999E-2</v>
      </c>
    </row>
    <row r="154" spans="1:101" x14ac:dyDescent="0.25">
      <c r="A154" s="6">
        <v>243</v>
      </c>
      <c r="B154" s="6">
        <v>2</v>
      </c>
      <c r="C154" t="s">
        <v>112</v>
      </c>
      <c r="D154" t="s">
        <v>202</v>
      </c>
      <c r="E154" t="s">
        <v>192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207</v>
      </c>
      <c r="P154">
        <v>31.4586519169445</v>
      </c>
      <c r="Q154">
        <v>4</v>
      </c>
      <c r="R154">
        <v>-1</v>
      </c>
      <c r="S154">
        <v>4</v>
      </c>
      <c r="T154">
        <v>0.104</v>
      </c>
      <c r="U154">
        <v>0.127</v>
      </c>
      <c r="V154">
        <v>0.105</v>
      </c>
      <c r="W154">
        <v>0.105</v>
      </c>
      <c r="CB154">
        <f t="shared" si="45"/>
        <v>2.7442484999999996E-3</v>
      </c>
      <c r="CC154">
        <f t="shared" si="44"/>
        <v>8.6330358335097057E-2</v>
      </c>
      <c r="CD154">
        <v>2.2497279999999999E-3</v>
      </c>
      <c r="CE154">
        <v>4.0967659999999999E-3</v>
      </c>
      <c r="CF154">
        <v>2.31525E-3</v>
      </c>
      <c r="CG154">
        <v>2.31525E-3</v>
      </c>
    </row>
    <row r="155" spans="1:101" x14ac:dyDescent="0.25">
      <c r="A155" s="6">
        <v>321</v>
      </c>
      <c r="B155" s="6">
        <v>2</v>
      </c>
      <c r="C155" t="s">
        <v>115</v>
      </c>
      <c r="D155" t="s">
        <v>202</v>
      </c>
      <c r="E155" t="s">
        <v>192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3</v>
      </c>
      <c r="P155">
        <v>0.50753635851783596</v>
      </c>
      <c r="Q155">
        <v>3</v>
      </c>
      <c r="R155">
        <v>-1</v>
      </c>
      <c r="S155">
        <v>3</v>
      </c>
      <c r="T155">
        <v>0.125</v>
      </c>
      <c r="U155">
        <v>0.11</v>
      </c>
      <c r="V155">
        <v>0.126</v>
      </c>
      <c r="CB155">
        <f t="shared" si="45"/>
        <v>3.5230006666666664E-3</v>
      </c>
      <c r="CC155">
        <f t="shared" si="44"/>
        <v>1.7880509294159084E-3</v>
      </c>
      <c r="CD155">
        <v>3.90625E-3</v>
      </c>
      <c r="CE155">
        <v>2.6619999999999999E-3</v>
      </c>
      <c r="CF155">
        <v>4.0007519999999998E-3</v>
      </c>
    </row>
    <row r="156" spans="1:101" x14ac:dyDescent="0.25">
      <c r="A156" s="6">
        <v>309</v>
      </c>
      <c r="B156" s="6">
        <v>2</v>
      </c>
      <c r="C156" t="s">
        <v>117</v>
      </c>
      <c r="D156" t="s">
        <v>202</v>
      </c>
      <c r="E156" t="s">
        <v>192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2</v>
      </c>
      <c r="P156">
        <v>0.43738905693406999</v>
      </c>
      <c r="Q156">
        <v>2</v>
      </c>
      <c r="R156">
        <v>-1</v>
      </c>
      <c r="S156">
        <v>2</v>
      </c>
      <c r="T156">
        <v>0.09</v>
      </c>
      <c r="U156">
        <v>0.105</v>
      </c>
      <c r="CB156">
        <f t="shared" si="45"/>
        <v>1.8866250000000001E-3</v>
      </c>
      <c r="CC156">
        <f t="shared" si="44"/>
        <v>8.2518912953823977E-4</v>
      </c>
      <c r="CD156">
        <v>1.4580000000000001E-3</v>
      </c>
      <c r="CE156">
        <v>2.31525E-3</v>
      </c>
    </row>
    <row r="157" spans="1:101" x14ac:dyDescent="0.25">
      <c r="A157" s="6">
        <v>335</v>
      </c>
      <c r="B157" s="6">
        <v>2</v>
      </c>
      <c r="C157" t="s">
        <v>119</v>
      </c>
      <c r="D157" t="s">
        <v>202</v>
      </c>
      <c r="E157" t="s">
        <v>192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187.5</v>
      </c>
      <c r="P157">
        <v>100.37099627405</v>
      </c>
      <c r="Q157">
        <v>6</v>
      </c>
      <c r="R157">
        <v>-1</v>
      </c>
      <c r="S157">
        <v>6</v>
      </c>
      <c r="T157">
        <v>0.124</v>
      </c>
      <c r="U157">
        <v>9.8000000000000004E-2</v>
      </c>
      <c r="V157">
        <v>0.123</v>
      </c>
      <c r="W157">
        <v>0.104</v>
      </c>
      <c r="X157">
        <v>0.104</v>
      </c>
      <c r="Y157">
        <v>9.9000000000000005E-2</v>
      </c>
      <c r="CB157">
        <f t="shared" si="45"/>
        <v>2.642903333333333E-3</v>
      </c>
      <c r="CC157">
        <f t="shared" si="44"/>
        <v>0.26527084062267431</v>
      </c>
      <c r="CD157">
        <v>3.813248E-3</v>
      </c>
      <c r="CE157">
        <v>1.882384E-3</v>
      </c>
      <c r="CF157">
        <v>3.721734E-3</v>
      </c>
      <c r="CG157">
        <v>2.2497279999999999E-3</v>
      </c>
      <c r="CH157">
        <v>2.2497279999999999E-3</v>
      </c>
      <c r="CI157">
        <v>1.940598E-3</v>
      </c>
    </row>
    <row r="158" spans="1:101" x14ac:dyDescent="0.25">
      <c r="A158" s="6">
        <v>352</v>
      </c>
      <c r="B158" s="6">
        <v>2</v>
      </c>
      <c r="C158" t="s">
        <v>121</v>
      </c>
      <c r="D158" t="s">
        <v>202</v>
      </c>
      <c r="E158" t="s">
        <v>192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41.25</v>
      </c>
      <c r="P158">
        <v>4.8191155865781496</v>
      </c>
      <c r="Q158">
        <v>3</v>
      </c>
      <c r="R158">
        <v>-1</v>
      </c>
      <c r="S158">
        <v>3</v>
      </c>
      <c r="T158">
        <v>9.8000000000000004E-2</v>
      </c>
      <c r="U158">
        <v>9.8000000000000004E-2</v>
      </c>
      <c r="V158">
        <v>0.112</v>
      </c>
      <c r="CB158">
        <f t="shared" si="45"/>
        <v>2.1915413333333331E-3</v>
      </c>
      <c r="CC158">
        <f t="shared" si="44"/>
        <v>1.0561290998096926E-2</v>
      </c>
      <c r="CD158">
        <v>1.882384E-3</v>
      </c>
      <c r="CE158">
        <v>1.882384E-3</v>
      </c>
      <c r="CF158">
        <v>2.8098559999999999E-3</v>
      </c>
    </row>
    <row r="159" spans="1:101" x14ac:dyDescent="0.25">
      <c r="A159" s="6">
        <v>279</v>
      </c>
      <c r="B159" s="6">
        <v>2</v>
      </c>
      <c r="C159" t="s">
        <v>123</v>
      </c>
      <c r="D159" t="s">
        <v>202</v>
      </c>
      <c r="E159" t="s">
        <v>192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1</v>
      </c>
      <c r="P159">
        <v>0.28692722134874998</v>
      </c>
      <c r="Q159">
        <v>1</v>
      </c>
      <c r="R159">
        <v>-1</v>
      </c>
      <c r="S159">
        <v>1</v>
      </c>
      <c r="T159">
        <v>0.107</v>
      </c>
      <c r="CB159">
        <f t="shared" si="45"/>
        <v>2.4500860000000002E-3</v>
      </c>
      <c r="CC159">
        <f t="shared" si="44"/>
        <v>7.0299636804547355E-4</v>
      </c>
      <c r="CD159">
        <v>2.4500860000000002E-3</v>
      </c>
    </row>
    <row r="160" spans="1:101" x14ac:dyDescent="0.25">
      <c r="A160" s="6">
        <v>292</v>
      </c>
      <c r="B160" s="6">
        <v>2</v>
      </c>
      <c r="C160" t="s">
        <v>129</v>
      </c>
      <c r="D160" t="s">
        <v>202</v>
      </c>
      <c r="E160" t="s">
        <v>192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22.5</v>
      </c>
      <c r="P160">
        <v>14.672414728061099</v>
      </c>
      <c r="Q160">
        <v>10</v>
      </c>
      <c r="R160">
        <v>-1</v>
      </c>
      <c r="S160">
        <v>10</v>
      </c>
      <c r="T160">
        <v>9.1999999999999998E-2</v>
      </c>
      <c r="U160">
        <v>0.105</v>
      </c>
      <c r="V160">
        <v>9.2999999999999999E-2</v>
      </c>
      <c r="W160">
        <v>0.10299999999999999</v>
      </c>
      <c r="X160">
        <v>0.106</v>
      </c>
      <c r="Y160">
        <v>9.9000000000000005E-2</v>
      </c>
      <c r="Z160">
        <v>9.5000000000000001E-2</v>
      </c>
      <c r="AA160">
        <v>0.128</v>
      </c>
      <c r="AB160">
        <v>0.10100000000000001</v>
      </c>
      <c r="AC160">
        <v>0.126</v>
      </c>
      <c r="CB160">
        <f t="shared" si="45"/>
        <v>2.3959831999999996E-3</v>
      </c>
      <c r="CC160">
        <f t="shared" si="44"/>
        <v>3.5154859191866956E-2</v>
      </c>
      <c r="CD160">
        <v>1.5573760000000001E-3</v>
      </c>
      <c r="CE160">
        <v>2.31525E-3</v>
      </c>
      <c r="CF160">
        <v>1.608714E-3</v>
      </c>
      <c r="CG160">
        <v>2.1854539999999999E-3</v>
      </c>
      <c r="CH160">
        <v>2.3820320000000001E-3</v>
      </c>
      <c r="CI160">
        <v>1.940598E-3</v>
      </c>
      <c r="CJ160">
        <v>1.7147499999999999E-3</v>
      </c>
      <c r="CK160">
        <v>4.1943040000000003E-3</v>
      </c>
      <c r="CL160">
        <v>2.0606019999999999E-3</v>
      </c>
      <c r="CM160">
        <v>4.0007519999999998E-3</v>
      </c>
    </row>
    <row r="161" spans="1:101" x14ac:dyDescent="0.25">
      <c r="A161" s="6">
        <v>193</v>
      </c>
      <c r="B161" s="6">
        <v>2</v>
      </c>
      <c r="C161" t="s">
        <v>132</v>
      </c>
      <c r="D161" t="s">
        <v>202</v>
      </c>
      <c r="E161" t="s">
        <v>192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54880</v>
      </c>
      <c r="P161">
        <v>22466.163882344201</v>
      </c>
      <c r="Q161">
        <v>31</v>
      </c>
      <c r="R161">
        <v>39</v>
      </c>
      <c r="S161">
        <v>70</v>
      </c>
      <c r="T161">
        <v>0.09</v>
      </c>
      <c r="U161">
        <v>0.11700000000000001</v>
      </c>
      <c r="V161">
        <v>8.7999999999999995E-2</v>
      </c>
      <c r="W161">
        <v>8.2000000000000003E-2</v>
      </c>
      <c r="X161">
        <v>9.0999999999999998E-2</v>
      </c>
      <c r="Y161">
        <v>8.4000000000000005E-2</v>
      </c>
      <c r="Z161">
        <v>8.5999999999999993E-2</v>
      </c>
      <c r="AA161">
        <v>7.6999999999999999E-2</v>
      </c>
      <c r="AB161">
        <v>9.2999999999999999E-2</v>
      </c>
      <c r="AC161">
        <v>9.4E-2</v>
      </c>
      <c r="AD161">
        <v>0.10199999999999999</v>
      </c>
      <c r="AE161">
        <v>8.6999999999999994E-2</v>
      </c>
      <c r="AF161">
        <v>0.11700000000000001</v>
      </c>
      <c r="AG161">
        <v>8.5999999999999993E-2</v>
      </c>
      <c r="AH161">
        <v>9.9000000000000005E-2</v>
      </c>
      <c r="AI161">
        <v>9.8000000000000004E-2</v>
      </c>
      <c r="AJ161">
        <v>9.9000000000000005E-2</v>
      </c>
      <c r="AK161">
        <v>0.11700000000000001</v>
      </c>
      <c r="AL161">
        <v>9.8000000000000004E-2</v>
      </c>
      <c r="AM161">
        <v>0.13800000000000001</v>
      </c>
      <c r="CB161">
        <f t="shared" si="45"/>
        <v>1.9647305000000002E-3</v>
      </c>
      <c r="CC161">
        <f t="shared" si="44"/>
        <v>44.139957397640067</v>
      </c>
      <c r="CD161">
        <v>1.4580000000000001E-3</v>
      </c>
      <c r="CE161">
        <v>3.203226E-3</v>
      </c>
      <c r="CF161">
        <v>1.362944E-3</v>
      </c>
      <c r="CG161">
        <v>1.102736E-3</v>
      </c>
      <c r="CH161">
        <v>1.5071419999999999E-3</v>
      </c>
      <c r="CI161">
        <v>1.185408E-3</v>
      </c>
      <c r="CJ161">
        <v>1.2721119999999999E-3</v>
      </c>
      <c r="CK161">
        <v>9.1306600000000003E-4</v>
      </c>
      <c r="CL161">
        <v>1.608714E-3</v>
      </c>
      <c r="CM161">
        <v>1.661168E-3</v>
      </c>
      <c r="CN161">
        <v>2.1224159999999998E-3</v>
      </c>
      <c r="CO161">
        <v>1.3170059999999999E-3</v>
      </c>
      <c r="CP161">
        <v>3.203226E-3</v>
      </c>
      <c r="CQ161">
        <v>1.2721119999999999E-3</v>
      </c>
      <c r="CR161">
        <v>1.940598E-3</v>
      </c>
      <c r="CS161">
        <v>1.882384E-3</v>
      </c>
      <c r="CT161">
        <v>1.940598E-3</v>
      </c>
      <c r="CU161">
        <v>3.203226E-3</v>
      </c>
      <c r="CV161">
        <v>1.882384E-3</v>
      </c>
      <c r="CW161">
        <v>5.2561439999999999E-3</v>
      </c>
    </row>
    <row r="162" spans="1:101" x14ac:dyDescent="0.25">
      <c r="A162" s="6">
        <v>213</v>
      </c>
      <c r="B162" s="6">
        <v>2</v>
      </c>
      <c r="C162" t="s">
        <v>135</v>
      </c>
      <c r="D162" t="s">
        <v>202</v>
      </c>
      <c r="E162" t="s">
        <v>192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85888</v>
      </c>
      <c r="P162">
        <v>32199.0424786769</v>
      </c>
      <c r="Q162">
        <v>37</v>
      </c>
      <c r="R162">
        <v>51</v>
      </c>
      <c r="S162">
        <v>88</v>
      </c>
      <c r="T162">
        <v>9.1999999999999998E-2</v>
      </c>
      <c r="U162">
        <v>8.5000000000000006E-2</v>
      </c>
      <c r="V162">
        <v>8.6999999999999994E-2</v>
      </c>
      <c r="W162">
        <v>9.2999999999999999E-2</v>
      </c>
      <c r="X162">
        <v>8.8999999999999996E-2</v>
      </c>
      <c r="Y162">
        <v>0.10199999999999999</v>
      </c>
      <c r="Z162">
        <v>8.2000000000000003E-2</v>
      </c>
      <c r="AA162">
        <v>9.4E-2</v>
      </c>
      <c r="AB162">
        <v>8.8999999999999996E-2</v>
      </c>
      <c r="AC162">
        <v>8.1000000000000003E-2</v>
      </c>
      <c r="AD162">
        <v>9.2999999999999999E-2</v>
      </c>
      <c r="AE162">
        <v>0.1</v>
      </c>
      <c r="AF162">
        <v>9.2999999999999999E-2</v>
      </c>
      <c r="AG162">
        <v>8.6999999999999994E-2</v>
      </c>
      <c r="AH162">
        <v>0.10299999999999999</v>
      </c>
      <c r="AI162">
        <v>8.1000000000000003E-2</v>
      </c>
      <c r="AJ162">
        <v>0.107</v>
      </c>
      <c r="AK162">
        <v>8.5000000000000006E-2</v>
      </c>
      <c r="AL162">
        <v>8.4000000000000005E-2</v>
      </c>
      <c r="AM162">
        <v>8.3000000000000004E-2</v>
      </c>
      <c r="CB162">
        <f t="shared" si="45"/>
        <v>1.5135255999999999E-3</v>
      </c>
      <c r="CC162">
        <f t="shared" si="44"/>
        <v>48.734075086964943</v>
      </c>
      <c r="CD162">
        <v>1.5573760000000001E-3</v>
      </c>
      <c r="CE162">
        <v>1.22825E-3</v>
      </c>
      <c r="CF162">
        <v>1.3170059999999999E-3</v>
      </c>
      <c r="CG162">
        <v>1.608714E-3</v>
      </c>
      <c r="CH162">
        <v>1.4099379999999999E-3</v>
      </c>
      <c r="CI162">
        <v>2.1224159999999998E-3</v>
      </c>
      <c r="CJ162">
        <v>1.102736E-3</v>
      </c>
      <c r="CK162">
        <v>1.661168E-3</v>
      </c>
      <c r="CL162">
        <v>1.4099379999999999E-3</v>
      </c>
      <c r="CM162">
        <v>1.062882E-3</v>
      </c>
      <c r="CN162">
        <v>1.608714E-3</v>
      </c>
      <c r="CO162">
        <v>2E-3</v>
      </c>
      <c r="CP162">
        <v>1.608714E-3</v>
      </c>
      <c r="CQ162">
        <v>1.3170059999999999E-3</v>
      </c>
      <c r="CR162">
        <v>2.1854539999999999E-3</v>
      </c>
      <c r="CS162">
        <v>1.062882E-3</v>
      </c>
      <c r="CT162">
        <v>2.4500860000000002E-3</v>
      </c>
      <c r="CU162">
        <v>1.22825E-3</v>
      </c>
      <c r="CV162">
        <v>1.185408E-3</v>
      </c>
      <c r="CW162">
        <v>1.1435740000000001E-3</v>
      </c>
    </row>
    <row r="163" spans="1:101" x14ac:dyDescent="0.25">
      <c r="A163" s="6">
        <v>157</v>
      </c>
      <c r="B163" s="6">
        <v>2</v>
      </c>
      <c r="C163" t="s">
        <v>136</v>
      </c>
      <c r="D163" t="s">
        <v>202</v>
      </c>
      <c r="E163" t="s">
        <v>192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14080</v>
      </c>
      <c r="P163">
        <v>8088.07254223772</v>
      </c>
      <c r="Q163">
        <v>8</v>
      </c>
      <c r="R163">
        <v>14</v>
      </c>
      <c r="S163">
        <v>22</v>
      </c>
      <c r="T163">
        <v>0.1</v>
      </c>
      <c r="U163">
        <v>7.4999999999999997E-2</v>
      </c>
      <c r="V163">
        <v>9.0999999999999998E-2</v>
      </c>
      <c r="W163">
        <v>0.124</v>
      </c>
      <c r="X163">
        <v>0.10299999999999999</v>
      </c>
      <c r="Y163">
        <v>8.8999999999999996E-2</v>
      </c>
      <c r="Z163">
        <v>8.1000000000000003E-2</v>
      </c>
      <c r="AA163">
        <v>0.14000000000000001</v>
      </c>
      <c r="AB163">
        <v>9.9000000000000005E-2</v>
      </c>
      <c r="AC163">
        <v>9.6000000000000002E-2</v>
      </c>
      <c r="AD163">
        <v>9.4E-2</v>
      </c>
      <c r="AE163">
        <v>7.9000000000000001E-2</v>
      </c>
      <c r="AF163">
        <v>0.08</v>
      </c>
      <c r="AG163">
        <v>9.1999999999999998E-2</v>
      </c>
      <c r="AH163">
        <v>0.08</v>
      </c>
      <c r="AI163">
        <v>8.4000000000000005E-2</v>
      </c>
      <c r="AJ163">
        <v>9.7000000000000003E-2</v>
      </c>
      <c r="AK163">
        <v>0.106</v>
      </c>
      <c r="AL163">
        <v>8.8999999999999996E-2</v>
      </c>
      <c r="AM163">
        <v>9.5000000000000001E-2</v>
      </c>
      <c r="CB163">
        <f t="shared" si="45"/>
        <v>1.8395290000000001E-3</v>
      </c>
      <c r="CC163">
        <f t="shared" si="44"/>
        <v>14.878243995550012</v>
      </c>
      <c r="CD163">
        <v>2E-3</v>
      </c>
      <c r="CE163">
        <v>8.4374999999999999E-4</v>
      </c>
      <c r="CF163">
        <v>1.5071419999999999E-3</v>
      </c>
      <c r="CG163">
        <v>3.813248E-3</v>
      </c>
      <c r="CH163">
        <v>2.1854539999999999E-3</v>
      </c>
      <c r="CI163">
        <v>1.4099379999999999E-3</v>
      </c>
      <c r="CJ163">
        <v>1.062882E-3</v>
      </c>
      <c r="CK163">
        <v>5.4879999999999998E-3</v>
      </c>
      <c r="CL163">
        <v>1.940598E-3</v>
      </c>
      <c r="CM163">
        <v>1.769472E-3</v>
      </c>
      <c r="CN163">
        <v>1.661168E-3</v>
      </c>
      <c r="CO163">
        <v>9.8607800000000004E-4</v>
      </c>
      <c r="CP163">
        <v>1.024E-3</v>
      </c>
      <c r="CQ163">
        <v>1.5573760000000001E-3</v>
      </c>
      <c r="CR163">
        <v>1.024E-3</v>
      </c>
      <c r="CS163">
        <v>1.185408E-3</v>
      </c>
      <c r="CT163">
        <v>1.825346E-3</v>
      </c>
      <c r="CU163">
        <v>2.3820320000000001E-3</v>
      </c>
      <c r="CV163">
        <v>1.4099379999999999E-3</v>
      </c>
      <c r="CW163">
        <v>1.7147499999999999E-3</v>
      </c>
    </row>
    <row r="164" spans="1:101" x14ac:dyDescent="0.25">
      <c r="A164" s="6">
        <v>175</v>
      </c>
      <c r="B164" s="6">
        <v>2</v>
      </c>
      <c r="C164" t="s">
        <v>138</v>
      </c>
      <c r="D164" t="s">
        <v>202</v>
      </c>
      <c r="E164" t="s">
        <v>192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199408</v>
      </c>
      <c r="P164">
        <v>142038.68595050799</v>
      </c>
      <c r="Q164">
        <v>58</v>
      </c>
      <c r="R164">
        <v>45</v>
      </c>
      <c r="S164">
        <v>103</v>
      </c>
      <c r="T164">
        <v>8.5000000000000006E-2</v>
      </c>
      <c r="U164">
        <v>0.1</v>
      </c>
      <c r="V164">
        <v>9.9000000000000005E-2</v>
      </c>
      <c r="W164">
        <v>8.8999999999999996E-2</v>
      </c>
      <c r="X164">
        <v>8.7999999999999995E-2</v>
      </c>
      <c r="Y164">
        <v>8.7999999999999995E-2</v>
      </c>
      <c r="Z164">
        <v>9.4E-2</v>
      </c>
      <c r="AA164">
        <v>9.5000000000000001E-2</v>
      </c>
      <c r="AB164">
        <v>8.6999999999999994E-2</v>
      </c>
      <c r="AC164">
        <v>0.14799999999999999</v>
      </c>
      <c r="AD164">
        <v>9.0999999999999998E-2</v>
      </c>
      <c r="AE164">
        <v>8.5000000000000006E-2</v>
      </c>
      <c r="AF164">
        <v>0.11600000000000001</v>
      </c>
      <c r="AG164">
        <v>9.1999999999999998E-2</v>
      </c>
      <c r="AH164">
        <v>7.3999999999999996E-2</v>
      </c>
      <c r="AI164">
        <v>8.1000000000000003E-2</v>
      </c>
      <c r="AJ164">
        <v>0.11</v>
      </c>
      <c r="AK164">
        <v>0.09</v>
      </c>
      <c r="AL164">
        <v>9.8000000000000004E-2</v>
      </c>
      <c r="AM164">
        <v>8.7999999999999995E-2</v>
      </c>
      <c r="CB164">
        <f t="shared" si="45"/>
        <v>1.8567199999999996E-3</v>
      </c>
      <c r="CC164">
        <f t="shared" si="44"/>
        <v>263.72606897802717</v>
      </c>
      <c r="CD164">
        <v>1.22825E-3</v>
      </c>
      <c r="CE164">
        <v>2E-3</v>
      </c>
      <c r="CF164">
        <v>1.940598E-3</v>
      </c>
      <c r="CG164">
        <v>1.4099379999999999E-3</v>
      </c>
      <c r="CH164">
        <v>1.362944E-3</v>
      </c>
      <c r="CI164">
        <v>1.362944E-3</v>
      </c>
      <c r="CJ164">
        <v>1.661168E-3</v>
      </c>
      <c r="CK164">
        <v>1.7147499999999999E-3</v>
      </c>
      <c r="CL164">
        <v>1.3170059999999999E-3</v>
      </c>
      <c r="CM164">
        <v>6.4835839999999997E-3</v>
      </c>
      <c r="CN164">
        <v>1.5071419999999999E-3</v>
      </c>
      <c r="CO164">
        <v>1.22825E-3</v>
      </c>
      <c r="CP164">
        <v>3.121792E-3</v>
      </c>
      <c r="CQ164">
        <v>1.5573760000000001E-3</v>
      </c>
      <c r="CR164">
        <v>8.1044799999999996E-4</v>
      </c>
      <c r="CS164">
        <v>1.062882E-3</v>
      </c>
      <c r="CT164">
        <v>2.6619999999999999E-3</v>
      </c>
      <c r="CU164">
        <v>1.4580000000000001E-3</v>
      </c>
      <c r="CV164">
        <v>1.882384E-3</v>
      </c>
      <c r="CW164">
        <v>1.362944E-3</v>
      </c>
    </row>
    <row r="165" spans="1:101" x14ac:dyDescent="0.25">
      <c r="A165" s="6">
        <v>83</v>
      </c>
      <c r="B165" s="6">
        <v>2</v>
      </c>
      <c r="C165" t="s">
        <v>141</v>
      </c>
      <c r="D165" t="s">
        <v>202</v>
      </c>
      <c r="E165" t="s">
        <v>192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8856</v>
      </c>
      <c r="P165">
        <v>3092.2280016930899</v>
      </c>
      <c r="Q165">
        <v>5</v>
      </c>
      <c r="R165">
        <v>4</v>
      </c>
      <c r="S165">
        <v>9</v>
      </c>
      <c r="T165">
        <v>8.5000000000000006E-2</v>
      </c>
      <c r="U165">
        <v>9.7000000000000003E-2</v>
      </c>
      <c r="V165">
        <v>7.6999999999999999E-2</v>
      </c>
      <c r="W165">
        <v>8.5000000000000006E-2</v>
      </c>
      <c r="X165">
        <v>0.1</v>
      </c>
      <c r="Y165">
        <v>9.1999999999999998E-2</v>
      </c>
      <c r="Z165">
        <v>8.5000000000000006E-2</v>
      </c>
      <c r="AA165">
        <v>7.4999999999999997E-2</v>
      </c>
      <c r="AB165">
        <v>8.8999999999999996E-2</v>
      </c>
      <c r="CB165">
        <f t="shared" si="45"/>
        <v>1.3593584444444445E-3</v>
      </c>
      <c r="CC165">
        <f t="shared" si="44"/>
        <v>4.2034462462490723</v>
      </c>
      <c r="CD165">
        <v>1.22825E-3</v>
      </c>
      <c r="CE165">
        <v>1.825346E-3</v>
      </c>
      <c r="CF165">
        <v>9.1306600000000003E-4</v>
      </c>
      <c r="CG165">
        <v>1.22825E-3</v>
      </c>
      <c r="CH165">
        <v>2E-3</v>
      </c>
      <c r="CI165">
        <v>1.5573760000000001E-3</v>
      </c>
      <c r="CJ165">
        <v>1.22825E-3</v>
      </c>
      <c r="CK165">
        <v>8.4374999999999999E-4</v>
      </c>
      <c r="CL165">
        <v>1.4099379999999999E-3</v>
      </c>
    </row>
    <row r="166" spans="1:101" x14ac:dyDescent="0.25">
      <c r="A166" s="6">
        <v>101</v>
      </c>
      <c r="B166" s="6">
        <v>2</v>
      </c>
      <c r="C166" t="s">
        <v>143</v>
      </c>
      <c r="D166" t="s">
        <v>202</v>
      </c>
      <c r="E166" t="s">
        <v>192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44992</v>
      </c>
      <c r="P166">
        <v>15557.2254998223</v>
      </c>
      <c r="Q166">
        <v>10</v>
      </c>
      <c r="R166">
        <v>9</v>
      </c>
      <c r="S166">
        <v>19</v>
      </c>
      <c r="T166">
        <v>8.1000000000000003E-2</v>
      </c>
      <c r="U166">
        <v>9.0999999999999998E-2</v>
      </c>
      <c r="V166">
        <v>8.3000000000000004E-2</v>
      </c>
      <c r="W166">
        <v>0.10100000000000001</v>
      </c>
      <c r="X166">
        <v>7.8E-2</v>
      </c>
      <c r="Y166">
        <v>7.5999999999999998E-2</v>
      </c>
      <c r="Z166">
        <v>0.09</v>
      </c>
      <c r="AA166">
        <v>7.8E-2</v>
      </c>
      <c r="AB166">
        <v>9.5000000000000001E-2</v>
      </c>
      <c r="AC166">
        <v>0.10299999999999999</v>
      </c>
      <c r="AD166">
        <v>9.0999999999999998E-2</v>
      </c>
      <c r="AE166">
        <v>0.13100000000000001</v>
      </c>
      <c r="AF166">
        <v>0.11700000000000001</v>
      </c>
      <c r="AG166">
        <v>9.9000000000000005E-2</v>
      </c>
      <c r="AH166">
        <v>7.6999999999999999E-2</v>
      </c>
      <c r="AI166">
        <v>9.2999999999999999E-2</v>
      </c>
      <c r="AJ166">
        <v>0.104</v>
      </c>
      <c r="AK166">
        <v>9.2999999999999999E-2</v>
      </c>
      <c r="AL166">
        <v>8.1000000000000003E-2</v>
      </c>
      <c r="CB166">
        <f t="shared" si="45"/>
        <v>1.7104640000000001E-3</v>
      </c>
      <c r="CC166">
        <f t="shared" si="44"/>
        <v>26.61007415732805</v>
      </c>
      <c r="CD166">
        <v>1.062882E-3</v>
      </c>
      <c r="CE166">
        <v>1.5071419999999999E-3</v>
      </c>
      <c r="CF166">
        <v>1.1435740000000001E-3</v>
      </c>
      <c r="CG166">
        <v>2.0606019999999999E-3</v>
      </c>
      <c r="CH166">
        <v>9.4910399999999998E-4</v>
      </c>
      <c r="CI166">
        <v>8.7795199999999999E-4</v>
      </c>
      <c r="CJ166">
        <v>1.4580000000000001E-3</v>
      </c>
      <c r="CK166">
        <v>9.4910399999999998E-4</v>
      </c>
      <c r="CL166">
        <v>1.7147499999999999E-3</v>
      </c>
      <c r="CM166">
        <v>2.1854539999999999E-3</v>
      </c>
      <c r="CN166">
        <v>1.5071419999999999E-3</v>
      </c>
      <c r="CO166">
        <v>4.4961819999999996E-3</v>
      </c>
      <c r="CP166">
        <v>3.203226E-3</v>
      </c>
      <c r="CQ166">
        <v>1.940598E-3</v>
      </c>
      <c r="CR166">
        <v>9.1306600000000003E-4</v>
      </c>
      <c r="CS166">
        <v>1.608714E-3</v>
      </c>
      <c r="CT166">
        <v>2.2497279999999999E-3</v>
      </c>
      <c r="CU166">
        <v>1.608714E-3</v>
      </c>
      <c r="CV166">
        <v>1.062882E-3</v>
      </c>
    </row>
    <row r="167" spans="1:101" x14ac:dyDescent="0.25">
      <c r="A167" s="6">
        <v>119</v>
      </c>
      <c r="B167" s="6">
        <v>2</v>
      </c>
      <c r="C167" t="s">
        <v>144</v>
      </c>
      <c r="D167" t="s">
        <v>202</v>
      </c>
      <c r="E167" t="s">
        <v>192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50176</v>
      </c>
      <c r="P167">
        <v>21023.7984028391</v>
      </c>
      <c r="Q167">
        <v>29</v>
      </c>
      <c r="R167">
        <v>27</v>
      </c>
      <c r="S167">
        <v>56</v>
      </c>
      <c r="T167">
        <v>9.1999999999999998E-2</v>
      </c>
      <c r="U167">
        <v>8.7999999999999995E-2</v>
      </c>
      <c r="V167">
        <v>8.7999999999999995E-2</v>
      </c>
      <c r="W167">
        <v>9.1999999999999998E-2</v>
      </c>
      <c r="X167">
        <v>8.5000000000000006E-2</v>
      </c>
      <c r="Y167">
        <v>8.5000000000000006E-2</v>
      </c>
      <c r="Z167">
        <v>9.6000000000000002E-2</v>
      </c>
      <c r="AA167">
        <v>9.1999999999999998E-2</v>
      </c>
      <c r="AB167">
        <v>0.10199999999999999</v>
      </c>
      <c r="AC167">
        <v>8.1000000000000003E-2</v>
      </c>
      <c r="AD167">
        <v>0.1</v>
      </c>
      <c r="AE167">
        <v>9.9000000000000005E-2</v>
      </c>
      <c r="AF167">
        <v>0.10100000000000001</v>
      </c>
      <c r="AG167">
        <v>9.4E-2</v>
      </c>
      <c r="AH167">
        <v>0.106</v>
      </c>
      <c r="AI167">
        <v>7.4999999999999997E-2</v>
      </c>
      <c r="AJ167">
        <v>0.10100000000000001</v>
      </c>
      <c r="AK167">
        <v>8.8999999999999996E-2</v>
      </c>
      <c r="AL167">
        <v>0.1</v>
      </c>
      <c r="AM167">
        <v>9.8000000000000004E-2</v>
      </c>
      <c r="CB167">
        <f t="shared" si="45"/>
        <v>1.6525180000000004E-3</v>
      </c>
      <c r="CC167">
        <f t="shared" si="44"/>
        <v>34.742205289062873</v>
      </c>
      <c r="CD167">
        <v>1.5573760000000001E-3</v>
      </c>
      <c r="CE167">
        <v>1.362944E-3</v>
      </c>
      <c r="CF167">
        <v>1.362944E-3</v>
      </c>
      <c r="CG167">
        <v>1.5573760000000001E-3</v>
      </c>
      <c r="CH167">
        <v>1.22825E-3</v>
      </c>
      <c r="CI167">
        <v>1.22825E-3</v>
      </c>
      <c r="CJ167">
        <v>1.769472E-3</v>
      </c>
      <c r="CK167">
        <v>1.5573760000000001E-3</v>
      </c>
      <c r="CL167">
        <v>2.1224159999999998E-3</v>
      </c>
      <c r="CM167">
        <v>1.062882E-3</v>
      </c>
      <c r="CN167">
        <v>2E-3</v>
      </c>
      <c r="CO167">
        <v>1.940598E-3</v>
      </c>
      <c r="CP167">
        <v>2.0606019999999999E-3</v>
      </c>
      <c r="CQ167">
        <v>1.661168E-3</v>
      </c>
      <c r="CR167">
        <v>2.3820320000000001E-3</v>
      </c>
      <c r="CS167">
        <v>8.4374999999999999E-4</v>
      </c>
      <c r="CT167">
        <v>2.0606019999999999E-3</v>
      </c>
      <c r="CU167">
        <v>1.4099379999999999E-3</v>
      </c>
      <c r="CV167">
        <v>2E-3</v>
      </c>
      <c r="CW167">
        <v>1.882384E-3</v>
      </c>
    </row>
    <row r="168" spans="1:101" x14ac:dyDescent="0.25">
      <c r="A168" s="6">
        <v>136</v>
      </c>
      <c r="B168" s="6">
        <v>2</v>
      </c>
      <c r="C168" t="s">
        <v>145</v>
      </c>
      <c r="D168" t="s">
        <v>202</v>
      </c>
      <c r="E168" t="s">
        <v>192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31008</v>
      </c>
      <c r="P168">
        <v>12693.710088624801</v>
      </c>
      <c r="Q168">
        <v>33</v>
      </c>
      <c r="R168">
        <v>24</v>
      </c>
      <c r="S168">
        <v>57</v>
      </c>
      <c r="T168">
        <v>8.2000000000000003E-2</v>
      </c>
      <c r="U168">
        <v>8.8999999999999996E-2</v>
      </c>
      <c r="V168">
        <v>8.2000000000000003E-2</v>
      </c>
      <c r="W168">
        <v>0.106</v>
      </c>
      <c r="X168">
        <v>8.4000000000000005E-2</v>
      </c>
      <c r="Y168">
        <v>8.6999999999999994E-2</v>
      </c>
      <c r="Z168">
        <v>8.4000000000000005E-2</v>
      </c>
      <c r="AA168">
        <v>0.08</v>
      </c>
      <c r="AB168">
        <v>7.6999999999999999E-2</v>
      </c>
      <c r="AC168">
        <v>8.6999999999999994E-2</v>
      </c>
      <c r="AD168">
        <v>8.2000000000000003E-2</v>
      </c>
      <c r="AE168">
        <v>8.7999999999999995E-2</v>
      </c>
      <c r="AF168">
        <v>8.8999999999999996E-2</v>
      </c>
      <c r="AG168">
        <v>8.5000000000000006E-2</v>
      </c>
      <c r="AH168">
        <v>8.3000000000000004E-2</v>
      </c>
      <c r="AI168">
        <v>8.5000000000000006E-2</v>
      </c>
      <c r="AJ168">
        <v>9.7000000000000003E-2</v>
      </c>
      <c r="AK168">
        <v>7.6999999999999999E-2</v>
      </c>
      <c r="AL168">
        <v>9.4E-2</v>
      </c>
      <c r="AM168">
        <v>8.2000000000000003E-2</v>
      </c>
      <c r="CB168">
        <f t="shared" si="45"/>
        <v>1.2958672000000003E-3</v>
      </c>
      <c r="CC168">
        <f t="shared" si="44"/>
        <v>16.449362550157975</v>
      </c>
      <c r="CD168">
        <v>1.102736E-3</v>
      </c>
      <c r="CE168">
        <v>1.4099379999999999E-3</v>
      </c>
      <c r="CF168">
        <v>1.102736E-3</v>
      </c>
      <c r="CG168">
        <v>2.3820320000000001E-3</v>
      </c>
      <c r="CH168">
        <v>1.185408E-3</v>
      </c>
      <c r="CI168">
        <v>1.3170059999999999E-3</v>
      </c>
      <c r="CJ168">
        <v>1.185408E-3</v>
      </c>
      <c r="CK168">
        <v>1.024E-3</v>
      </c>
      <c r="CL168">
        <v>9.1306600000000003E-4</v>
      </c>
      <c r="CM168">
        <v>1.3170059999999999E-3</v>
      </c>
      <c r="CN168">
        <v>1.102736E-3</v>
      </c>
      <c r="CO168">
        <v>1.362944E-3</v>
      </c>
      <c r="CP168">
        <v>1.4099379999999999E-3</v>
      </c>
      <c r="CQ168">
        <v>1.22825E-3</v>
      </c>
      <c r="CR168">
        <v>1.1435740000000001E-3</v>
      </c>
      <c r="CS168">
        <v>1.22825E-3</v>
      </c>
      <c r="CT168">
        <v>1.825346E-3</v>
      </c>
      <c r="CU168">
        <v>9.1306600000000003E-4</v>
      </c>
      <c r="CV168">
        <v>1.661168E-3</v>
      </c>
      <c r="CW168">
        <v>1.102736E-3</v>
      </c>
    </row>
    <row r="169" spans="1:101" x14ac:dyDescent="0.25">
      <c r="A169" s="6">
        <v>45</v>
      </c>
      <c r="B169" s="6">
        <v>2</v>
      </c>
      <c r="C169" t="s">
        <v>146</v>
      </c>
      <c r="D169" t="s">
        <v>202</v>
      </c>
      <c r="E169" t="s">
        <v>192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63296</v>
      </c>
      <c r="P169">
        <v>22542.928733860601</v>
      </c>
      <c r="Q169">
        <v>19</v>
      </c>
      <c r="R169">
        <v>24</v>
      </c>
      <c r="S169">
        <v>43</v>
      </c>
      <c r="T169">
        <v>7.9000000000000001E-2</v>
      </c>
      <c r="U169">
        <v>6.4000000000000001E-2</v>
      </c>
      <c r="V169">
        <v>8.6999999999999994E-2</v>
      </c>
      <c r="W169">
        <v>0.121</v>
      </c>
      <c r="X169">
        <v>0.112</v>
      </c>
      <c r="Y169">
        <v>9.7000000000000003E-2</v>
      </c>
      <c r="Z169">
        <v>7.6999999999999999E-2</v>
      </c>
      <c r="AA169">
        <v>0.129</v>
      </c>
      <c r="AB169">
        <v>8.1000000000000003E-2</v>
      </c>
      <c r="AC169">
        <v>0.10100000000000001</v>
      </c>
      <c r="AD169">
        <v>8.3000000000000004E-2</v>
      </c>
      <c r="AE169">
        <v>0.105</v>
      </c>
      <c r="AF169">
        <v>0.113</v>
      </c>
      <c r="AG169">
        <v>8.5000000000000006E-2</v>
      </c>
      <c r="AH169">
        <v>9.2999999999999999E-2</v>
      </c>
      <c r="AI169">
        <v>8.6999999999999994E-2</v>
      </c>
      <c r="AJ169">
        <v>9.0999999999999998E-2</v>
      </c>
      <c r="AK169">
        <v>0.104</v>
      </c>
      <c r="AL169">
        <v>8.8999999999999996E-2</v>
      </c>
      <c r="AM169">
        <v>9.5000000000000001E-2</v>
      </c>
      <c r="CB169">
        <f t="shared" si="45"/>
        <v>1.8357885000000005E-3</v>
      </c>
      <c r="CC169">
        <f t="shared" si="44"/>
        <v>41.384049325940865</v>
      </c>
      <c r="CD169">
        <v>9.8607800000000004E-4</v>
      </c>
      <c r="CE169">
        <v>5.2428800000000003E-4</v>
      </c>
      <c r="CF169">
        <v>1.3170059999999999E-3</v>
      </c>
      <c r="CG169">
        <v>3.5431220000000001E-3</v>
      </c>
      <c r="CH169">
        <v>2.8098559999999999E-3</v>
      </c>
      <c r="CI169">
        <v>1.825346E-3</v>
      </c>
      <c r="CJ169">
        <v>9.1306600000000003E-4</v>
      </c>
      <c r="CK169">
        <v>4.2933779999999996E-3</v>
      </c>
      <c r="CL169">
        <v>1.062882E-3</v>
      </c>
      <c r="CM169">
        <v>2.0606019999999999E-3</v>
      </c>
      <c r="CN169">
        <v>1.1435740000000001E-3</v>
      </c>
      <c r="CO169">
        <v>2.31525E-3</v>
      </c>
      <c r="CP169">
        <v>2.8857940000000001E-3</v>
      </c>
      <c r="CQ169">
        <v>1.22825E-3</v>
      </c>
      <c r="CR169">
        <v>1.608714E-3</v>
      </c>
      <c r="CS169">
        <v>1.3170059999999999E-3</v>
      </c>
      <c r="CT169">
        <v>1.5071419999999999E-3</v>
      </c>
      <c r="CU169">
        <v>2.2497279999999999E-3</v>
      </c>
      <c r="CV169">
        <v>1.4099379999999999E-3</v>
      </c>
      <c r="CW169">
        <v>1.7147499999999999E-3</v>
      </c>
    </row>
    <row r="170" spans="1:101" x14ac:dyDescent="0.25">
      <c r="A170" s="6">
        <v>64</v>
      </c>
      <c r="B170" s="6">
        <v>2</v>
      </c>
      <c r="C170" t="s">
        <v>148</v>
      </c>
      <c r="D170" t="s">
        <v>202</v>
      </c>
      <c r="E170" t="s">
        <v>192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193024</v>
      </c>
      <c r="P170">
        <v>61380.067403332599</v>
      </c>
      <c r="Q170">
        <v>44</v>
      </c>
      <c r="R170">
        <v>60</v>
      </c>
      <c r="S170">
        <v>104</v>
      </c>
      <c r="T170">
        <v>8.8999999999999996E-2</v>
      </c>
      <c r="U170">
        <v>9.1999999999999998E-2</v>
      </c>
      <c r="V170">
        <v>8.5999999999999993E-2</v>
      </c>
      <c r="W170">
        <v>9.8000000000000004E-2</v>
      </c>
      <c r="X170">
        <v>0.108</v>
      </c>
      <c r="Y170">
        <v>9.7000000000000003E-2</v>
      </c>
      <c r="Z170">
        <v>9.7000000000000003E-2</v>
      </c>
      <c r="AA170">
        <v>8.5999999999999993E-2</v>
      </c>
      <c r="AB170">
        <v>0.107</v>
      </c>
      <c r="AC170">
        <v>0.106</v>
      </c>
      <c r="AD170">
        <v>9.2999999999999999E-2</v>
      </c>
      <c r="AE170">
        <v>9.5000000000000001E-2</v>
      </c>
      <c r="AF170">
        <v>9.4E-2</v>
      </c>
      <c r="AG170">
        <v>0.106</v>
      </c>
      <c r="AH170">
        <v>8.5999999999999993E-2</v>
      </c>
      <c r="AI170">
        <v>8.4000000000000005E-2</v>
      </c>
      <c r="AJ170">
        <v>5.8000000000000003E-2</v>
      </c>
      <c r="AK170">
        <v>8.6999999999999994E-2</v>
      </c>
      <c r="AL170">
        <v>8.6999999999999994E-2</v>
      </c>
      <c r="AM170">
        <v>0.10100000000000001</v>
      </c>
      <c r="CB170">
        <f t="shared" si="45"/>
        <v>1.6652588999999998E-3</v>
      </c>
      <c r="CC170">
        <f t="shared" si="44"/>
        <v>102.21370352599949</v>
      </c>
      <c r="CD170">
        <v>1.4099379999999999E-3</v>
      </c>
      <c r="CE170">
        <v>1.5573760000000001E-3</v>
      </c>
      <c r="CF170">
        <v>1.2721119999999999E-3</v>
      </c>
      <c r="CG170">
        <v>1.882384E-3</v>
      </c>
      <c r="CH170">
        <v>2.5194240000000001E-3</v>
      </c>
      <c r="CI170">
        <v>1.825346E-3</v>
      </c>
      <c r="CJ170">
        <v>1.825346E-3</v>
      </c>
      <c r="CK170">
        <v>1.2721119999999999E-3</v>
      </c>
      <c r="CL170">
        <v>2.4500860000000002E-3</v>
      </c>
      <c r="CM170">
        <v>2.3820320000000001E-3</v>
      </c>
      <c r="CN170">
        <v>1.608714E-3</v>
      </c>
      <c r="CO170">
        <v>1.7147499999999999E-3</v>
      </c>
      <c r="CP170">
        <v>1.661168E-3</v>
      </c>
      <c r="CQ170">
        <v>2.3820320000000001E-3</v>
      </c>
      <c r="CR170">
        <v>1.2721119999999999E-3</v>
      </c>
      <c r="CS170">
        <v>1.185408E-3</v>
      </c>
      <c r="CT170">
        <v>3.90224E-4</v>
      </c>
      <c r="CU170">
        <v>1.3170059999999999E-3</v>
      </c>
      <c r="CV170">
        <v>1.3170059999999999E-3</v>
      </c>
      <c r="CW170">
        <v>2.0606019999999999E-3</v>
      </c>
    </row>
    <row r="171" spans="1:101" x14ac:dyDescent="0.25">
      <c r="A171" s="6">
        <v>231</v>
      </c>
      <c r="B171" s="6">
        <v>2</v>
      </c>
      <c r="C171" t="s">
        <v>150</v>
      </c>
      <c r="D171" t="s">
        <v>202</v>
      </c>
      <c r="E171" t="s">
        <v>192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42432</v>
      </c>
      <c r="P171">
        <v>15112.1959055102</v>
      </c>
      <c r="Q171">
        <v>53</v>
      </c>
      <c r="R171">
        <v>25</v>
      </c>
      <c r="S171">
        <v>78</v>
      </c>
      <c r="T171">
        <v>8.4000000000000005E-2</v>
      </c>
      <c r="U171">
        <v>9.4E-2</v>
      </c>
      <c r="V171">
        <v>8.3000000000000004E-2</v>
      </c>
      <c r="W171">
        <v>8.4000000000000005E-2</v>
      </c>
      <c r="X171">
        <v>9.6000000000000002E-2</v>
      </c>
      <c r="Y171">
        <v>9.7000000000000003E-2</v>
      </c>
      <c r="Z171">
        <v>8.6999999999999994E-2</v>
      </c>
      <c r="AA171">
        <v>8.2000000000000003E-2</v>
      </c>
      <c r="AB171">
        <v>8.8999999999999996E-2</v>
      </c>
      <c r="AC171">
        <v>8.8999999999999996E-2</v>
      </c>
      <c r="AD171">
        <v>8.3000000000000004E-2</v>
      </c>
      <c r="AE171">
        <v>8.7999999999999995E-2</v>
      </c>
      <c r="AF171">
        <v>0.104</v>
      </c>
      <c r="AG171">
        <v>8.5000000000000006E-2</v>
      </c>
      <c r="AH171">
        <v>0.104</v>
      </c>
      <c r="AI171">
        <v>9.4E-2</v>
      </c>
      <c r="AJ171">
        <v>9.7000000000000003E-2</v>
      </c>
      <c r="AK171">
        <v>8.5999999999999993E-2</v>
      </c>
      <c r="AL171">
        <v>8.7999999999999995E-2</v>
      </c>
      <c r="AM171">
        <v>0.09</v>
      </c>
      <c r="CB171">
        <f t="shared" si="45"/>
        <v>1.4911893999999999E-3</v>
      </c>
      <c r="CC171">
        <f t="shared" si="44"/>
        <v>22.535146345020209</v>
      </c>
      <c r="CD171">
        <v>1.185408E-3</v>
      </c>
      <c r="CE171">
        <v>1.661168E-3</v>
      </c>
      <c r="CF171">
        <v>1.1435740000000001E-3</v>
      </c>
      <c r="CG171">
        <v>1.185408E-3</v>
      </c>
      <c r="CH171">
        <v>1.769472E-3</v>
      </c>
      <c r="CI171">
        <v>1.825346E-3</v>
      </c>
      <c r="CJ171">
        <v>1.3170059999999999E-3</v>
      </c>
      <c r="CK171">
        <v>1.102736E-3</v>
      </c>
      <c r="CL171">
        <v>1.4099379999999999E-3</v>
      </c>
      <c r="CM171">
        <v>1.4099379999999999E-3</v>
      </c>
      <c r="CN171">
        <v>1.1435740000000001E-3</v>
      </c>
      <c r="CO171">
        <v>1.362944E-3</v>
      </c>
      <c r="CP171">
        <v>2.2497279999999999E-3</v>
      </c>
      <c r="CQ171">
        <v>1.22825E-3</v>
      </c>
      <c r="CR171">
        <v>2.2497279999999999E-3</v>
      </c>
      <c r="CS171">
        <v>1.661168E-3</v>
      </c>
      <c r="CT171">
        <v>1.825346E-3</v>
      </c>
      <c r="CU171">
        <v>1.2721119999999999E-3</v>
      </c>
      <c r="CV171">
        <v>1.362944E-3</v>
      </c>
      <c r="CW171">
        <v>1.4580000000000001E-3</v>
      </c>
    </row>
    <row r="172" spans="1:101" x14ac:dyDescent="0.25">
      <c r="A172" s="6">
        <v>10</v>
      </c>
      <c r="B172" s="6">
        <v>2</v>
      </c>
      <c r="C172" t="s">
        <v>151</v>
      </c>
      <c r="D172" t="s">
        <v>202</v>
      </c>
      <c r="E172" t="s">
        <v>192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100880</v>
      </c>
      <c r="P172">
        <v>40827.8465584472</v>
      </c>
      <c r="Q172">
        <v>46</v>
      </c>
      <c r="R172">
        <v>51</v>
      </c>
      <c r="S172">
        <v>97</v>
      </c>
      <c r="T172">
        <v>0.107</v>
      </c>
      <c r="U172">
        <v>0.10199999999999999</v>
      </c>
      <c r="V172">
        <v>0.114</v>
      </c>
      <c r="W172">
        <v>9.9000000000000005E-2</v>
      </c>
      <c r="X172">
        <v>0.09</v>
      </c>
      <c r="Y172">
        <v>9.9000000000000005E-2</v>
      </c>
      <c r="Z172">
        <v>9.2999999999999999E-2</v>
      </c>
      <c r="AA172">
        <v>9.6000000000000002E-2</v>
      </c>
      <c r="AB172">
        <v>0.13</v>
      </c>
      <c r="AC172">
        <v>9.7000000000000003E-2</v>
      </c>
      <c r="AD172">
        <v>0.104</v>
      </c>
      <c r="AE172">
        <v>8.7999999999999995E-2</v>
      </c>
      <c r="AF172">
        <v>8.6999999999999994E-2</v>
      </c>
      <c r="AG172">
        <v>9.8000000000000004E-2</v>
      </c>
      <c r="AH172">
        <v>0.157</v>
      </c>
      <c r="AI172">
        <v>0.121</v>
      </c>
      <c r="AJ172">
        <v>9.0999999999999998E-2</v>
      </c>
      <c r="AK172">
        <v>0.122</v>
      </c>
      <c r="AL172">
        <v>0.112</v>
      </c>
      <c r="AM172">
        <v>8.3000000000000004E-2</v>
      </c>
      <c r="CB172">
        <f t="shared" si="45"/>
        <v>2.4829778000000002E-3</v>
      </c>
      <c r="CC172">
        <f t="shared" si="44"/>
        <v>101.37463662643081</v>
      </c>
      <c r="CD172">
        <v>2.4500860000000002E-3</v>
      </c>
      <c r="CE172">
        <v>2.1224159999999998E-3</v>
      </c>
      <c r="CF172">
        <v>2.963088E-3</v>
      </c>
      <c r="CG172">
        <v>1.940598E-3</v>
      </c>
      <c r="CH172">
        <v>1.4580000000000001E-3</v>
      </c>
      <c r="CI172">
        <v>1.940598E-3</v>
      </c>
      <c r="CJ172">
        <v>1.608714E-3</v>
      </c>
      <c r="CK172">
        <v>1.769472E-3</v>
      </c>
      <c r="CL172">
        <v>4.3940000000000003E-3</v>
      </c>
      <c r="CM172">
        <v>1.825346E-3</v>
      </c>
      <c r="CN172">
        <v>2.2497279999999999E-3</v>
      </c>
      <c r="CO172">
        <v>1.362944E-3</v>
      </c>
      <c r="CP172">
        <v>1.3170059999999999E-3</v>
      </c>
      <c r="CQ172">
        <v>1.882384E-3</v>
      </c>
      <c r="CR172">
        <v>7.7397860000000002E-3</v>
      </c>
      <c r="CS172">
        <v>3.5431220000000001E-3</v>
      </c>
      <c r="CT172">
        <v>1.5071419999999999E-3</v>
      </c>
      <c r="CU172">
        <v>3.6316959999999998E-3</v>
      </c>
      <c r="CV172">
        <v>2.8098559999999999E-3</v>
      </c>
      <c r="CW172">
        <v>1.1435740000000001E-3</v>
      </c>
    </row>
    <row r="173" spans="1:101" x14ac:dyDescent="0.25">
      <c r="A173" s="6">
        <v>28</v>
      </c>
      <c r="B173" s="6">
        <v>2</v>
      </c>
      <c r="C173" t="s">
        <v>152</v>
      </c>
      <c r="D173" t="s">
        <v>202</v>
      </c>
      <c r="E173" t="s">
        <v>192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6216</v>
      </c>
      <c r="P173">
        <v>3304.2300428236099</v>
      </c>
      <c r="Q173">
        <v>18</v>
      </c>
      <c r="R173">
        <v>19</v>
      </c>
      <c r="S173">
        <v>37</v>
      </c>
      <c r="T173">
        <v>0.10199999999999999</v>
      </c>
      <c r="U173">
        <v>9.6000000000000002E-2</v>
      </c>
      <c r="V173">
        <v>9.7000000000000003E-2</v>
      </c>
      <c r="W173">
        <v>0.109</v>
      </c>
      <c r="X173">
        <v>8.5000000000000006E-2</v>
      </c>
      <c r="Y173">
        <v>0.10199999999999999</v>
      </c>
      <c r="Z173">
        <v>0.124</v>
      </c>
      <c r="AA173">
        <v>0.128</v>
      </c>
      <c r="AB173">
        <v>0.10100000000000001</v>
      </c>
      <c r="AC173">
        <v>9.5000000000000001E-2</v>
      </c>
      <c r="AD173">
        <v>0.111</v>
      </c>
      <c r="AE173">
        <v>0.105</v>
      </c>
      <c r="AF173">
        <v>9.4E-2</v>
      </c>
      <c r="AG173">
        <v>8.5999999999999993E-2</v>
      </c>
      <c r="AH173">
        <v>9.7000000000000003E-2</v>
      </c>
      <c r="AI173">
        <v>8.5999999999999993E-2</v>
      </c>
      <c r="AJ173">
        <v>8.5000000000000006E-2</v>
      </c>
      <c r="AK173">
        <v>0.13200000000000001</v>
      </c>
      <c r="AL173">
        <v>8.7999999999999995E-2</v>
      </c>
      <c r="AM173">
        <v>9.5000000000000001E-2</v>
      </c>
      <c r="CB173">
        <f t="shared" si="45"/>
        <v>2.1713995999999998E-3</v>
      </c>
      <c r="CC173">
        <f t="shared" si="44"/>
        <v>7.1748037932951689</v>
      </c>
      <c r="CD173">
        <v>2.1224159999999998E-3</v>
      </c>
      <c r="CE173">
        <v>1.769472E-3</v>
      </c>
      <c r="CF173">
        <v>1.825346E-3</v>
      </c>
      <c r="CG173">
        <v>2.5900580000000001E-3</v>
      </c>
      <c r="CH173">
        <v>1.22825E-3</v>
      </c>
      <c r="CI173">
        <v>2.1224159999999998E-3</v>
      </c>
      <c r="CJ173">
        <v>3.813248E-3</v>
      </c>
      <c r="CK173">
        <v>4.1943040000000003E-3</v>
      </c>
      <c r="CL173">
        <v>2.0606019999999999E-3</v>
      </c>
      <c r="CM173">
        <v>1.7147499999999999E-3</v>
      </c>
      <c r="CN173">
        <v>2.735262E-3</v>
      </c>
      <c r="CO173">
        <v>2.31525E-3</v>
      </c>
      <c r="CP173">
        <v>1.661168E-3</v>
      </c>
      <c r="CQ173">
        <v>1.2721119999999999E-3</v>
      </c>
      <c r="CR173">
        <v>1.825346E-3</v>
      </c>
      <c r="CS173">
        <v>1.2721119999999999E-3</v>
      </c>
      <c r="CT173">
        <v>1.22825E-3</v>
      </c>
      <c r="CU173">
        <v>4.5999359999999998E-3</v>
      </c>
      <c r="CV173">
        <v>1.362944E-3</v>
      </c>
      <c r="CW173">
        <v>1.7147499999999999E-3</v>
      </c>
    </row>
    <row r="174" spans="1:101" x14ac:dyDescent="0.25">
      <c r="A174" s="6">
        <v>194</v>
      </c>
      <c r="B174" s="6">
        <v>2</v>
      </c>
      <c r="C174" t="s">
        <v>132</v>
      </c>
      <c r="D174" t="s">
        <v>203</v>
      </c>
      <c r="E174" t="s">
        <v>192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2352</v>
      </c>
      <c r="P174">
        <v>962.83559495761006</v>
      </c>
      <c r="Q174">
        <v>2</v>
      </c>
      <c r="R174">
        <v>1</v>
      </c>
      <c r="S174">
        <v>3</v>
      </c>
      <c r="T174">
        <v>0.111</v>
      </c>
      <c r="U174">
        <v>0.109</v>
      </c>
      <c r="V174">
        <v>9.8000000000000004E-2</v>
      </c>
      <c r="CB174">
        <f t="shared" si="45"/>
        <v>2.4025679999999999E-3</v>
      </c>
      <c r="CC174">
        <f t="shared" si="44"/>
        <v>2.3132779897061151</v>
      </c>
      <c r="CD174">
        <v>2.735262E-3</v>
      </c>
      <c r="CE174">
        <v>2.5900580000000001E-3</v>
      </c>
      <c r="CF174">
        <v>1.882384E-3</v>
      </c>
    </row>
    <row r="175" spans="1:101" x14ac:dyDescent="0.25">
      <c r="A175" s="6">
        <v>214</v>
      </c>
      <c r="B175" s="6">
        <v>2</v>
      </c>
      <c r="C175" t="s">
        <v>135</v>
      </c>
      <c r="D175" t="s">
        <v>203</v>
      </c>
      <c r="E175" t="s">
        <v>192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20496</v>
      </c>
      <c r="P175">
        <v>7683.8624096842595</v>
      </c>
      <c r="Q175">
        <v>10</v>
      </c>
      <c r="R175">
        <v>11</v>
      </c>
      <c r="S175">
        <v>21</v>
      </c>
      <c r="T175">
        <v>9.0999999999999998E-2</v>
      </c>
      <c r="U175">
        <v>0.109</v>
      </c>
      <c r="V175">
        <v>0.10299999999999999</v>
      </c>
      <c r="W175">
        <v>0.105</v>
      </c>
      <c r="X175">
        <v>9.4E-2</v>
      </c>
      <c r="Y175">
        <v>0.1</v>
      </c>
      <c r="Z175">
        <v>9.8000000000000004E-2</v>
      </c>
      <c r="AA175">
        <v>9.5000000000000001E-2</v>
      </c>
      <c r="AB175">
        <v>9.9000000000000005E-2</v>
      </c>
      <c r="AC175">
        <v>0.10299999999999999</v>
      </c>
      <c r="AD175">
        <v>9.7000000000000003E-2</v>
      </c>
      <c r="AE175">
        <v>0.107</v>
      </c>
      <c r="AF175">
        <v>0.107</v>
      </c>
      <c r="AG175">
        <v>9.5000000000000001E-2</v>
      </c>
      <c r="AH175">
        <v>9.8000000000000004E-2</v>
      </c>
      <c r="AI175">
        <v>9.9000000000000005E-2</v>
      </c>
      <c r="AJ175">
        <v>9.1999999999999998E-2</v>
      </c>
      <c r="AK175">
        <v>0.11</v>
      </c>
      <c r="AL175">
        <v>9.5000000000000001E-2</v>
      </c>
      <c r="AM175">
        <v>9.9000000000000005E-2</v>
      </c>
      <c r="CB175">
        <f t="shared" si="45"/>
        <v>2.0060116E-3</v>
      </c>
      <c r="CC175">
        <f t="shared" si="44"/>
        <v>15.413917126630578</v>
      </c>
      <c r="CD175">
        <v>1.5071419999999999E-3</v>
      </c>
      <c r="CE175">
        <v>2.5900580000000001E-3</v>
      </c>
      <c r="CF175">
        <v>2.1854539999999999E-3</v>
      </c>
      <c r="CG175">
        <v>2.31525E-3</v>
      </c>
      <c r="CH175">
        <v>1.661168E-3</v>
      </c>
      <c r="CI175">
        <v>2E-3</v>
      </c>
      <c r="CJ175">
        <v>1.882384E-3</v>
      </c>
      <c r="CK175">
        <v>1.7147499999999999E-3</v>
      </c>
      <c r="CL175">
        <v>1.940598E-3</v>
      </c>
      <c r="CM175">
        <v>2.1854539999999999E-3</v>
      </c>
      <c r="CN175">
        <v>1.825346E-3</v>
      </c>
      <c r="CO175">
        <v>2.4500860000000002E-3</v>
      </c>
      <c r="CP175">
        <v>2.4500860000000002E-3</v>
      </c>
      <c r="CQ175">
        <v>1.7147499999999999E-3</v>
      </c>
      <c r="CR175">
        <v>1.882384E-3</v>
      </c>
      <c r="CS175">
        <v>1.940598E-3</v>
      </c>
      <c r="CT175">
        <v>1.5573760000000001E-3</v>
      </c>
      <c r="CU175">
        <v>2.6619999999999999E-3</v>
      </c>
      <c r="CV175">
        <v>1.7147499999999999E-3</v>
      </c>
      <c r="CW175">
        <v>1.940598E-3</v>
      </c>
    </row>
    <row r="176" spans="1:101" x14ac:dyDescent="0.25">
      <c r="A176" s="6">
        <v>158</v>
      </c>
      <c r="B176" s="6">
        <v>2</v>
      </c>
      <c r="C176" t="s">
        <v>136</v>
      </c>
      <c r="D176" t="s">
        <v>203</v>
      </c>
      <c r="E176" t="s">
        <v>192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1920</v>
      </c>
      <c r="P176">
        <v>1102.9189830324201</v>
      </c>
      <c r="Q176">
        <v>2</v>
      </c>
      <c r="R176">
        <v>1</v>
      </c>
      <c r="S176">
        <v>3</v>
      </c>
      <c r="T176">
        <v>8.3000000000000004E-2</v>
      </c>
      <c r="U176">
        <v>0.108</v>
      </c>
      <c r="V176">
        <v>0.126</v>
      </c>
      <c r="CB176">
        <f t="shared" si="45"/>
        <v>2.5545833333333336E-3</v>
      </c>
      <c r="CC176">
        <f t="shared" si="44"/>
        <v>2.81749845207157</v>
      </c>
      <c r="CD176">
        <v>1.1435740000000001E-3</v>
      </c>
      <c r="CE176">
        <v>2.5194240000000001E-3</v>
      </c>
      <c r="CF176">
        <v>4.0007519999999998E-3</v>
      </c>
    </row>
    <row r="177" spans="1:101" x14ac:dyDescent="0.25">
      <c r="A177" s="6">
        <v>176</v>
      </c>
      <c r="B177" s="6">
        <v>2</v>
      </c>
      <c r="C177" t="s">
        <v>138</v>
      </c>
      <c r="D177" t="s">
        <v>203</v>
      </c>
      <c r="E177" t="s">
        <v>192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1936</v>
      </c>
      <c r="P177">
        <v>1379.0163684515301</v>
      </c>
      <c r="Q177">
        <v>1</v>
      </c>
      <c r="R177">
        <v>0</v>
      </c>
      <c r="S177">
        <v>1</v>
      </c>
      <c r="T177">
        <v>0.10199999999999999</v>
      </c>
      <c r="CB177">
        <f t="shared" si="45"/>
        <v>2.1224159999999998E-3</v>
      </c>
      <c r="CC177">
        <f t="shared" si="44"/>
        <v>2.9268464046634222</v>
      </c>
      <c r="CD177">
        <v>2.1224159999999998E-3</v>
      </c>
    </row>
    <row r="178" spans="1:101" x14ac:dyDescent="0.25">
      <c r="A178" s="6">
        <v>84</v>
      </c>
      <c r="B178" s="6">
        <v>2</v>
      </c>
      <c r="C178" t="s">
        <v>141</v>
      </c>
      <c r="D178" t="s">
        <v>203</v>
      </c>
      <c r="E178" t="s">
        <v>192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984</v>
      </c>
      <c r="P178">
        <v>343.58088907701</v>
      </c>
      <c r="Q178">
        <v>1</v>
      </c>
      <c r="R178">
        <v>0</v>
      </c>
      <c r="S178">
        <v>1</v>
      </c>
      <c r="T178">
        <v>9.9000000000000005E-2</v>
      </c>
      <c r="CB178">
        <f t="shared" si="45"/>
        <v>1.940598E-3</v>
      </c>
      <c r="CC178">
        <f t="shared" si="44"/>
        <v>0.66675238618106747</v>
      </c>
      <c r="CD178">
        <v>1.940598E-3</v>
      </c>
    </row>
    <row r="179" spans="1:101" x14ac:dyDescent="0.25">
      <c r="A179" s="6">
        <v>102</v>
      </c>
      <c r="B179" s="6">
        <v>2</v>
      </c>
      <c r="C179" t="s">
        <v>143</v>
      </c>
      <c r="D179" t="s">
        <v>203</v>
      </c>
      <c r="E179" t="s">
        <v>192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2368</v>
      </c>
      <c r="P179">
        <v>818.80134209591097</v>
      </c>
      <c r="Q179">
        <v>0</v>
      </c>
      <c r="R179">
        <v>1</v>
      </c>
      <c r="S179">
        <v>1</v>
      </c>
      <c r="T179">
        <v>0.10299999999999999</v>
      </c>
      <c r="CB179">
        <f t="shared" si="45"/>
        <v>2.1854539999999999E-3</v>
      </c>
      <c r="CC179">
        <f t="shared" si="44"/>
        <v>1.7894526682888769</v>
      </c>
      <c r="CD179">
        <v>2.1854539999999999E-3</v>
      </c>
    </row>
    <row r="180" spans="1:101" x14ac:dyDescent="0.25">
      <c r="A180" s="6">
        <v>120</v>
      </c>
      <c r="B180" s="6">
        <v>2</v>
      </c>
      <c r="C180" t="s">
        <v>144</v>
      </c>
      <c r="D180" t="s">
        <v>203</v>
      </c>
      <c r="E180" t="s">
        <v>192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6272</v>
      </c>
      <c r="P180">
        <v>2627.9748003548898</v>
      </c>
      <c r="Q180">
        <v>5</v>
      </c>
      <c r="R180">
        <v>2</v>
      </c>
      <c r="S180">
        <v>7</v>
      </c>
      <c r="T180">
        <v>8.2000000000000003E-2</v>
      </c>
      <c r="U180">
        <v>0.106</v>
      </c>
      <c r="V180">
        <v>9.5000000000000001E-2</v>
      </c>
      <c r="W180">
        <v>0.09</v>
      </c>
      <c r="X180">
        <v>0.09</v>
      </c>
      <c r="Y180">
        <v>0.108</v>
      </c>
      <c r="Z180">
        <v>0.105</v>
      </c>
      <c r="CB180">
        <f t="shared" si="45"/>
        <v>1.8500274285714287E-3</v>
      </c>
      <c r="CC180">
        <f t="shared" si="44"/>
        <v>4.8618254622510708</v>
      </c>
      <c r="CD180">
        <v>1.102736E-3</v>
      </c>
      <c r="CE180">
        <v>2.3820320000000001E-3</v>
      </c>
      <c r="CF180">
        <v>1.7147499999999999E-3</v>
      </c>
      <c r="CG180">
        <v>1.4580000000000001E-3</v>
      </c>
      <c r="CH180">
        <v>1.4580000000000001E-3</v>
      </c>
      <c r="CI180">
        <v>2.5194240000000001E-3</v>
      </c>
      <c r="CJ180">
        <v>2.31525E-3</v>
      </c>
    </row>
    <row r="181" spans="1:101" x14ac:dyDescent="0.25">
      <c r="A181" s="6">
        <v>46</v>
      </c>
      <c r="B181" s="6">
        <v>2</v>
      </c>
      <c r="C181" t="s">
        <v>146</v>
      </c>
      <c r="D181" t="s">
        <v>203</v>
      </c>
      <c r="E181" t="s">
        <v>192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1472</v>
      </c>
      <c r="P181">
        <v>524.25415660140902</v>
      </c>
      <c r="Q181">
        <v>0</v>
      </c>
      <c r="R181">
        <v>1</v>
      </c>
      <c r="S181">
        <v>1</v>
      </c>
      <c r="T181">
        <v>0.11700000000000001</v>
      </c>
      <c r="CB181">
        <f t="shared" si="45"/>
        <v>3.203226E-3</v>
      </c>
      <c r="CC181">
        <f t="shared" si="44"/>
        <v>1.679304545033705</v>
      </c>
      <c r="CD181">
        <v>3.203226E-3</v>
      </c>
    </row>
    <row r="182" spans="1:101" x14ac:dyDescent="0.25">
      <c r="A182" s="6">
        <v>65</v>
      </c>
      <c r="B182" s="6">
        <v>2</v>
      </c>
      <c r="C182" t="s">
        <v>148</v>
      </c>
      <c r="D182" t="s">
        <v>203</v>
      </c>
      <c r="E182" t="s">
        <v>192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27840</v>
      </c>
      <c r="P182">
        <v>8852.89433701913</v>
      </c>
      <c r="Q182">
        <v>10</v>
      </c>
      <c r="R182">
        <v>5</v>
      </c>
      <c r="S182">
        <v>15</v>
      </c>
      <c r="T182">
        <v>9.5000000000000001E-2</v>
      </c>
      <c r="U182">
        <v>0.10299999999999999</v>
      </c>
      <c r="V182">
        <v>0.10100000000000001</v>
      </c>
      <c r="W182">
        <v>0.10100000000000001</v>
      </c>
      <c r="X182">
        <v>0.09</v>
      </c>
      <c r="Y182">
        <v>0.106</v>
      </c>
      <c r="Z182">
        <v>9.9000000000000005E-2</v>
      </c>
      <c r="AA182">
        <v>0.106</v>
      </c>
      <c r="AB182">
        <v>0.104</v>
      </c>
      <c r="AC182">
        <v>9.8000000000000004E-2</v>
      </c>
      <c r="AD182">
        <v>0.10199999999999999</v>
      </c>
      <c r="AE182">
        <v>9.9000000000000005E-2</v>
      </c>
      <c r="AF182">
        <v>9.8000000000000004E-2</v>
      </c>
      <c r="AG182">
        <v>9.9000000000000005E-2</v>
      </c>
      <c r="AH182">
        <v>0.105</v>
      </c>
      <c r="CB182">
        <f t="shared" si="45"/>
        <v>2.0344952000000004E-3</v>
      </c>
      <c r="CC182">
        <f t="shared" si="44"/>
        <v>18.011171034772605</v>
      </c>
      <c r="CD182">
        <v>1.7147499999999999E-3</v>
      </c>
      <c r="CE182">
        <v>2.1854539999999999E-3</v>
      </c>
      <c r="CF182">
        <v>2.0606019999999999E-3</v>
      </c>
      <c r="CG182">
        <v>2.0606019999999999E-3</v>
      </c>
      <c r="CH182">
        <v>1.4580000000000001E-3</v>
      </c>
      <c r="CI182">
        <v>2.3820320000000001E-3</v>
      </c>
      <c r="CJ182">
        <v>1.940598E-3</v>
      </c>
      <c r="CK182">
        <v>2.3820320000000001E-3</v>
      </c>
      <c r="CL182">
        <v>2.2497279999999999E-3</v>
      </c>
      <c r="CM182">
        <v>1.882384E-3</v>
      </c>
      <c r="CN182">
        <v>2.1224159999999998E-3</v>
      </c>
      <c r="CO182">
        <v>1.940598E-3</v>
      </c>
      <c r="CP182">
        <v>1.882384E-3</v>
      </c>
      <c r="CQ182">
        <v>1.940598E-3</v>
      </c>
      <c r="CR182">
        <v>2.31525E-3</v>
      </c>
    </row>
    <row r="183" spans="1:101" x14ac:dyDescent="0.25">
      <c r="A183" s="6">
        <v>11</v>
      </c>
      <c r="B183" s="6">
        <v>2</v>
      </c>
      <c r="C183" t="s">
        <v>151</v>
      </c>
      <c r="D183" t="s">
        <v>203</v>
      </c>
      <c r="E183" t="s">
        <v>192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29120</v>
      </c>
      <c r="P183">
        <v>11785.357769448699</v>
      </c>
      <c r="Q183">
        <v>10</v>
      </c>
      <c r="R183">
        <v>18</v>
      </c>
      <c r="S183">
        <v>28</v>
      </c>
      <c r="T183">
        <v>0.10199999999999999</v>
      </c>
      <c r="U183">
        <v>9.7000000000000003E-2</v>
      </c>
      <c r="V183">
        <v>0.11799999999999999</v>
      </c>
      <c r="W183">
        <v>9.2999999999999999E-2</v>
      </c>
      <c r="X183">
        <v>0.115</v>
      </c>
      <c r="Y183">
        <v>0.11600000000000001</v>
      </c>
      <c r="Z183">
        <v>0.108</v>
      </c>
      <c r="AA183">
        <v>0.107</v>
      </c>
      <c r="AB183">
        <v>0.11799999999999999</v>
      </c>
      <c r="AC183">
        <v>0.104</v>
      </c>
      <c r="AD183">
        <v>9.8000000000000004E-2</v>
      </c>
      <c r="AE183">
        <v>9.0999999999999998E-2</v>
      </c>
      <c r="AF183">
        <v>0.106</v>
      </c>
      <c r="AG183">
        <v>0.127</v>
      </c>
      <c r="AH183">
        <v>0.108</v>
      </c>
      <c r="AI183">
        <v>0.109</v>
      </c>
      <c r="AJ183">
        <v>0.106</v>
      </c>
      <c r="AK183">
        <v>0.11</v>
      </c>
      <c r="AL183">
        <v>0.114</v>
      </c>
      <c r="AM183">
        <v>0.106</v>
      </c>
      <c r="CB183">
        <f t="shared" si="45"/>
        <v>2.5439171000000002E-3</v>
      </c>
      <c r="CC183">
        <f t="shared" si="44"/>
        <v>29.980973159318406</v>
      </c>
      <c r="CD183">
        <v>2.1224159999999998E-3</v>
      </c>
      <c r="CE183">
        <v>1.825346E-3</v>
      </c>
      <c r="CF183">
        <v>3.286064E-3</v>
      </c>
      <c r="CG183">
        <v>1.608714E-3</v>
      </c>
      <c r="CH183">
        <v>3.0417500000000002E-3</v>
      </c>
      <c r="CI183">
        <v>3.121792E-3</v>
      </c>
      <c r="CJ183">
        <v>2.5194240000000001E-3</v>
      </c>
      <c r="CK183">
        <v>2.4500860000000002E-3</v>
      </c>
      <c r="CL183">
        <v>3.286064E-3</v>
      </c>
      <c r="CM183">
        <v>2.2497279999999999E-3</v>
      </c>
      <c r="CN183">
        <v>1.882384E-3</v>
      </c>
      <c r="CO183">
        <v>1.5071419999999999E-3</v>
      </c>
      <c r="CP183">
        <v>2.3820320000000001E-3</v>
      </c>
      <c r="CQ183">
        <v>4.0967659999999999E-3</v>
      </c>
      <c r="CR183">
        <v>2.5194240000000001E-3</v>
      </c>
      <c r="CS183">
        <v>2.5900580000000001E-3</v>
      </c>
      <c r="CT183">
        <v>2.3820320000000001E-3</v>
      </c>
      <c r="CU183">
        <v>2.6619999999999999E-3</v>
      </c>
      <c r="CV183">
        <v>2.963088E-3</v>
      </c>
      <c r="CW183">
        <v>2.3820320000000001E-3</v>
      </c>
    </row>
    <row r="184" spans="1:101" x14ac:dyDescent="0.25">
      <c r="A184" s="6">
        <v>244</v>
      </c>
      <c r="B184" s="6">
        <v>2</v>
      </c>
      <c r="C184" t="s">
        <v>112</v>
      </c>
      <c r="D184" t="s">
        <v>204</v>
      </c>
      <c r="E184" t="s">
        <v>192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51.75</v>
      </c>
      <c r="P184">
        <v>7.8646629792361296</v>
      </c>
      <c r="Q184">
        <v>1</v>
      </c>
      <c r="R184">
        <v>-1</v>
      </c>
      <c r="S184">
        <v>1</v>
      </c>
      <c r="T184">
        <v>0.123</v>
      </c>
      <c r="CB184">
        <f t="shared" si="45"/>
        <v>3.721734E-3</v>
      </c>
      <c r="CC184">
        <f t="shared" si="44"/>
        <v>2.9270183608364399E-2</v>
      </c>
      <c r="CD184">
        <v>3.721734E-3</v>
      </c>
    </row>
    <row r="185" spans="1:101" x14ac:dyDescent="0.25">
      <c r="A185" s="6">
        <v>322</v>
      </c>
      <c r="B185" s="6">
        <v>2</v>
      </c>
      <c r="C185" t="s">
        <v>115</v>
      </c>
      <c r="D185" t="s">
        <v>204</v>
      </c>
      <c r="E185" t="s">
        <v>192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3</v>
      </c>
      <c r="P185">
        <v>0.50753635851783596</v>
      </c>
      <c r="Q185">
        <v>3</v>
      </c>
      <c r="R185">
        <v>-1</v>
      </c>
      <c r="S185">
        <v>3</v>
      </c>
      <c r="T185">
        <v>0.13200000000000001</v>
      </c>
      <c r="U185">
        <v>0.126</v>
      </c>
      <c r="V185">
        <v>0.13800000000000001</v>
      </c>
      <c r="CB185">
        <f t="shared" si="45"/>
        <v>4.6189439999999998E-3</v>
      </c>
      <c r="CC185">
        <f t="shared" si="44"/>
        <v>2.3442820179578072E-3</v>
      </c>
      <c r="CD185">
        <v>4.5999359999999998E-3</v>
      </c>
      <c r="CE185">
        <v>4.0007519999999998E-3</v>
      </c>
      <c r="CF185">
        <v>5.2561439999999999E-3</v>
      </c>
    </row>
    <row r="186" spans="1:101" x14ac:dyDescent="0.25">
      <c r="A186" s="6">
        <v>310</v>
      </c>
      <c r="B186" s="6">
        <v>2</v>
      </c>
      <c r="C186" t="s">
        <v>117</v>
      </c>
      <c r="D186" t="s">
        <v>204</v>
      </c>
      <c r="E186" t="s">
        <v>192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4</v>
      </c>
      <c r="P186">
        <v>0.87477811386814097</v>
      </c>
      <c r="Q186">
        <v>4</v>
      </c>
      <c r="R186">
        <v>-1</v>
      </c>
      <c r="S186">
        <v>4</v>
      </c>
      <c r="T186">
        <v>0.124</v>
      </c>
      <c r="U186">
        <v>0.13400000000000001</v>
      </c>
      <c r="V186">
        <v>0.13200000000000001</v>
      </c>
      <c r="W186">
        <v>0.121</v>
      </c>
      <c r="CB186">
        <f t="shared" si="45"/>
        <v>4.1921284999999996E-3</v>
      </c>
      <c r="CC186">
        <f t="shared" si="44"/>
        <v>3.6671822623228784E-3</v>
      </c>
      <c r="CD186">
        <v>3.813248E-3</v>
      </c>
      <c r="CE186">
        <v>4.8122080000000001E-3</v>
      </c>
      <c r="CF186">
        <v>4.5999359999999998E-3</v>
      </c>
      <c r="CG186">
        <v>3.5431220000000001E-3</v>
      </c>
    </row>
    <row r="187" spans="1:101" x14ac:dyDescent="0.25">
      <c r="A187" s="6">
        <v>336</v>
      </c>
      <c r="B187" s="6">
        <v>2</v>
      </c>
      <c r="C187" t="s">
        <v>119</v>
      </c>
      <c r="D187" t="s">
        <v>204</v>
      </c>
      <c r="E187" t="s">
        <v>192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62.5</v>
      </c>
      <c r="P187">
        <v>33.456998758016603</v>
      </c>
      <c r="Q187">
        <v>2</v>
      </c>
      <c r="R187">
        <v>-1</v>
      </c>
      <c r="S187">
        <v>2</v>
      </c>
      <c r="T187">
        <v>0.122</v>
      </c>
      <c r="U187">
        <v>0.125</v>
      </c>
      <c r="CB187">
        <f t="shared" si="45"/>
        <v>3.7689730000000001E-3</v>
      </c>
      <c r="CC187">
        <f t="shared" si="44"/>
        <v>0.1260985249799981</v>
      </c>
      <c r="CD187">
        <v>3.6316959999999998E-3</v>
      </c>
      <c r="CE187">
        <v>3.90625E-3</v>
      </c>
    </row>
    <row r="188" spans="1:101" x14ac:dyDescent="0.25">
      <c r="A188" s="6">
        <v>353</v>
      </c>
      <c r="B188" s="6">
        <v>2</v>
      </c>
      <c r="C188" t="s">
        <v>121</v>
      </c>
      <c r="D188" t="s">
        <v>204</v>
      </c>
      <c r="E188" t="s">
        <v>192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13.75</v>
      </c>
      <c r="P188">
        <v>1.6063718621927201</v>
      </c>
      <c r="Q188">
        <v>1</v>
      </c>
      <c r="R188">
        <v>-1</v>
      </c>
      <c r="S188">
        <v>1</v>
      </c>
      <c r="T188">
        <v>0.121</v>
      </c>
      <c r="CB188">
        <f t="shared" si="45"/>
        <v>3.5431220000000001E-3</v>
      </c>
      <c r="CC188">
        <f t="shared" si="44"/>
        <v>5.6915714851159954E-3</v>
      </c>
      <c r="CD188">
        <v>3.5431220000000001E-3</v>
      </c>
    </row>
    <row r="189" spans="1:101" x14ac:dyDescent="0.25">
      <c r="A189" s="6">
        <v>280</v>
      </c>
      <c r="B189" s="6">
        <v>2</v>
      </c>
      <c r="C189" t="s">
        <v>123</v>
      </c>
      <c r="D189" t="s">
        <v>204</v>
      </c>
      <c r="E189" t="s">
        <v>192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2</v>
      </c>
      <c r="P189">
        <v>0.57385444269749997</v>
      </c>
      <c r="Q189">
        <v>2</v>
      </c>
      <c r="R189">
        <v>-1</v>
      </c>
      <c r="S189">
        <v>2</v>
      </c>
      <c r="T189">
        <v>0.13100000000000001</v>
      </c>
      <c r="U189">
        <v>0.14000000000000001</v>
      </c>
      <c r="CB189">
        <f t="shared" si="45"/>
        <v>4.9920909999999997E-3</v>
      </c>
      <c r="CC189">
        <f t="shared" si="44"/>
        <v>2.8647335987002052E-3</v>
      </c>
      <c r="CD189">
        <v>4.4961819999999996E-3</v>
      </c>
      <c r="CE189">
        <v>5.4879999999999998E-3</v>
      </c>
    </row>
    <row r="190" spans="1:101" x14ac:dyDescent="0.25">
      <c r="A190" s="6">
        <v>268</v>
      </c>
      <c r="B190" s="6">
        <v>2</v>
      </c>
      <c r="C190" t="s">
        <v>125</v>
      </c>
      <c r="D190" t="s">
        <v>204</v>
      </c>
      <c r="E190" t="s">
        <v>192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12</v>
      </c>
      <c r="P190">
        <v>1.4639143946364801</v>
      </c>
      <c r="Q190">
        <v>2</v>
      </c>
      <c r="R190">
        <v>-1</v>
      </c>
      <c r="S190">
        <v>2</v>
      </c>
      <c r="T190">
        <v>0.127</v>
      </c>
      <c r="U190">
        <v>0.127</v>
      </c>
      <c r="CB190">
        <f t="shared" si="45"/>
        <v>4.0967659999999999E-3</v>
      </c>
      <c r="CC190">
        <f t="shared" si="44"/>
        <v>5.9973147188573141E-3</v>
      </c>
      <c r="CD190">
        <v>4.0967659999999999E-3</v>
      </c>
      <c r="CE190">
        <v>4.0967659999999999E-3</v>
      </c>
    </row>
    <row r="191" spans="1:101" x14ac:dyDescent="0.25">
      <c r="A191" s="6">
        <v>258</v>
      </c>
      <c r="B191" s="6">
        <v>2</v>
      </c>
      <c r="C191" t="s">
        <v>127</v>
      </c>
      <c r="D191" t="s">
        <v>204</v>
      </c>
      <c r="E191" t="s">
        <v>192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1</v>
      </c>
      <c r="P191">
        <v>0.51237003812276805</v>
      </c>
      <c r="Q191">
        <v>1</v>
      </c>
      <c r="R191">
        <v>-1</v>
      </c>
      <c r="S191">
        <v>1</v>
      </c>
      <c r="T191">
        <v>0.11700000000000001</v>
      </c>
      <c r="CB191">
        <f t="shared" si="45"/>
        <v>3.203226E-3</v>
      </c>
      <c r="CC191">
        <f t="shared" si="44"/>
        <v>1.6412370277358419E-3</v>
      </c>
      <c r="CD191">
        <v>3.203226E-3</v>
      </c>
    </row>
    <row r="192" spans="1:101" x14ac:dyDescent="0.25">
      <c r="A192" s="6">
        <v>293</v>
      </c>
      <c r="B192" s="6">
        <v>2</v>
      </c>
      <c r="C192" t="s">
        <v>129</v>
      </c>
      <c r="D192" t="s">
        <v>204</v>
      </c>
      <c r="E192" t="s">
        <v>192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6.75</v>
      </c>
      <c r="P192">
        <v>4.40172441841833</v>
      </c>
      <c r="Q192">
        <v>3</v>
      </c>
      <c r="R192">
        <v>-1</v>
      </c>
      <c r="S192">
        <v>3</v>
      </c>
      <c r="T192">
        <v>0.107</v>
      </c>
      <c r="U192">
        <v>0.128</v>
      </c>
      <c r="V192">
        <v>0.124</v>
      </c>
      <c r="CB192">
        <f t="shared" si="45"/>
        <v>3.4858793333333335E-3</v>
      </c>
      <c r="CC192">
        <f t="shared" si="44"/>
        <v>1.5343880181193143E-2</v>
      </c>
      <c r="CD192">
        <v>2.4500860000000002E-3</v>
      </c>
      <c r="CE192">
        <v>4.1943040000000003E-3</v>
      </c>
      <c r="CF192">
        <v>3.813248E-3</v>
      </c>
    </row>
    <row r="193" spans="1:101" x14ac:dyDescent="0.25">
      <c r="A193" s="6">
        <v>195</v>
      </c>
      <c r="B193" s="6">
        <v>2</v>
      </c>
      <c r="C193" t="s">
        <v>132</v>
      </c>
      <c r="D193" t="s">
        <v>204</v>
      </c>
      <c r="E193" t="s">
        <v>192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10192</v>
      </c>
      <c r="P193">
        <v>4172.2875781496396</v>
      </c>
      <c r="Q193">
        <v>5</v>
      </c>
      <c r="R193">
        <v>8</v>
      </c>
      <c r="S193">
        <v>13</v>
      </c>
      <c r="T193">
        <v>0.14599999999999999</v>
      </c>
      <c r="U193">
        <v>0.11899999999999999</v>
      </c>
      <c r="V193">
        <v>0.123</v>
      </c>
      <c r="W193">
        <v>0.107</v>
      </c>
      <c r="X193">
        <v>0.106</v>
      </c>
      <c r="Y193">
        <v>0.113</v>
      </c>
      <c r="Z193">
        <v>0.11600000000000001</v>
      </c>
      <c r="AA193">
        <v>0.13100000000000001</v>
      </c>
      <c r="AB193">
        <v>0.14000000000000001</v>
      </c>
      <c r="AC193">
        <v>0.115</v>
      </c>
      <c r="AD193">
        <v>0.10199999999999999</v>
      </c>
      <c r="AE193">
        <v>0.11899999999999999</v>
      </c>
      <c r="AF193">
        <v>0.11700000000000001</v>
      </c>
      <c r="CB193">
        <f t="shared" si="45"/>
        <v>3.5290707692307694E-3</v>
      </c>
      <c r="CC193">
        <f t="shared" si="44"/>
        <v>14.724298132872532</v>
      </c>
      <c r="CD193">
        <v>6.2242720000000003E-3</v>
      </c>
      <c r="CE193">
        <v>3.3703180000000002E-3</v>
      </c>
      <c r="CF193">
        <v>3.721734E-3</v>
      </c>
      <c r="CG193">
        <v>2.4500860000000002E-3</v>
      </c>
      <c r="CH193">
        <v>2.3820320000000001E-3</v>
      </c>
      <c r="CI193">
        <v>2.8857940000000001E-3</v>
      </c>
      <c r="CJ193">
        <v>3.121792E-3</v>
      </c>
      <c r="CK193">
        <v>4.4961819999999996E-3</v>
      </c>
      <c r="CL193">
        <v>5.4879999999999998E-3</v>
      </c>
      <c r="CM193">
        <v>3.0417500000000002E-3</v>
      </c>
      <c r="CN193">
        <v>2.1224159999999998E-3</v>
      </c>
      <c r="CO193">
        <v>3.3703180000000002E-3</v>
      </c>
      <c r="CP193">
        <v>3.203226E-3</v>
      </c>
    </row>
    <row r="194" spans="1:101" x14ac:dyDescent="0.25">
      <c r="A194" s="6">
        <v>215</v>
      </c>
      <c r="B194" s="6">
        <v>2</v>
      </c>
      <c r="C194" t="s">
        <v>135</v>
      </c>
      <c r="D194" t="s">
        <v>204</v>
      </c>
      <c r="E194" t="s">
        <v>192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7808</v>
      </c>
      <c r="P194">
        <v>2927.1856798797198</v>
      </c>
      <c r="Q194">
        <v>7</v>
      </c>
      <c r="R194">
        <v>1</v>
      </c>
      <c r="S194">
        <v>8</v>
      </c>
      <c r="T194">
        <v>0.114</v>
      </c>
      <c r="U194">
        <v>0.128</v>
      </c>
      <c r="V194">
        <v>0.128</v>
      </c>
      <c r="W194">
        <v>0.129</v>
      </c>
      <c r="X194">
        <v>0.11799999999999999</v>
      </c>
      <c r="Y194">
        <v>0.11700000000000001</v>
      </c>
      <c r="Z194">
        <v>0.113</v>
      </c>
      <c r="AA194">
        <v>0.111</v>
      </c>
      <c r="CB194">
        <f t="shared" si="45"/>
        <v>3.4694274999999999E-3</v>
      </c>
      <c r="CC194">
        <f t="shared" ref="CC194:CC257" si="46">CB194*P194</f>
        <v>10.155658495380896</v>
      </c>
      <c r="CD194">
        <v>2.963088E-3</v>
      </c>
      <c r="CE194">
        <v>4.1943040000000003E-3</v>
      </c>
      <c r="CF194">
        <v>4.1943040000000003E-3</v>
      </c>
      <c r="CG194">
        <v>4.2933779999999996E-3</v>
      </c>
      <c r="CH194">
        <v>3.286064E-3</v>
      </c>
      <c r="CI194">
        <v>3.203226E-3</v>
      </c>
      <c r="CJ194">
        <v>2.8857940000000001E-3</v>
      </c>
      <c r="CK194">
        <v>2.735262E-3</v>
      </c>
    </row>
    <row r="195" spans="1:101" x14ac:dyDescent="0.25">
      <c r="A195" s="6">
        <v>159</v>
      </c>
      <c r="B195" s="6">
        <v>2</v>
      </c>
      <c r="C195" t="s">
        <v>136</v>
      </c>
      <c r="D195" t="s">
        <v>204</v>
      </c>
      <c r="E195" t="s">
        <v>192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11520</v>
      </c>
      <c r="P195">
        <v>6617.5138981945001</v>
      </c>
      <c r="Q195">
        <v>11</v>
      </c>
      <c r="R195">
        <v>7</v>
      </c>
      <c r="S195">
        <v>18</v>
      </c>
      <c r="T195">
        <v>0.123</v>
      </c>
      <c r="U195">
        <v>0.158</v>
      </c>
      <c r="V195">
        <v>0.13300000000000001</v>
      </c>
      <c r="W195">
        <v>0.12</v>
      </c>
      <c r="X195">
        <v>0.13200000000000001</v>
      </c>
      <c r="Y195">
        <v>0.14099999999999999</v>
      </c>
      <c r="Z195">
        <v>0.13800000000000001</v>
      </c>
      <c r="AA195">
        <v>0.13600000000000001</v>
      </c>
      <c r="AB195">
        <v>0.13900000000000001</v>
      </c>
      <c r="AC195">
        <v>8.8999999999999996E-2</v>
      </c>
      <c r="AD195">
        <v>0.128</v>
      </c>
      <c r="AE195">
        <v>0.14299999999999999</v>
      </c>
      <c r="AF195">
        <v>0.125</v>
      </c>
      <c r="AG195">
        <v>0.13</v>
      </c>
      <c r="AH195">
        <v>0.121</v>
      </c>
      <c r="AI195">
        <v>0.13</v>
      </c>
      <c r="AJ195">
        <v>0.13500000000000001</v>
      </c>
      <c r="AK195">
        <v>0.128</v>
      </c>
      <c r="CB195">
        <f t="shared" ref="CB195:CB258" si="47">AVERAGE(CD195:CW195)</f>
        <v>4.5800769999999984E-3</v>
      </c>
      <c r="CC195">
        <f t="shared" si="46"/>
        <v>30.308723202300961</v>
      </c>
      <c r="CD195">
        <v>3.721734E-3</v>
      </c>
      <c r="CE195">
        <v>7.8886240000000003E-3</v>
      </c>
      <c r="CF195">
        <v>4.7052739999999997E-3</v>
      </c>
      <c r="CG195">
        <v>3.4559999999999999E-3</v>
      </c>
      <c r="CH195">
        <v>4.5999359999999998E-3</v>
      </c>
      <c r="CI195">
        <v>5.6064419999999997E-3</v>
      </c>
      <c r="CJ195">
        <v>5.2561439999999999E-3</v>
      </c>
      <c r="CK195">
        <v>5.0309120000000002E-3</v>
      </c>
      <c r="CL195">
        <v>5.3712380000000004E-3</v>
      </c>
      <c r="CM195">
        <v>1.4099379999999999E-3</v>
      </c>
      <c r="CN195">
        <v>4.1943040000000003E-3</v>
      </c>
      <c r="CO195">
        <v>5.8484139999999997E-3</v>
      </c>
      <c r="CP195">
        <v>3.90625E-3</v>
      </c>
      <c r="CQ195">
        <v>4.3940000000000003E-3</v>
      </c>
      <c r="CR195">
        <v>3.5431220000000001E-3</v>
      </c>
      <c r="CS195">
        <v>4.3940000000000003E-3</v>
      </c>
      <c r="CT195">
        <v>4.9207499999999998E-3</v>
      </c>
      <c r="CU195">
        <v>4.1943040000000003E-3</v>
      </c>
    </row>
    <row r="196" spans="1:101" x14ac:dyDescent="0.25">
      <c r="A196" s="6">
        <v>177</v>
      </c>
      <c r="B196" s="6">
        <v>2</v>
      </c>
      <c r="C196" t="s">
        <v>138</v>
      </c>
      <c r="D196" t="s">
        <v>204</v>
      </c>
      <c r="E196" t="s">
        <v>192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25168</v>
      </c>
      <c r="P196">
        <v>17927.2127898699</v>
      </c>
      <c r="Q196">
        <v>7</v>
      </c>
      <c r="R196">
        <v>6</v>
      </c>
      <c r="S196">
        <v>13</v>
      </c>
      <c r="T196">
        <v>0.128</v>
      </c>
      <c r="U196">
        <v>0.16</v>
      </c>
      <c r="V196">
        <v>0.129</v>
      </c>
      <c r="W196">
        <v>0.11899999999999999</v>
      </c>
      <c r="X196">
        <v>0.125</v>
      </c>
      <c r="Y196">
        <v>0.11899999999999999</v>
      </c>
      <c r="Z196">
        <v>0.13300000000000001</v>
      </c>
      <c r="AA196">
        <v>0.125</v>
      </c>
      <c r="AB196">
        <v>0.121</v>
      </c>
      <c r="AC196">
        <v>0.11600000000000001</v>
      </c>
      <c r="AD196">
        <v>0.14099999999999999</v>
      </c>
      <c r="AE196">
        <v>0.12</v>
      </c>
      <c r="AF196">
        <v>0.122</v>
      </c>
      <c r="CB196">
        <f t="shared" si="47"/>
        <v>4.2536264615384619E-3</v>
      </c>
      <c r="CC196">
        <f t="shared" si="46"/>
        <v>76.255666704621362</v>
      </c>
      <c r="CD196">
        <v>4.1943040000000003E-3</v>
      </c>
      <c r="CE196">
        <v>8.1919999999999996E-3</v>
      </c>
      <c r="CF196">
        <v>4.2933779999999996E-3</v>
      </c>
      <c r="CG196">
        <v>3.3703180000000002E-3</v>
      </c>
      <c r="CH196">
        <v>3.90625E-3</v>
      </c>
      <c r="CI196">
        <v>3.3703180000000002E-3</v>
      </c>
      <c r="CJ196">
        <v>4.7052739999999997E-3</v>
      </c>
      <c r="CK196">
        <v>3.90625E-3</v>
      </c>
      <c r="CL196">
        <v>3.5431220000000001E-3</v>
      </c>
      <c r="CM196">
        <v>3.121792E-3</v>
      </c>
      <c r="CN196">
        <v>5.6064419999999997E-3</v>
      </c>
      <c r="CO196">
        <v>3.4559999999999999E-3</v>
      </c>
      <c r="CP196">
        <v>3.6316959999999998E-3</v>
      </c>
    </row>
    <row r="197" spans="1:101" x14ac:dyDescent="0.25">
      <c r="A197" s="6">
        <v>85</v>
      </c>
      <c r="B197" s="6">
        <v>2</v>
      </c>
      <c r="C197" t="s">
        <v>141</v>
      </c>
      <c r="D197" t="s">
        <v>204</v>
      </c>
      <c r="E197" t="s">
        <v>192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38376</v>
      </c>
      <c r="P197">
        <v>13399.654674003399</v>
      </c>
      <c r="Q197">
        <v>20</v>
      </c>
      <c r="R197">
        <v>19</v>
      </c>
      <c r="S197">
        <v>39</v>
      </c>
      <c r="T197">
        <v>0.10299999999999999</v>
      </c>
      <c r="U197">
        <v>0.115</v>
      </c>
      <c r="V197">
        <v>0.122</v>
      </c>
      <c r="W197">
        <v>0.126</v>
      </c>
      <c r="X197">
        <v>0.11899999999999999</v>
      </c>
      <c r="Y197">
        <v>0.111</v>
      </c>
      <c r="Z197">
        <v>0.11700000000000001</v>
      </c>
      <c r="AA197">
        <v>0.115</v>
      </c>
      <c r="AB197">
        <v>0.124</v>
      </c>
      <c r="AC197">
        <v>0.13100000000000001</v>
      </c>
      <c r="AD197">
        <v>0.122</v>
      </c>
      <c r="AE197">
        <v>0.13</v>
      </c>
      <c r="AF197">
        <v>0.11600000000000001</v>
      </c>
      <c r="AG197">
        <v>0.14000000000000001</v>
      </c>
      <c r="AH197">
        <v>0.113</v>
      </c>
      <c r="AI197">
        <v>0.11799999999999999</v>
      </c>
      <c r="AJ197">
        <v>0.113</v>
      </c>
      <c r="AK197">
        <v>0.125</v>
      </c>
      <c r="AL197">
        <v>0.12</v>
      </c>
      <c r="AM197">
        <v>0.128</v>
      </c>
      <c r="CB197">
        <f t="shared" si="47"/>
        <v>3.5384665999999994E-3</v>
      </c>
      <c r="CC197">
        <f t="shared" si="46"/>
        <v>47.414230515494907</v>
      </c>
      <c r="CD197">
        <v>2.1854539999999999E-3</v>
      </c>
      <c r="CE197">
        <v>3.0417500000000002E-3</v>
      </c>
      <c r="CF197">
        <v>3.6316959999999998E-3</v>
      </c>
      <c r="CG197">
        <v>4.0007519999999998E-3</v>
      </c>
      <c r="CH197">
        <v>3.3703180000000002E-3</v>
      </c>
      <c r="CI197">
        <v>2.735262E-3</v>
      </c>
      <c r="CJ197">
        <v>3.203226E-3</v>
      </c>
      <c r="CK197">
        <v>3.0417500000000002E-3</v>
      </c>
      <c r="CL197">
        <v>3.813248E-3</v>
      </c>
      <c r="CM197">
        <v>4.4961819999999996E-3</v>
      </c>
      <c r="CN197">
        <v>3.6316959999999998E-3</v>
      </c>
      <c r="CO197">
        <v>4.3940000000000003E-3</v>
      </c>
      <c r="CP197">
        <v>3.121792E-3</v>
      </c>
      <c r="CQ197">
        <v>5.4879999999999998E-3</v>
      </c>
      <c r="CR197">
        <v>2.8857940000000001E-3</v>
      </c>
      <c r="CS197">
        <v>3.286064E-3</v>
      </c>
      <c r="CT197">
        <v>2.8857940000000001E-3</v>
      </c>
      <c r="CU197">
        <v>3.90625E-3</v>
      </c>
      <c r="CV197">
        <v>3.4559999999999999E-3</v>
      </c>
      <c r="CW197">
        <v>4.1943040000000003E-3</v>
      </c>
    </row>
    <row r="198" spans="1:101" x14ac:dyDescent="0.25">
      <c r="A198" s="6">
        <v>103</v>
      </c>
      <c r="B198" s="6">
        <v>2</v>
      </c>
      <c r="C198" t="s">
        <v>143</v>
      </c>
      <c r="D198" t="s">
        <v>204</v>
      </c>
      <c r="E198" t="s">
        <v>192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85248</v>
      </c>
      <c r="P198">
        <v>29476.8483154528</v>
      </c>
      <c r="Q198">
        <v>21</v>
      </c>
      <c r="R198">
        <v>15</v>
      </c>
      <c r="S198">
        <v>36</v>
      </c>
      <c r="T198">
        <v>0.114</v>
      </c>
      <c r="U198">
        <v>0.14699999999999999</v>
      </c>
      <c r="V198">
        <v>0.112</v>
      </c>
      <c r="W198">
        <v>0.104</v>
      </c>
      <c r="X198">
        <v>0.125</v>
      </c>
      <c r="Y198">
        <v>0.14099999999999999</v>
      </c>
      <c r="Z198">
        <v>0.106</v>
      </c>
      <c r="AA198">
        <v>0.11</v>
      </c>
      <c r="AB198">
        <v>0.125</v>
      </c>
      <c r="AC198">
        <v>0.121</v>
      </c>
      <c r="AD198">
        <v>0.123</v>
      </c>
      <c r="AE198">
        <v>0.122</v>
      </c>
      <c r="AF198">
        <v>0.13500000000000001</v>
      </c>
      <c r="AG198">
        <v>0.115</v>
      </c>
      <c r="AH198">
        <v>0.14299999999999999</v>
      </c>
      <c r="AI198">
        <v>0.125</v>
      </c>
      <c r="AJ198">
        <v>0.125</v>
      </c>
      <c r="AK198">
        <v>0.14000000000000001</v>
      </c>
      <c r="AL198">
        <v>0.112</v>
      </c>
      <c r="AM198">
        <v>0.13900000000000001</v>
      </c>
      <c r="CB198">
        <f t="shared" si="47"/>
        <v>3.9513876E-3</v>
      </c>
      <c r="CC198">
        <f t="shared" si="46"/>
        <v>116.47445292076108</v>
      </c>
      <c r="CD198">
        <v>2.963088E-3</v>
      </c>
      <c r="CE198">
        <v>6.3530460000000002E-3</v>
      </c>
      <c r="CF198">
        <v>2.8098559999999999E-3</v>
      </c>
      <c r="CG198">
        <v>2.2497279999999999E-3</v>
      </c>
      <c r="CH198">
        <v>3.90625E-3</v>
      </c>
      <c r="CI198">
        <v>5.6064419999999997E-3</v>
      </c>
      <c r="CJ198">
        <v>2.3820320000000001E-3</v>
      </c>
      <c r="CK198">
        <v>2.6619999999999999E-3</v>
      </c>
      <c r="CL198">
        <v>3.90625E-3</v>
      </c>
      <c r="CM198">
        <v>3.5431220000000001E-3</v>
      </c>
      <c r="CN198">
        <v>3.721734E-3</v>
      </c>
      <c r="CO198">
        <v>3.6316959999999998E-3</v>
      </c>
      <c r="CP198">
        <v>4.9207499999999998E-3</v>
      </c>
      <c r="CQ198">
        <v>3.0417500000000002E-3</v>
      </c>
      <c r="CR198">
        <v>5.8484139999999997E-3</v>
      </c>
      <c r="CS198">
        <v>3.90625E-3</v>
      </c>
      <c r="CT198">
        <v>3.90625E-3</v>
      </c>
      <c r="CU198">
        <v>5.4879999999999998E-3</v>
      </c>
      <c r="CV198">
        <v>2.8098559999999999E-3</v>
      </c>
      <c r="CW198">
        <v>5.3712380000000004E-3</v>
      </c>
    </row>
    <row r="199" spans="1:101" x14ac:dyDescent="0.25">
      <c r="A199" s="6">
        <v>121</v>
      </c>
      <c r="B199" s="6">
        <v>2</v>
      </c>
      <c r="C199" t="s">
        <v>144</v>
      </c>
      <c r="D199" t="s">
        <v>204</v>
      </c>
      <c r="E199" t="s">
        <v>192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23296</v>
      </c>
      <c r="P199">
        <v>9761.0492584610092</v>
      </c>
      <c r="Q199">
        <v>15</v>
      </c>
      <c r="R199">
        <v>11</v>
      </c>
      <c r="S199">
        <v>26</v>
      </c>
      <c r="T199">
        <v>0.122</v>
      </c>
      <c r="U199">
        <v>0.11700000000000001</v>
      </c>
      <c r="V199">
        <v>0.11799999999999999</v>
      </c>
      <c r="W199">
        <v>0.126</v>
      </c>
      <c r="X199">
        <v>0.13500000000000001</v>
      </c>
      <c r="Y199">
        <v>0.125</v>
      </c>
      <c r="Z199">
        <v>0.155</v>
      </c>
      <c r="AA199">
        <v>0.126</v>
      </c>
      <c r="AB199">
        <v>0.122</v>
      </c>
      <c r="AC199">
        <v>0.123</v>
      </c>
      <c r="AD199">
        <v>0.114</v>
      </c>
      <c r="AE199">
        <v>0.11899999999999999</v>
      </c>
      <c r="AF199">
        <v>0.13100000000000001</v>
      </c>
      <c r="AG199">
        <v>0.11600000000000001</v>
      </c>
      <c r="AH199">
        <v>0.12</v>
      </c>
      <c r="AI199">
        <v>0.125</v>
      </c>
      <c r="AJ199">
        <v>0.121</v>
      </c>
      <c r="AK199">
        <v>0.11700000000000001</v>
      </c>
      <c r="AL199">
        <v>0.13200000000000001</v>
      </c>
      <c r="AM199">
        <v>0.11600000000000001</v>
      </c>
      <c r="CB199">
        <f t="shared" si="47"/>
        <v>3.8766187999999995E-3</v>
      </c>
      <c r="CC199">
        <f t="shared" si="46"/>
        <v>37.839867063075999</v>
      </c>
      <c r="CD199">
        <v>3.6316959999999998E-3</v>
      </c>
      <c r="CE199">
        <v>3.203226E-3</v>
      </c>
      <c r="CF199">
        <v>3.286064E-3</v>
      </c>
      <c r="CG199">
        <v>4.0007519999999998E-3</v>
      </c>
      <c r="CH199">
        <v>4.9207499999999998E-3</v>
      </c>
      <c r="CI199">
        <v>3.90625E-3</v>
      </c>
      <c r="CJ199">
        <v>7.4477500000000004E-3</v>
      </c>
      <c r="CK199">
        <v>4.0007519999999998E-3</v>
      </c>
      <c r="CL199">
        <v>3.6316959999999998E-3</v>
      </c>
      <c r="CM199">
        <v>3.721734E-3</v>
      </c>
      <c r="CN199">
        <v>2.963088E-3</v>
      </c>
      <c r="CO199">
        <v>3.3703180000000002E-3</v>
      </c>
      <c r="CP199">
        <v>4.4961819999999996E-3</v>
      </c>
      <c r="CQ199">
        <v>3.121792E-3</v>
      </c>
      <c r="CR199">
        <v>3.4559999999999999E-3</v>
      </c>
      <c r="CS199">
        <v>3.90625E-3</v>
      </c>
      <c r="CT199">
        <v>3.5431220000000001E-3</v>
      </c>
      <c r="CU199">
        <v>3.203226E-3</v>
      </c>
      <c r="CV199">
        <v>4.5999359999999998E-3</v>
      </c>
      <c r="CW199">
        <v>3.121792E-3</v>
      </c>
    </row>
    <row r="200" spans="1:101" x14ac:dyDescent="0.25">
      <c r="A200" s="6">
        <v>137</v>
      </c>
      <c r="B200" s="6">
        <v>2</v>
      </c>
      <c r="C200" t="s">
        <v>145</v>
      </c>
      <c r="D200" t="s">
        <v>204</v>
      </c>
      <c r="E200" t="s">
        <v>192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20672</v>
      </c>
      <c r="P200">
        <v>8462.4733924165394</v>
      </c>
      <c r="Q200">
        <v>18</v>
      </c>
      <c r="R200">
        <v>20</v>
      </c>
      <c r="S200">
        <v>38</v>
      </c>
      <c r="T200">
        <v>0.121</v>
      </c>
      <c r="U200">
        <v>0.127</v>
      </c>
      <c r="V200">
        <v>0.11600000000000001</v>
      </c>
      <c r="W200">
        <v>0.123</v>
      </c>
      <c r="X200">
        <v>0.11799999999999999</v>
      </c>
      <c r="Y200">
        <v>0.11600000000000001</v>
      </c>
      <c r="Z200">
        <v>0.13</v>
      </c>
      <c r="AA200">
        <v>0.12</v>
      </c>
      <c r="AB200">
        <v>0.13</v>
      </c>
      <c r="AC200">
        <v>0.129</v>
      </c>
      <c r="AD200">
        <v>0.109</v>
      </c>
      <c r="AE200">
        <v>0.109</v>
      </c>
      <c r="AF200">
        <v>0.127</v>
      </c>
      <c r="AG200">
        <v>0.11700000000000001</v>
      </c>
      <c r="AH200">
        <v>0.112</v>
      </c>
      <c r="AI200">
        <v>0.126</v>
      </c>
      <c r="AJ200">
        <v>0.123</v>
      </c>
      <c r="AK200">
        <v>0.107</v>
      </c>
      <c r="AL200">
        <v>0.11799999999999999</v>
      </c>
      <c r="AM200">
        <v>0.121</v>
      </c>
      <c r="CB200">
        <f t="shared" si="47"/>
        <v>3.4860184999999993E-3</v>
      </c>
      <c r="CC200">
        <f t="shared" si="46"/>
        <v>29.50033880172181</v>
      </c>
      <c r="CD200">
        <v>3.5431220000000001E-3</v>
      </c>
      <c r="CE200">
        <v>4.0967659999999999E-3</v>
      </c>
      <c r="CF200">
        <v>3.121792E-3</v>
      </c>
      <c r="CG200">
        <v>3.721734E-3</v>
      </c>
      <c r="CH200">
        <v>3.286064E-3</v>
      </c>
      <c r="CI200">
        <v>3.121792E-3</v>
      </c>
      <c r="CJ200">
        <v>4.3940000000000003E-3</v>
      </c>
      <c r="CK200">
        <v>3.4559999999999999E-3</v>
      </c>
      <c r="CL200">
        <v>4.3940000000000003E-3</v>
      </c>
      <c r="CM200">
        <v>4.2933779999999996E-3</v>
      </c>
      <c r="CN200">
        <v>2.5900580000000001E-3</v>
      </c>
      <c r="CO200">
        <v>2.5900580000000001E-3</v>
      </c>
      <c r="CP200">
        <v>4.0967659999999999E-3</v>
      </c>
      <c r="CQ200">
        <v>3.203226E-3</v>
      </c>
      <c r="CR200">
        <v>2.8098559999999999E-3</v>
      </c>
      <c r="CS200">
        <v>4.0007519999999998E-3</v>
      </c>
      <c r="CT200">
        <v>3.721734E-3</v>
      </c>
      <c r="CU200">
        <v>2.4500860000000002E-3</v>
      </c>
      <c r="CV200">
        <v>3.286064E-3</v>
      </c>
      <c r="CW200">
        <v>3.5431220000000001E-3</v>
      </c>
    </row>
    <row r="201" spans="1:101" x14ac:dyDescent="0.25">
      <c r="A201" s="6">
        <v>47</v>
      </c>
      <c r="B201" s="6">
        <v>2</v>
      </c>
      <c r="C201" t="s">
        <v>146</v>
      </c>
      <c r="D201" t="s">
        <v>204</v>
      </c>
      <c r="E201" t="s">
        <v>192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54464</v>
      </c>
      <c r="P201">
        <v>19397.403794252099</v>
      </c>
      <c r="Q201">
        <v>19</v>
      </c>
      <c r="R201">
        <v>18</v>
      </c>
      <c r="S201">
        <v>37</v>
      </c>
      <c r="T201">
        <v>0.114</v>
      </c>
      <c r="U201">
        <v>0.13300000000000001</v>
      </c>
      <c r="V201">
        <v>0.125</v>
      </c>
      <c r="W201">
        <v>0.13600000000000001</v>
      </c>
      <c r="X201">
        <v>0.13</v>
      </c>
      <c r="Y201">
        <v>0.11899999999999999</v>
      </c>
      <c r="Z201">
        <v>0.127</v>
      </c>
      <c r="AA201">
        <v>0.126</v>
      </c>
      <c r="AB201">
        <v>0.12</v>
      </c>
      <c r="AC201">
        <v>0.128</v>
      </c>
      <c r="AD201">
        <v>0.11700000000000001</v>
      </c>
      <c r="AE201">
        <v>0.121</v>
      </c>
      <c r="AF201">
        <v>0.122</v>
      </c>
      <c r="AG201">
        <v>0.126</v>
      </c>
      <c r="AH201">
        <v>0.13</v>
      </c>
      <c r="AI201">
        <v>0.129</v>
      </c>
      <c r="AJ201">
        <v>0.13600000000000001</v>
      </c>
      <c r="AK201">
        <v>0.121</v>
      </c>
      <c r="AL201">
        <v>0.155</v>
      </c>
      <c r="AM201">
        <v>0.115</v>
      </c>
      <c r="CB201">
        <f t="shared" si="47"/>
        <v>4.1123685999999993E-3</v>
      </c>
      <c r="CC201">
        <f t="shared" si="46"/>
        <v>79.769274285003178</v>
      </c>
      <c r="CD201">
        <v>2.963088E-3</v>
      </c>
      <c r="CE201">
        <v>4.7052739999999997E-3</v>
      </c>
      <c r="CF201">
        <v>3.90625E-3</v>
      </c>
      <c r="CG201">
        <v>5.0309120000000002E-3</v>
      </c>
      <c r="CH201">
        <v>4.3940000000000003E-3</v>
      </c>
      <c r="CI201">
        <v>3.3703180000000002E-3</v>
      </c>
      <c r="CJ201">
        <v>4.0967659999999999E-3</v>
      </c>
      <c r="CK201">
        <v>4.0007519999999998E-3</v>
      </c>
      <c r="CL201">
        <v>3.4559999999999999E-3</v>
      </c>
      <c r="CM201">
        <v>4.1943040000000003E-3</v>
      </c>
      <c r="CN201">
        <v>3.203226E-3</v>
      </c>
      <c r="CO201">
        <v>3.5431220000000001E-3</v>
      </c>
      <c r="CP201">
        <v>3.6316959999999998E-3</v>
      </c>
      <c r="CQ201">
        <v>4.0007519999999998E-3</v>
      </c>
      <c r="CR201">
        <v>4.3940000000000003E-3</v>
      </c>
      <c r="CS201">
        <v>4.2933779999999996E-3</v>
      </c>
      <c r="CT201">
        <v>5.0309120000000002E-3</v>
      </c>
      <c r="CU201">
        <v>3.5431220000000001E-3</v>
      </c>
      <c r="CV201">
        <v>7.4477500000000004E-3</v>
      </c>
      <c r="CW201">
        <v>3.0417500000000002E-3</v>
      </c>
    </row>
    <row r="202" spans="1:101" x14ac:dyDescent="0.25">
      <c r="A202" s="6">
        <v>66</v>
      </c>
      <c r="B202" s="6">
        <v>2</v>
      </c>
      <c r="C202" t="s">
        <v>148</v>
      </c>
      <c r="D202" t="s">
        <v>204</v>
      </c>
      <c r="E202" t="s">
        <v>192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22272</v>
      </c>
      <c r="P202">
        <v>7082.3154696152997</v>
      </c>
      <c r="Q202">
        <v>8</v>
      </c>
      <c r="R202">
        <v>4</v>
      </c>
      <c r="S202">
        <v>12</v>
      </c>
      <c r="T202">
        <v>0.121</v>
      </c>
      <c r="U202">
        <v>0.125</v>
      </c>
      <c r="V202">
        <v>0.11700000000000001</v>
      </c>
      <c r="W202">
        <v>0.121</v>
      </c>
      <c r="X202">
        <v>0.12</v>
      </c>
      <c r="Y202">
        <v>0.13100000000000001</v>
      </c>
      <c r="Z202">
        <v>0.10299999999999999</v>
      </c>
      <c r="AA202">
        <v>0.12</v>
      </c>
      <c r="AB202">
        <v>0.14000000000000001</v>
      </c>
      <c r="AC202">
        <v>0.123</v>
      </c>
      <c r="AD202">
        <v>0.107</v>
      </c>
      <c r="AE202">
        <v>0.1</v>
      </c>
      <c r="CB202">
        <f t="shared" si="47"/>
        <v>3.4540979999999992E-3</v>
      </c>
      <c r="CC202">
        <f t="shared" si="46"/>
        <v>24.463011698967261</v>
      </c>
      <c r="CD202">
        <v>3.5431220000000001E-3</v>
      </c>
      <c r="CE202">
        <v>3.90625E-3</v>
      </c>
      <c r="CF202">
        <v>3.203226E-3</v>
      </c>
      <c r="CG202">
        <v>3.5431220000000001E-3</v>
      </c>
      <c r="CH202">
        <v>3.4559999999999999E-3</v>
      </c>
      <c r="CI202">
        <v>4.4961819999999996E-3</v>
      </c>
      <c r="CJ202">
        <v>2.1854539999999999E-3</v>
      </c>
      <c r="CK202">
        <v>3.4559999999999999E-3</v>
      </c>
      <c r="CL202">
        <v>5.4879999999999998E-3</v>
      </c>
      <c r="CM202">
        <v>3.721734E-3</v>
      </c>
      <c r="CN202">
        <v>2.4500860000000002E-3</v>
      </c>
      <c r="CO202">
        <v>2E-3</v>
      </c>
    </row>
    <row r="203" spans="1:101" x14ac:dyDescent="0.25">
      <c r="A203" s="6">
        <v>232</v>
      </c>
      <c r="B203" s="6">
        <v>2</v>
      </c>
      <c r="C203" t="s">
        <v>150</v>
      </c>
      <c r="D203" t="s">
        <v>204</v>
      </c>
      <c r="E203" t="s">
        <v>192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13056</v>
      </c>
      <c r="P203">
        <v>4649.9064324646697</v>
      </c>
      <c r="Q203">
        <v>10</v>
      </c>
      <c r="R203">
        <v>14</v>
      </c>
      <c r="S203">
        <v>24</v>
      </c>
      <c r="T203">
        <v>0.11700000000000001</v>
      </c>
      <c r="U203">
        <v>0.126</v>
      </c>
      <c r="V203">
        <v>0.122</v>
      </c>
      <c r="W203">
        <v>0.114</v>
      </c>
      <c r="X203">
        <v>0.10299999999999999</v>
      </c>
      <c r="Y203">
        <v>0.127</v>
      </c>
      <c r="Z203">
        <v>0.125</v>
      </c>
      <c r="AA203">
        <v>0.129</v>
      </c>
      <c r="AB203">
        <v>0.11700000000000001</v>
      </c>
      <c r="AC203">
        <v>0.13100000000000001</v>
      </c>
      <c r="AD203">
        <v>0.13100000000000001</v>
      </c>
      <c r="AE203">
        <v>0.129</v>
      </c>
      <c r="AF203">
        <v>0.13100000000000001</v>
      </c>
      <c r="AG203">
        <v>0.111</v>
      </c>
      <c r="AH203">
        <v>0.124</v>
      </c>
      <c r="AI203">
        <v>0.125</v>
      </c>
      <c r="AJ203">
        <v>0.128</v>
      </c>
      <c r="AK203">
        <v>0.128</v>
      </c>
      <c r="AL203">
        <v>0.192</v>
      </c>
      <c r="AM203">
        <v>0.11700000000000001</v>
      </c>
      <c r="CB203">
        <f t="shared" si="47"/>
        <v>4.2734065000000002E-3</v>
      </c>
      <c r="CC203">
        <f t="shared" si="46"/>
        <v>19.870940372886331</v>
      </c>
      <c r="CD203">
        <v>3.203226E-3</v>
      </c>
      <c r="CE203">
        <v>4.0007519999999998E-3</v>
      </c>
      <c r="CF203">
        <v>3.6316959999999998E-3</v>
      </c>
      <c r="CG203">
        <v>2.963088E-3</v>
      </c>
      <c r="CH203">
        <v>2.1854539999999999E-3</v>
      </c>
      <c r="CI203">
        <v>4.0967659999999999E-3</v>
      </c>
      <c r="CJ203">
        <v>3.90625E-3</v>
      </c>
      <c r="CK203">
        <v>4.2933779999999996E-3</v>
      </c>
      <c r="CL203">
        <v>3.203226E-3</v>
      </c>
      <c r="CM203">
        <v>4.4961819999999996E-3</v>
      </c>
      <c r="CN203">
        <v>4.4961819999999996E-3</v>
      </c>
      <c r="CO203">
        <v>4.2933779999999996E-3</v>
      </c>
      <c r="CP203">
        <v>4.4961819999999996E-3</v>
      </c>
      <c r="CQ203">
        <v>2.735262E-3</v>
      </c>
      <c r="CR203">
        <v>3.813248E-3</v>
      </c>
      <c r="CS203">
        <v>3.90625E-3</v>
      </c>
      <c r="CT203">
        <v>4.1943040000000003E-3</v>
      </c>
      <c r="CU203">
        <v>4.1943040000000003E-3</v>
      </c>
      <c r="CV203">
        <v>1.4155776E-2</v>
      </c>
      <c r="CW203">
        <v>3.203226E-3</v>
      </c>
    </row>
    <row r="204" spans="1:101" x14ac:dyDescent="0.25">
      <c r="A204" s="6">
        <v>12</v>
      </c>
      <c r="B204" s="6">
        <v>2</v>
      </c>
      <c r="C204" t="s">
        <v>151</v>
      </c>
      <c r="D204" t="s">
        <v>204</v>
      </c>
      <c r="E204" t="s">
        <v>192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20800</v>
      </c>
      <c r="P204">
        <v>8418.1126924633299</v>
      </c>
      <c r="Q204">
        <v>12</v>
      </c>
      <c r="R204">
        <v>8</v>
      </c>
      <c r="S204">
        <v>20</v>
      </c>
      <c r="T204">
        <v>0.112</v>
      </c>
      <c r="U204">
        <v>0.123</v>
      </c>
      <c r="V204">
        <v>0.126</v>
      </c>
      <c r="W204">
        <v>0.111</v>
      </c>
      <c r="X204">
        <v>0.11899999999999999</v>
      </c>
      <c r="Y204">
        <v>0.14099999999999999</v>
      </c>
      <c r="Z204">
        <v>0.11799999999999999</v>
      </c>
      <c r="AA204">
        <v>0.14699999999999999</v>
      </c>
      <c r="AB204">
        <v>0.11600000000000001</v>
      </c>
      <c r="AC204">
        <v>0.14099999999999999</v>
      </c>
      <c r="AD204">
        <v>0.15</v>
      </c>
      <c r="AE204">
        <v>0.122</v>
      </c>
      <c r="AF204">
        <v>0.10199999999999999</v>
      </c>
      <c r="AG204">
        <v>0.13900000000000001</v>
      </c>
      <c r="AH204">
        <v>0.13300000000000001</v>
      </c>
      <c r="AI204">
        <v>0.113</v>
      </c>
      <c r="AJ204">
        <v>0.11700000000000001</v>
      </c>
      <c r="AK204">
        <v>0.13200000000000001</v>
      </c>
      <c r="AL204">
        <v>0.13200000000000001</v>
      </c>
      <c r="AM204">
        <v>0.125</v>
      </c>
      <c r="CB204">
        <f t="shared" si="47"/>
        <v>4.1193736999999998E-3</v>
      </c>
      <c r="CC204">
        <f t="shared" si="46"/>
        <v>34.677352028969629</v>
      </c>
      <c r="CD204">
        <v>2.8098559999999999E-3</v>
      </c>
      <c r="CE204">
        <v>3.721734E-3</v>
      </c>
      <c r="CF204">
        <v>4.0007519999999998E-3</v>
      </c>
      <c r="CG204">
        <v>2.735262E-3</v>
      </c>
      <c r="CH204">
        <v>3.3703180000000002E-3</v>
      </c>
      <c r="CI204">
        <v>5.6064419999999997E-3</v>
      </c>
      <c r="CJ204">
        <v>3.286064E-3</v>
      </c>
      <c r="CK204">
        <v>6.3530460000000002E-3</v>
      </c>
      <c r="CL204">
        <v>3.121792E-3</v>
      </c>
      <c r="CM204">
        <v>5.6064419999999997E-3</v>
      </c>
      <c r="CN204">
        <v>6.7499999999999999E-3</v>
      </c>
      <c r="CO204">
        <v>3.6316959999999998E-3</v>
      </c>
      <c r="CP204">
        <v>2.1224159999999998E-3</v>
      </c>
      <c r="CQ204">
        <v>5.3712380000000004E-3</v>
      </c>
      <c r="CR204">
        <v>4.7052739999999997E-3</v>
      </c>
      <c r="CS204">
        <v>2.8857940000000001E-3</v>
      </c>
      <c r="CT204">
        <v>3.203226E-3</v>
      </c>
      <c r="CU204">
        <v>4.5999359999999998E-3</v>
      </c>
      <c r="CV204">
        <v>4.5999359999999998E-3</v>
      </c>
      <c r="CW204">
        <v>3.90625E-3</v>
      </c>
    </row>
    <row r="205" spans="1:101" x14ac:dyDescent="0.25">
      <c r="A205" s="6">
        <v>29</v>
      </c>
      <c r="B205" s="6">
        <v>2</v>
      </c>
      <c r="C205" t="s">
        <v>152</v>
      </c>
      <c r="D205" t="s">
        <v>204</v>
      </c>
      <c r="E205" t="s">
        <v>192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2184</v>
      </c>
      <c r="P205">
        <v>1160.94569072181</v>
      </c>
      <c r="Q205">
        <v>6</v>
      </c>
      <c r="R205">
        <v>7</v>
      </c>
      <c r="S205">
        <v>13</v>
      </c>
      <c r="T205">
        <v>0.125</v>
      </c>
      <c r="U205">
        <v>0.11899999999999999</v>
      </c>
      <c r="V205">
        <v>0.13300000000000001</v>
      </c>
      <c r="W205">
        <v>0.13900000000000001</v>
      </c>
      <c r="X205">
        <v>0.11</v>
      </c>
      <c r="Y205">
        <v>0.14000000000000001</v>
      </c>
      <c r="Z205">
        <v>0.127</v>
      </c>
      <c r="AA205">
        <v>0.13700000000000001</v>
      </c>
      <c r="AB205">
        <v>0.13200000000000001</v>
      </c>
      <c r="AC205">
        <v>0.12</v>
      </c>
      <c r="AD205">
        <v>0.13100000000000001</v>
      </c>
      <c r="AE205">
        <v>0.13800000000000001</v>
      </c>
      <c r="AF205">
        <v>0.13300000000000001</v>
      </c>
      <c r="CB205">
        <f t="shared" si="47"/>
        <v>4.4043144615384614E-3</v>
      </c>
      <c r="CC205">
        <f t="shared" si="46"/>
        <v>5.113169894706826</v>
      </c>
      <c r="CD205">
        <v>3.90625E-3</v>
      </c>
      <c r="CE205">
        <v>3.3703180000000002E-3</v>
      </c>
      <c r="CF205">
        <v>4.7052739999999997E-3</v>
      </c>
      <c r="CG205">
        <v>5.3712380000000004E-3</v>
      </c>
      <c r="CH205">
        <v>2.6619999999999999E-3</v>
      </c>
      <c r="CI205">
        <v>5.4879999999999998E-3</v>
      </c>
      <c r="CJ205">
        <v>4.0967659999999999E-3</v>
      </c>
      <c r="CK205">
        <v>5.1427060000000004E-3</v>
      </c>
      <c r="CL205">
        <v>4.5999359999999998E-3</v>
      </c>
      <c r="CM205">
        <v>3.4559999999999999E-3</v>
      </c>
      <c r="CN205">
        <v>4.4961819999999996E-3</v>
      </c>
      <c r="CO205">
        <v>5.2561439999999999E-3</v>
      </c>
      <c r="CP205">
        <v>4.7052739999999997E-3</v>
      </c>
    </row>
    <row r="206" spans="1:101" x14ac:dyDescent="0.25">
      <c r="A206" s="6">
        <v>323</v>
      </c>
      <c r="B206" s="6">
        <v>2</v>
      </c>
      <c r="C206" t="s">
        <v>115</v>
      </c>
      <c r="D206" t="s">
        <v>205</v>
      </c>
      <c r="E206" t="s">
        <v>192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1</v>
      </c>
      <c r="P206">
        <v>0.16917878617261201</v>
      </c>
      <c r="Q206">
        <v>1</v>
      </c>
      <c r="R206">
        <v>-1</v>
      </c>
      <c r="S206">
        <v>1</v>
      </c>
      <c r="T206">
        <v>0.13300000000000001</v>
      </c>
      <c r="CB206">
        <f t="shared" si="47"/>
        <v>4.7052739999999997E-3</v>
      </c>
      <c r="CC206">
        <f t="shared" si="46"/>
        <v>7.9603254392955072E-4</v>
      </c>
      <c r="CD206">
        <v>4.7052739999999997E-3</v>
      </c>
    </row>
    <row r="207" spans="1:101" x14ac:dyDescent="0.25">
      <c r="A207" s="6">
        <v>354</v>
      </c>
      <c r="B207" s="6">
        <v>2</v>
      </c>
      <c r="C207" t="s">
        <v>121</v>
      </c>
      <c r="D207" t="s">
        <v>205</v>
      </c>
      <c r="E207" t="s">
        <v>192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41.25</v>
      </c>
      <c r="P207">
        <v>4.8191155865781496</v>
      </c>
      <c r="Q207">
        <v>3</v>
      </c>
      <c r="R207">
        <v>-1</v>
      </c>
      <c r="S207">
        <v>3</v>
      </c>
      <c r="T207">
        <v>0.122</v>
      </c>
      <c r="U207">
        <v>0.113</v>
      </c>
      <c r="V207">
        <v>0.11799999999999999</v>
      </c>
      <c r="CB207">
        <f t="shared" si="47"/>
        <v>3.2678513333333332E-3</v>
      </c>
      <c r="CC207">
        <f t="shared" si="46"/>
        <v>1.5748153295086855E-2</v>
      </c>
      <c r="CD207">
        <v>3.6316959999999998E-3</v>
      </c>
      <c r="CE207">
        <v>2.8857940000000001E-3</v>
      </c>
      <c r="CF207">
        <v>3.286064E-3</v>
      </c>
    </row>
    <row r="208" spans="1:101" x14ac:dyDescent="0.25">
      <c r="A208" s="6">
        <v>281</v>
      </c>
      <c r="B208" s="6">
        <v>2</v>
      </c>
      <c r="C208" t="s">
        <v>123</v>
      </c>
      <c r="D208" t="s">
        <v>205</v>
      </c>
      <c r="E208" t="s">
        <v>192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4</v>
      </c>
      <c r="P208">
        <v>1.1477088853949999</v>
      </c>
      <c r="Q208">
        <v>4</v>
      </c>
      <c r="R208">
        <v>-1</v>
      </c>
      <c r="S208">
        <v>4</v>
      </c>
      <c r="T208">
        <v>0.124</v>
      </c>
      <c r="U208">
        <v>0.126</v>
      </c>
      <c r="V208">
        <v>0.14599999999999999</v>
      </c>
      <c r="W208">
        <v>0.111</v>
      </c>
      <c r="CB208">
        <f t="shared" si="47"/>
        <v>4.1933834999999999E-3</v>
      </c>
      <c r="CC208">
        <f t="shared" si="46"/>
        <v>4.8127835028187833E-3</v>
      </c>
      <c r="CD208">
        <v>3.813248E-3</v>
      </c>
      <c r="CE208">
        <v>4.0007519999999998E-3</v>
      </c>
      <c r="CF208">
        <v>6.2242720000000003E-3</v>
      </c>
      <c r="CG208">
        <v>2.735262E-3</v>
      </c>
    </row>
    <row r="209" spans="1:100" x14ac:dyDescent="0.25">
      <c r="A209" s="6">
        <v>269</v>
      </c>
      <c r="B209" s="6">
        <v>2</v>
      </c>
      <c r="C209" t="s">
        <v>125</v>
      </c>
      <c r="D209" t="s">
        <v>205</v>
      </c>
      <c r="E209" t="s">
        <v>192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6</v>
      </c>
      <c r="P209">
        <v>0.73195719731824005</v>
      </c>
      <c r="Q209">
        <v>1</v>
      </c>
      <c r="R209">
        <v>-1</v>
      </c>
      <c r="S209">
        <v>1</v>
      </c>
      <c r="T209">
        <v>0.112</v>
      </c>
      <c r="CB209">
        <f t="shared" si="47"/>
        <v>2.8098559999999999E-3</v>
      </c>
      <c r="CC209">
        <f t="shared" si="46"/>
        <v>2.0566943226278406E-3</v>
      </c>
      <c r="CD209">
        <v>2.8098559999999999E-3</v>
      </c>
    </row>
    <row r="210" spans="1:100" x14ac:dyDescent="0.25">
      <c r="A210" s="6">
        <v>294</v>
      </c>
      <c r="B210" s="6">
        <v>2</v>
      </c>
      <c r="C210" t="s">
        <v>129</v>
      </c>
      <c r="D210" t="s">
        <v>205</v>
      </c>
      <c r="E210" t="s">
        <v>192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4.5</v>
      </c>
      <c r="P210">
        <v>2.9344829456122201</v>
      </c>
      <c r="Q210">
        <v>2</v>
      </c>
      <c r="R210">
        <v>-1</v>
      </c>
      <c r="S210">
        <v>2</v>
      </c>
      <c r="T210">
        <v>0.113</v>
      </c>
      <c r="U210">
        <v>0.121</v>
      </c>
      <c r="CB210">
        <f t="shared" si="47"/>
        <v>3.2144579999999999E-3</v>
      </c>
      <c r="CC210">
        <f t="shared" si="46"/>
        <v>9.4327721803867653E-3</v>
      </c>
      <c r="CD210">
        <v>2.8857940000000001E-3</v>
      </c>
      <c r="CE210">
        <v>3.5431220000000001E-3</v>
      </c>
    </row>
    <row r="211" spans="1:100" x14ac:dyDescent="0.25">
      <c r="A211" s="6">
        <v>196</v>
      </c>
      <c r="B211" s="6">
        <v>2</v>
      </c>
      <c r="C211" t="s">
        <v>132</v>
      </c>
      <c r="D211" t="s">
        <v>205</v>
      </c>
      <c r="E211" t="s">
        <v>192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7056</v>
      </c>
      <c r="P211">
        <v>2888.5067848728299</v>
      </c>
      <c r="Q211">
        <v>6</v>
      </c>
      <c r="R211">
        <v>3</v>
      </c>
      <c r="S211">
        <v>9</v>
      </c>
      <c r="T211">
        <v>0.111</v>
      </c>
      <c r="U211">
        <v>9.2999999999999999E-2</v>
      </c>
      <c r="V211">
        <v>9.4E-2</v>
      </c>
      <c r="W211">
        <v>0.11</v>
      </c>
      <c r="X211">
        <v>9.7000000000000003E-2</v>
      </c>
      <c r="Y211">
        <v>8.8999999999999996E-2</v>
      </c>
      <c r="Z211">
        <v>0.128</v>
      </c>
      <c r="AA211">
        <v>0.11899999999999999</v>
      </c>
      <c r="AB211">
        <v>0.127</v>
      </c>
      <c r="CB211">
        <f t="shared" si="47"/>
        <v>2.6182017777777781E-3</v>
      </c>
      <c r="CC211">
        <f t="shared" si="46"/>
        <v>7.5626935992772175</v>
      </c>
      <c r="CD211">
        <v>2.735262E-3</v>
      </c>
      <c r="CE211">
        <v>1.608714E-3</v>
      </c>
      <c r="CF211">
        <v>1.661168E-3</v>
      </c>
      <c r="CG211">
        <v>2.6619999999999999E-3</v>
      </c>
      <c r="CH211">
        <v>1.825346E-3</v>
      </c>
      <c r="CI211">
        <v>1.4099379999999999E-3</v>
      </c>
      <c r="CJ211">
        <v>4.1943040000000003E-3</v>
      </c>
      <c r="CK211">
        <v>3.3703180000000002E-3</v>
      </c>
      <c r="CL211">
        <v>4.0967659999999999E-3</v>
      </c>
    </row>
    <row r="212" spans="1:100" x14ac:dyDescent="0.25">
      <c r="A212" s="6">
        <v>160</v>
      </c>
      <c r="B212" s="6">
        <v>2</v>
      </c>
      <c r="C212" t="s">
        <v>136</v>
      </c>
      <c r="D212" t="s">
        <v>205</v>
      </c>
      <c r="E212" t="s">
        <v>192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3200</v>
      </c>
      <c r="P212">
        <v>1838.19830505403</v>
      </c>
      <c r="Q212">
        <v>3</v>
      </c>
      <c r="R212">
        <v>2</v>
      </c>
      <c r="S212">
        <v>5</v>
      </c>
      <c r="T212">
        <v>0.106</v>
      </c>
      <c r="U212">
        <v>0.10199999999999999</v>
      </c>
      <c r="V212">
        <v>7.8E-2</v>
      </c>
      <c r="W212">
        <v>8.8999999999999996E-2</v>
      </c>
      <c r="X212">
        <v>9.6000000000000002E-2</v>
      </c>
      <c r="CB212">
        <f t="shared" si="47"/>
        <v>1.7265923999999998E-3</v>
      </c>
      <c r="CC212">
        <f t="shared" si="46"/>
        <v>3.1738192231991693</v>
      </c>
      <c r="CD212">
        <v>2.3820320000000001E-3</v>
      </c>
      <c r="CE212">
        <v>2.1224159999999998E-3</v>
      </c>
      <c r="CF212">
        <v>9.4910399999999998E-4</v>
      </c>
      <c r="CG212">
        <v>1.4099379999999999E-3</v>
      </c>
      <c r="CH212">
        <v>1.769472E-3</v>
      </c>
    </row>
    <row r="213" spans="1:100" x14ac:dyDescent="0.25">
      <c r="A213" s="6">
        <v>86</v>
      </c>
      <c r="B213" s="6">
        <v>2</v>
      </c>
      <c r="C213" t="s">
        <v>141</v>
      </c>
      <c r="D213" t="s">
        <v>205</v>
      </c>
      <c r="E213" t="s">
        <v>192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1968</v>
      </c>
      <c r="P213">
        <v>687.16177815402</v>
      </c>
      <c r="Q213">
        <v>0</v>
      </c>
      <c r="R213">
        <v>2</v>
      </c>
      <c r="S213">
        <v>2</v>
      </c>
      <c r="T213">
        <v>0.108</v>
      </c>
      <c r="U213">
        <v>9.5000000000000001E-2</v>
      </c>
      <c r="CB213">
        <f t="shared" si="47"/>
        <v>2.1170870000000001E-3</v>
      </c>
      <c r="CC213">
        <f t="shared" si="46"/>
        <v>1.4547812674267597</v>
      </c>
      <c r="CD213">
        <v>2.5194240000000001E-3</v>
      </c>
      <c r="CE213">
        <v>1.7147499999999999E-3</v>
      </c>
    </row>
    <row r="214" spans="1:100" x14ac:dyDescent="0.25">
      <c r="A214" s="6">
        <v>138</v>
      </c>
      <c r="B214" s="6">
        <v>2</v>
      </c>
      <c r="C214" t="s">
        <v>145</v>
      </c>
      <c r="D214" t="s">
        <v>205</v>
      </c>
      <c r="E214" t="s">
        <v>192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3808</v>
      </c>
      <c r="P214">
        <v>1558.87667755042</v>
      </c>
      <c r="Q214">
        <v>4</v>
      </c>
      <c r="R214">
        <v>3</v>
      </c>
      <c r="S214">
        <v>7</v>
      </c>
      <c r="T214">
        <v>0.1</v>
      </c>
      <c r="U214">
        <v>0.112</v>
      </c>
      <c r="V214">
        <v>0.10199999999999999</v>
      </c>
      <c r="W214">
        <v>9.8000000000000004E-2</v>
      </c>
      <c r="X214">
        <v>0.112</v>
      </c>
      <c r="Y214">
        <v>0.10199999999999999</v>
      </c>
      <c r="Z214">
        <v>9.9000000000000005E-2</v>
      </c>
      <c r="CB214">
        <f t="shared" si="47"/>
        <v>2.2410751428571427E-3</v>
      </c>
      <c r="CC214">
        <f t="shared" si="46"/>
        <v>3.4935597728379757</v>
      </c>
      <c r="CD214">
        <v>2E-3</v>
      </c>
      <c r="CE214">
        <v>2.8098559999999999E-3</v>
      </c>
      <c r="CF214">
        <v>2.1224159999999998E-3</v>
      </c>
      <c r="CG214">
        <v>1.882384E-3</v>
      </c>
      <c r="CH214">
        <v>2.8098559999999999E-3</v>
      </c>
      <c r="CI214">
        <v>2.1224159999999998E-3</v>
      </c>
      <c r="CJ214">
        <v>1.940598E-3</v>
      </c>
    </row>
    <row r="215" spans="1:100" x14ac:dyDescent="0.25">
      <c r="A215" s="6">
        <v>48</v>
      </c>
      <c r="B215" s="6">
        <v>2</v>
      </c>
      <c r="C215" t="s">
        <v>146</v>
      </c>
      <c r="D215" t="s">
        <v>205</v>
      </c>
      <c r="E215" t="s">
        <v>192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23552</v>
      </c>
      <c r="P215">
        <v>8388.0665056225407</v>
      </c>
      <c r="Q215">
        <v>9</v>
      </c>
      <c r="R215">
        <v>7</v>
      </c>
      <c r="S215">
        <v>16</v>
      </c>
      <c r="T215">
        <v>0.106</v>
      </c>
      <c r="U215">
        <v>0.109</v>
      </c>
      <c r="V215">
        <v>9.4E-2</v>
      </c>
      <c r="W215">
        <v>9.6000000000000002E-2</v>
      </c>
      <c r="X215">
        <v>9.5000000000000001E-2</v>
      </c>
      <c r="Y215">
        <v>9.7000000000000003E-2</v>
      </c>
      <c r="Z215">
        <v>7.8E-2</v>
      </c>
      <c r="AA215">
        <v>8.8999999999999996E-2</v>
      </c>
      <c r="AB215">
        <v>9.2999999999999999E-2</v>
      </c>
      <c r="AC215">
        <v>9.7000000000000003E-2</v>
      </c>
      <c r="AD215">
        <v>0.113</v>
      </c>
      <c r="AE215">
        <v>0.1</v>
      </c>
      <c r="AF215">
        <v>8.1000000000000003E-2</v>
      </c>
      <c r="AG215">
        <v>9.6000000000000002E-2</v>
      </c>
      <c r="AH215">
        <v>0.121</v>
      </c>
      <c r="AI215">
        <v>0.11799999999999999</v>
      </c>
      <c r="CB215">
        <f t="shared" si="47"/>
        <v>2.017703875E-3</v>
      </c>
      <c r="CC215">
        <f t="shared" si="46"/>
        <v>16.924634292152309</v>
      </c>
      <c r="CD215">
        <v>2.3820320000000001E-3</v>
      </c>
      <c r="CE215">
        <v>2.5900580000000001E-3</v>
      </c>
      <c r="CF215">
        <v>1.661168E-3</v>
      </c>
      <c r="CG215">
        <v>1.769472E-3</v>
      </c>
      <c r="CH215">
        <v>1.7147499999999999E-3</v>
      </c>
      <c r="CI215">
        <v>1.825346E-3</v>
      </c>
      <c r="CJ215">
        <v>9.4910399999999998E-4</v>
      </c>
      <c r="CK215">
        <v>1.4099379999999999E-3</v>
      </c>
      <c r="CL215">
        <v>1.608714E-3</v>
      </c>
      <c r="CM215">
        <v>1.825346E-3</v>
      </c>
      <c r="CN215">
        <v>2.8857940000000001E-3</v>
      </c>
      <c r="CO215">
        <v>2E-3</v>
      </c>
      <c r="CP215">
        <v>1.062882E-3</v>
      </c>
      <c r="CQ215">
        <v>1.769472E-3</v>
      </c>
      <c r="CR215">
        <v>3.5431220000000001E-3</v>
      </c>
      <c r="CS215">
        <v>3.286064E-3</v>
      </c>
    </row>
    <row r="216" spans="1:100" x14ac:dyDescent="0.25">
      <c r="A216" s="6">
        <v>13</v>
      </c>
      <c r="B216" s="6">
        <v>2</v>
      </c>
      <c r="C216" t="s">
        <v>151</v>
      </c>
      <c r="D216" t="s">
        <v>205</v>
      </c>
      <c r="E216" t="s">
        <v>192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9360</v>
      </c>
      <c r="P216">
        <v>3788.1507116084999</v>
      </c>
      <c r="Q216">
        <v>0</v>
      </c>
      <c r="R216">
        <v>9</v>
      </c>
      <c r="S216">
        <v>9</v>
      </c>
      <c r="T216">
        <v>0.104</v>
      </c>
      <c r="U216">
        <v>8.7999999999999995E-2</v>
      </c>
      <c r="V216">
        <v>9.4E-2</v>
      </c>
      <c r="W216">
        <v>8.5999999999999993E-2</v>
      </c>
      <c r="X216">
        <v>7.6999999999999999E-2</v>
      </c>
      <c r="Y216">
        <v>0.11899999999999999</v>
      </c>
      <c r="Z216">
        <v>0.10299999999999999</v>
      </c>
      <c r="AA216">
        <v>0.123</v>
      </c>
      <c r="AB216">
        <v>0.11600000000000001</v>
      </c>
      <c r="CB216">
        <f t="shared" si="47"/>
        <v>2.2064795555555555E-3</v>
      </c>
      <c r="CC216">
        <f t="shared" si="46"/>
        <v>8.3584770985273842</v>
      </c>
      <c r="CD216">
        <v>2.2497279999999999E-3</v>
      </c>
      <c r="CE216">
        <v>1.362944E-3</v>
      </c>
      <c r="CF216">
        <v>1.661168E-3</v>
      </c>
      <c r="CG216">
        <v>1.2721119999999999E-3</v>
      </c>
      <c r="CH216">
        <v>9.1306600000000003E-4</v>
      </c>
      <c r="CI216">
        <v>3.3703180000000002E-3</v>
      </c>
      <c r="CJ216">
        <v>2.1854539999999999E-3</v>
      </c>
      <c r="CK216">
        <v>3.721734E-3</v>
      </c>
      <c r="CL216">
        <v>3.121792E-3</v>
      </c>
    </row>
    <row r="217" spans="1:100" x14ac:dyDescent="0.25">
      <c r="A217" s="6">
        <v>324</v>
      </c>
      <c r="B217" s="6">
        <v>2</v>
      </c>
      <c r="C217" t="s">
        <v>115</v>
      </c>
      <c r="D217" t="s">
        <v>232</v>
      </c>
      <c r="E217" t="s">
        <v>192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1</v>
      </c>
      <c r="P217">
        <v>0.16917878617261201</v>
      </c>
      <c r="Q217">
        <v>1</v>
      </c>
      <c r="R217">
        <v>-1</v>
      </c>
      <c r="S217">
        <v>1</v>
      </c>
      <c r="T217">
        <v>0.129</v>
      </c>
      <c r="CB217">
        <f t="shared" si="47"/>
        <v>4.9588515899999998E-2</v>
      </c>
      <c r="CC217">
        <f t="shared" si="46"/>
        <v>8.3893249280632704E-3</v>
      </c>
      <c r="CD217">
        <v>4.9588515899999998E-2</v>
      </c>
    </row>
    <row r="218" spans="1:100" x14ac:dyDescent="0.25">
      <c r="A218" s="6">
        <v>295</v>
      </c>
      <c r="B218" s="6">
        <v>2</v>
      </c>
      <c r="C218" t="s">
        <v>129</v>
      </c>
      <c r="D218" t="s">
        <v>232</v>
      </c>
      <c r="E218" t="s">
        <v>192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42.75</v>
      </c>
      <c r="P218">
        <v>27.877587983316101</v>
      </c>
      <c r="Q218">
        <v>19</v>
      </c>
      <c r="R218">
        <v>-1</v>
      </c>
      <c r="S218">
        <v>19</v>
      </c>
      <c r="T218">
        <v>0.128</v>
      </c>
      <c r="U218">
        <v>0.114</v>
      </c>
      <c r="V218">
        <v>0.11700000000000001</v>
      </c>
      <c r="W218">
        <v>0.13300000000000001</v>
      </c>
      <c r="X218">
        <v>0.129</v>
      </c>
      <c r="Y218">
        <v>0.125</v>
      </c>
      <c r="Z218">
        <v>0.125</v>
      </c>
      <c r="AA218">
        <v>0.127</v>
      </c>
      <c r="AB218">
        <v>0.125</v>
      </c>
      <c r="AC218">
        <v>0.12</v>
      </c>
      <c r="AD218">
        <v>0.121</v>
      </c>
      <c r="AE218">
        <v>0.115</v>
      </c>
      <c r="AF218">
        <v>0.13</v>
      </c>
      <c r="AG218">
        <v>0.11799999999999999</v>
      </c>
      <c r="AH218">
        <v>0.11799999999999999</v>
      </c>
      <c r="AI218">
        <v>0.123</v>
      </c>
      <c r="AJ218">
        <v>0.13200000000000001</v>
      </c>
      <c r="AK218">
        <v>0.11799999999999999</v>
      </c>
      <c r="AL218">
        <v>0.13</v>
      </c>
      <c r="CB218">
        <f t="shared" si="47"/>
        <v>4.3879981894736839E-2</v>
      </c>
      <c r="CC218">
        <f t="shared" si="46"/>
        <v>1.2232680559768438</v>
      </c>
      <c r="CD218">
        <v>4.8444211199999997E-2</v>
      </c>
      <c r="CE218">
        <v>3.4223666399999998E-2</v>
      </c>
      <c r="CF218">
        <v>3.6997260300000001E-2</v>
      </c>
      <c r="CG218">
        <v>5.4345914699999998E-2</v>
      </c>
      <c r="CH218">
        <v>4.9588515899999998E-2</v>
      </c>
      <c r="CI218">
        <v>4.5117187500000003E-2</v>
      </c>
      <c r="CJ218">
        <v>4.5117187500000003E-2</v>
      </c>
      <c r="CK218">
        <v>4.7317647300000001E-2</v>
      </c>
      <c r="CL218">
        <v>4.5117187500000003E-2</v>
      </c>
      <c r="CM218">
        <v>3.9916800000000002E-2</v>
      </c>
      <c r="CN218">
        <v>4.0923059099999999E-2</v>
      </c>
      <c r="CO218">
        <v>3.5132212500000003E-2</v>
      </c>
      <c r="CP218">
        <v>5.0750700000000003E-2</v>
      </c>
      <c r="CQ218">
        <v>3.7954039199999998E-2</v>
      </c>
      <c r="CR218">
        <v>3.7954039199999998E-2</v>
      </c>
      <c r="CS218">
        <v>4.2986027699999999E-2</v>
      </c>
      <c r="CT218">
        <v>5.3129260800000001E-2</v>
      </c>
      <c r="CU218">
        <v>3.7954039199999998E-2</v>
      </c>
      <c r="CV218">
        <v>5.0750700000000003E-2</v>
      </c>
    </row>
    <row r="219" spans="1:100" x14ac:dyDescent="0.25">
      <c r="A219" s="6">
        <v>245</v>
      </c>
      <c r="B219" s="6">
        <v>2</v>
      </c>
      <c r="C219" t="s">
        <v>112</v>
      </c>
      <c r="D219" t="s">
        <v>216</v>
      </c>
      <c r="E219" t="s">
        <v>192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51.75</v>
      </c>
      <c r="P219">
        <v>7.8646629792361296</v>
      </c>
      <c r="Q219">
        <v>1</v>
      </c>
      <c r="R219">
        <v>-1</v>
      </c>
      <c r="S219">
        <v>1</v>
      </c>
      <c r="T219">
        <v>0.14499999999999999</v>
      </c>
      <c r="CB219">
        <f t="shared" si="47"/>
        <v>7.0423237499999999E-2</v>
      </c>
      <c r="CC219">
        <f t="shared" si="46"/>
        <v>0.55385502884420357</v>
      </c>
      <c r="CD219">
        <v>7.0423237499999999E-2</v>
      </c>
    </row>
    <row r="220" spans="1:100" x14ac:dyDescent="0.25">
      <c r="A220" s="6">
        <v>337</v>
      </c>
      <c r="B220" s="6">
        <v>2</v>
      </c>
      <c r="C220" t="s">
        <v>119</v>
      </c>
      <c r="D220" t="s">
        <v>216</v>
      </c>
      <c r="E220" t="s">
        <v>192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31.25</v>
      </c>
      <c r="P220">
        <v>16.728499379008301</v>
      </c>
      <c r="Q220">
        <v>1</v>
      </c>
      <c r="R220">
        <v>-1</v>
      </c>
      <c r="S220">
        <v>1</v>
      </c>
      <c r="T220">
        <v>0.155</v>
      </c>
      <c r="CB220">
        <f t="shared" si="47"/>
        <v>8.6021512499999994E-2</v>
      </c>
      <c r="CC220">
        <f t="shared" si="46"/>
        <v>1.4390108184376047</v>
      </c>
      <c r="CD220">
        <v>8.6021512499999994E-2</v>
      </c>
    </row>
    <row r="221" spans="1:100" x14ac:dyDescent="0.25">
      <c r="A221" s="6">
        <v>259</v>
      </c>
      <c r="B221" s="6">
        <v>2</v>
      </c>
      <c r="C221" t="s">
        <v>127</v>
      </c>
      <c r="D221" t="s">
        <v>216</v>
      </c>
      <c r="E221" t="s">
        <v>192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1</v>
      </c>
      <c r="P221">
        <v>0.51237003812276805</v>
      </c>
      <c r="Q221">
        <v>1</v>
      </c>
      <c r="R221">
        <v>-1</v>
      </c>
      <c r="S221">
        <v>1</v>
      </c>
      <c r="T221">
        <v>0.13</v>
      </c>
      <c r="CB221">
        <f t="shared" si="47"/>
        <v>5.0750700000000003E-2</v>
      </c>
      <c r="CC221">
        <f t="shared" si="46"/>
        <v>2.6003138093757167E-2</v>
      </c>
      <c r="CD221">
        <v>5.0750700000000003E-2</v>
      </c>
    </row>
    <row r="222" spans="1:100" x14ac:dyDescent="0.25">
      <c r="A222" s="6">
        <v>296</v>
      </c>
      <c r="B222" s="6">
        <v>2</v>
      </c>
      <c r="C222" t="s">
        <v>129</v>
      </c>
      <c r="D222" t="s">
        <v>216</v>
      </c>
      <c r="E222" t="s">
        <v>192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22.5</v>
      </c>
      <c r="P222">
        <v>14.672414728061099</v>
      </c>
      <c r="Q222">
        <v>10</v>
      </c>
      <c r="R222">
        <v>-1</v>
      </c>
      <c r="S222">
        <v>10</v>
      </c>
      <c r="T222">
        <v>0.151</v>
      </c>
      <c r="U222">
        <v>0.157</v>
      </c>
      <c r="V222">
        <v>0.16700000000000001</v>
      </c>
      <c r="W222">
        <v>0.156</v>
      </c>
      <c r="X222">
        <v>0.159</v>
      </c>
      <c r="Y222">
        <v>0.14799999999999999</v>
      </c>
      <c r="Z222">
        <v>0.161</v>
      </c>
      <c r="AA222">
        <v>0.14899999999999999</v>
      </c>
      <c r="AB222">
        <v>0.14399999999999999</v>
      </c>
      <c r="AC222">
        <v>0.14299999999999999</v>
      </c>
      <c r="CB222">
        <f t="shared" si="47"/>
        <v>8.4129310649999983E-2</v>
      </c>
      <c r="CC222">
        <f t="shared" si="46"/>
        <v>1.2343801366426872</v>
      </c>
      <c r="CD222">
        <v>7.9532168099999995E-2</v>
      </c>
      <c r="CE222">
        <v>8.9394528299999998E-2</v>
      </c>
      <c r="CF222">
        <v>0.1075873953</v>
      </c>
      <c r="CG222">
        <v>8.7697209600000006E-2</v>
      </c>
      <c r="CH222">
        <v>9.2854584899999995E-2</v>
      </c>
      <c r="CI222">
        <v>7.4885395199999996E-2</v>
      </c>
      <c r="CJ222">
        <v>9.6402791099999996E-2</v>
      </c>
      <c r="CK222">
        <v>7.6413621900000006E-2</v>
      </c>
      <c r="CL222">
        <v>6.8976230400000005E-2</v>
      </c>
      <c r="CM222">
        <v>6.7549181700000002E-2</v>
      </c>
    </row>
    <row r="223" spans="1:100" x14ac:dyDescent="0.25">
      <c r="A223" s="6">
        <v>197</v>
      </c>
      <c r="B223" s="6">
        <v>2</v>
      </c>
      <c r="C223" t="s">
        <v>132</v>
      </c>
      <c r="D223" t="s">
        <v>216</v>
      </c>
      <c r="E223" t="s">
        <v>192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784</v>
      </c>
      <c r="P223">
        <v>320.94519831920297</v>
      </c>
      <c r="Q223">
        <v>0</v>
      </c>
      <c r="R223">
        <v>1</v>
      </c>
      <c r="S223">
        <v>1</v>
      </c>
      <c r="T223">
        <v>0.159</v>
      </c>
      <c r="CB223">
        <f t="shared" si="47"/>
        <v>9.2854584899999995E-2</v>
      </c>
      <c r="CC223">
        <f t="shared" si="46"/>
        <v>29.801233165577766</v>
      </c>
      <c r="CD223">
        <v>9.2854584899999995E-2</v>
      </c>
    </row>
    <row r="224" spans="1:100" x14ac:dyDescent="0.25">
      <c r="A224" s="6">
        <v>216</v>
      </c>
      <c r="B224" s="6">
        <v>2</v>
      </c>
      <c r="C224" t="s">
        <v>135</v>
      </c>
      <c r="D224" t="s">
        <v>216</v>
      </c>
      <c r="E224" t="s">
        <v>192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3904</v>
      </c>
      <c r="P224">
        <v>1463.5928399398599</v>
      </c>
      <c r="Q224">
        <v>2</v>
      </c>
      <c r="R224">
        <v>2</v>
      </c>
      <c r="S224">
        <v>4</v>
      </c>
      <c r="T224">
        <v>0.13800000000000001</v>
      </c>
      <c r="U224">
        <v>0.14699999999999999</v>
      </c>
      <c r="V224">
        <v>0.13900000000000001</v>
      </c>
      <c r="W224">
        <v>0.14599999999999999</v>
      </c>
      <c r="CB224">
        <f t="shared" si="47"/>
        <v>6.7003571250000005E-2</v>
      </c>
      <c r="CC224">
        <f t="shared" si="46"/>
        <v>98.065947131900259</v>
      </c>
      <c r="CD224">
        <v>6.07084632E-2</v>
      </c>
      <c r="CE224">
        <v>7.3377681299999997E-2</v>
      </c>
      <c r="CF224">
        <v>6.2037798900000003E-2</v>
      </c>
      <c r="CG224">
        <v>7.1890341600000005E-2</v>
      </c>
    </row>
    <row r="225" spans="1:91" x14ac:dyDescent="0.25">
      <c r="A225" s="6">
        <v>178</v>
      </c>
      <c r="B225" s="6">
        <v>2</v>
      </c>
      <c r="C225" t="s">
        <v>138</v>
      </c>
      <c r="D225" t="s">
        <v>216</v>
      </c>
      <c r="E225" t="s">
        <v>192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19360</v>
      </c>
      <c r="P225">
        <v>13790.163684515301</v>
      </c>
      <c r="Q225">
        <v>4</v>
      </c>
      <c r="R225">
        <v>6</v>
      </c>
      <c r="S225">
        <v>10</v>
      </c>
      <c r="T225">
        <v>0.14599999999999999</v>
      </c>
      <c r="U225">
        <v>0.14899999999999999</v>
      </c>
      <c r="V225">
        <v>0.16300000000000001</v>
      </c>
      <c r="W225">
        <v>0.14799999999999999</v>
      </c>
      <c r="X225">
        <v>0.188</v>
      </c>
      <c r="Y225">
        <v>0.16700000000000001</v>
      </c>
      <c r="Z225">
        <v>0.17499999999999999</v>
      </c>
      <c r="AA225">
        <v>0.156</v>
      </c>
      <c r="AB225">
        <v>0.14499999999999999</v>
      </c>
      <c r="AC225">
        <v>0.153</v>
      </c>
      <c r="CB225">
        <f t="shared" si="47"/>
        <v>9.4896537119999999E-2</v>
      </c>
      <c r="CC225">
        <f t="shared" si="46"/>
        <v>1308.6387799784823</v>
      </c>
      <c r="CD225">
        <v>7.1890341600000005E-2</v>
      </c>
      <c r="CE225">
        <v>7.6413621900000006E-2</v>
      </c>
      <c r="CF225">
        <v>0.1000402557</v>
      </c>
      <c r="CG225">
        <v>7.4885395199999996E-2</v>
      </c>
      <c r="CH225">
        <v>0.15349192319999999</v>
      </c>
      <c r="CI225">
        <v>0.1075873953</v>
      </c>
      <c r="CJ225">
        <v>0.1238015625</v>
      </c>
      <c r="CK225">
        <v>8.7697209600000006E-2</v>
      </c>
      <c r="CL225">
        <v>7.0423237499999999E-2</v>
      </c>
      <c r="CM225">
        <v>8.2734428700000001E-2</v>
      </c>
    </row>
    <row r="226" spans="1:91" x14ac:dyDescent="0.25">
      <c r="A226" s="6">
        <v>67</v>
      </c>
      <c r="B226" s="6">
        <v>2</v>
      </c>
      <c r="C226" t="s">
        <v>148</v>
      </c>
      <c r="D226" t="s">
        <v>216</v>
      </c>
      <c r="E226" t="s">
        <v>192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1856</v>
      </c>
      <c r="P226">
        <v>590.19295580127505</v>
      </c>
      <c r="Q226">
        <v>1</v>
      </c>
      <c r="R226">
        <v>0</v>
      </c>
      <c r="S226">
        <v>1</v>
      </c>
      <c r="T226">
        <v>0.158</v>
      </c>
      <c r="CB226">
        <f t="shared" si="47"/>
        <v>9.1113607200000002E-2</v>
      </c>
      <c r="CC226">
        <f t="shared" si="46"/>
        <v>53.774609147084334</v>
      </c>
      <c r="CD226">
        <v>9.1113607200000002E-2</v>
      </c>
    </row>
    <row r="227" spans="1:91" x14ac:dyDescent="0.25">
      <c r="A227" s="6">
        <v>325</v>
      </c>
      <c r="B227" s="6">
        <v>2</v>
      </c>
      <c r="C227" t="s">
        <v>115</v>
      </c>
      <c r="D227" t="s">
        <v>226</v>
      </c>
      <c r="E227" t="s">
        <v>192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6</v>
      </c>
      <c r="P227">
        <v>1.0150727170356699</v>
      </c>
      <c r="Q227">
        <v>6</v>
      </c>
      <c r="R227">
        <v>-1</v>
      </c>
      <c r="S227">
        <v>6</v>
      </c>
      <c r="T227">
        <v>0.13200000000000001</v>
      </c>
      <c r="U227">
        <v>0.129</v>
      </c>
      <c r="V227">
        <v>0.11899999999999999</v>
      </c>
      <c r="W227">
        <v>0.13700000000000001</v>
      </c>
      <c r="X227">
        <v>0.125</v>
      </c>
      <c r="Y227">
        <v>0.128</v>
      </c>
      <c r="CB227">
        <f t="shared" si="47"/>
        <v>4.2511486666666669E-3</v>
      </c>
      <c r="CC227">
        <f t="shared" si="46"/>
        <v>4.3152250275958993E-3</v>
      </c>
      <c r="CD227">
        <v>4.5999359999999998E-3</v>
      </c>
      <c r="CE227">
        <v>4.2933779999999996E-3</v>
      </c>
      <c r="CF227">
        <v>3.3703180000000002E-3</v>
      </c>
      <c r="CG227">
        <v>5.1427060000000004E-3</v>
      </c>
      <c r="CH227">
        <v>3.90625E-3</v>
      </c>
      <c r="CI227">
        <v>4.1943040000000003E-3</v>
      </c>
    </row>
    <row r="228" spans="1:91" x14ac:dyDescent="0.25">
      <c r="A228" s="6">
        <v>311</v>
      </c>
      <c r="B228" s="6">
        <v>2</v>
      </c>
      <c r="C228" t="s">
        <v>117</v>
      </c>
      <c r="D228" t="s">
        <v>226</v>
      </c>
      <c r="E228" t="s">
        <v>192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9</v>
      </c>
      <c r="P228">
        <v>1.96825075620332</v>
      </c>
      <c r="Q228">
        <v>9</v>
      </c>
      <c r="R228">
        <v>-1</v>
      </c>
      <c r="S228">
        <v>9</v>
      </c>
      <c r="T228">
        <v>0.124</v>
      </c>
      <c r="U228">
        <v>0.10199999999999999</v>
      </c>
      <c r="V228">
        <v>0.123</v>
      </c>
      <c r="W228">
        <v>0.13100000000000001</v>
      </c>
      <c r="X228">
        <v>0.129</v>
      </c>
      <c r="Y228">
        <v>0.13900000000000001</v>
      </c>
      <c r="Z228">
        <v>0.121</v>
      </c>
      <c r="AA228">
        <v>0.115</v>
      </c>
      <c r="AB228">
        <v>0.125</v>
      </c>
      <c r="CB228">
        <f t="shared" si="47"/>
        <v>3.8121464444444441E-3</v>
      </c>
      <c r="CC228">
        <f t="shared" si="46"/>
        <v>7.5032601220355747E-3</v>
      </c>
      <c r="CD228">
        <v>3.813248E-3</v>
      </c>
      <c r="CE228">
        <v>2.1224159999999998E-3</v>
      </c>
      <c r="CF228">
        <v>3.721734E-3</v>
      </c>
      <c r="CG228">
        <v>4.4961819999999996E-3</v>
      </c>
      <c r="CH228">
        <v>4.2933779999999996E-3</v>
      </c>
      <c r="CI228">
        <v>5.3712380000000004E-3</v>
      </c>
      <c r="CJ228">
        <v>3.5431220000000001E-3</v>
      </c>
      <c r="CK228">
        <v>3.0417500000000002E-3</v>
      </c>
      <c r="CL228">
        <v>3.90625E-3</v>
      </c>
    </row>
    <row r="229" spans="1:91" x14ac:dyDescent="0.25">
      <c r="A229" s="6">
        <v>282</v>
      </c>
      <c r="B229" s="6">
        <v>2</v>
      </c>
      <c r="C229" t="s">
        <v>123</v>
      </c>
      <c r="D229" t="s">
        <v>226</v>
      </c>
      <c r="E229" t="s">
        <v>192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10</v>
      </c>
      <c r="P229">
        <v>2.8692722134875002</v>
      </c>
      <c r="Q229">
        <v>10</v>
      </c>
      <c r="R229">
        <v>-1</v>
      </c>
      <c r="S229">
        <v>10</v>
      </c>
      <c r="T229">
        <v>0.13400000000000001</v>
      </c>
      <c r="U229">
        <v>0.13900000000000001</v>
      </c>
      <c r="V229">
        <v>0.13500000000000001</v>
      </c>
      <c r="W229">
        <v>0.13400000000000001</v>
      </c>
      <c r="X229">
        <v>0.125</v>
      </c>
      <c r="Y229">
        <v>0.121</v>
      </c>
      <c r="Z229">
        <v>0.122</v>
      </c>
      <c r="AA229">
        <v>0.125</v>
      </c>
      <c r="AB229">
        <v>0.13100000000000001</v>
      </c>
      <c r="AC229">
        <v>0.13</v>
      </c>
      <c r="CB229">
        <f t="shared" si="47"/>
        <v>4.3793904000000005E-3</v>
      </c>
      <c r="CC229">
        <f t="shared" si="46"/>
        <v>1.2565663186733911E-2</v>
      </c>
      <c r="CD229">
        <v>4.8122080000000001E-3</v>
      </c>
      <c r="CE229">
        <v>5.3712380000000004E-3</v>
      </c>
      <c r="CF229">
        <v>4.9207499999999998E-3</v>
      </c>
      <c r="CG229">
        <v>4.8122080000000001E-3</v>
      </c>
      <c r="CH229">
        <v>3.90625E-3</v>
      </c>
      <c r="CI229">
        <v>3.5431220000000001E-3</v>
      </c>
      <c r="CJ229">
        <v>3.6316959999999998E-3</v>
      </c>
      <c r="CK229">
        <v>3.90625E-3</v>
      </c>
      <c r="CL229">
        <v>4.4961819999999996E-3</v>
      </c>
      <c r="CM229">
        <v>4.3940000000000003E-3</v>
      </c>
    </row>
    <row r="230" spans="1:91" x14ac:dyDescent="0.25">
      <c r="A230" s="6">
        <v>270</v>
      </c>
      <c r="B230" s="6">
        <v>2</v>
      </c>
      <c r="C230" t="s">
        <v>125</v>
      </c>
      <c r="D230" t="s">
        <v>226</v>
      </c>
      <c r="E230" t="s">
        <v>192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30</v>
      </c>
      <c r="P230">
        <v>3.6597859865912001</v>
      </c>
      <c r="Q230">
        <v>5</v>
      </c>
      <c r="R230">
        <v>-1</v>
      </c>
      <c r="S230">
        <v>5</v>
      </c>
      <c r="T230">
        <v>0.13200000000000001</v>
      </c>
      <c r="U230">
        <v>0.125</v>
      </c>
      <c r="V230">
        <v>0.121</v>
      </c>
      <c r="W230">
        <v>0.11700000000000001</v>
      </c>
      <c r="X230">
        <v>0.124</v>
      </c>
      <c r="CB230">
        <f t="shared" si="47"/>
        <v>3.8131563999999991E-3</v>
      </c>
      <c r="CC230">
        <f t="shared" si="46"/>
        <v>1.3955336357400545E-2</v>
      </c>
      <c r="CD230">
        <v>4.5999359999999998E-3</v>
      </c>
      <c r="CE230">
        <v>3.90625E-3</v>
      </c>
      <c r="CF230">
        <v>3.5431220000000001E-3</v>
      </c>
      <c r="CG230">
        <v>3.203226E-3</v>
      </c>
      <c r="CH230">
        <v>3.813248E-3</v>
      </c>
    </row>
    <row r="231" spans="1:91" x14ac:dyDescent="0.25">
      <c r="A231" s="6">
        <v>260</v>
      </c>
      <c r="B231" s="6">
        <v>2</v>
      </c>
      <c r="C231" t="s">
        <v>127</v>
      </c>
      <c r="D231" t="s">
        <v>226</v>
      </c>
      <c r="E231" t="s">
        <v>192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3</v>
      </c>
      <c r="P231">
        <v>1.5371101143682999</v>
      </c>
      <c r="Q231">
        <v>3</v>
      </c>
      <c r="R231">
        <v>-1</v>
      </c>
      <c r="S231">
        <v>3</v>
      </c>
      <c r="T231">
        <v>0.10299999999999999</v>
      </c>
      <c r="U231">
        <v>0.11899999999999999</v>
      </c>
      <c r="V231">
        <v>0.123</v>
      </c>
      <c r="CB231">
        <f t="shared" si="47"/>
        <v>3.0925020000000004E-3</v>
      </c>
      <c r="CC231">
        <f t="shared" si="46"/>
        <v>4.7535161029041966E-3</v>
      </c>
      <c r="CD231">
        <v>2.1854539999999999E-3</v>
      </c>
      <c r="CE231">
        <v>3.3703180000000002E-3</v>
      </c>
      <c r="CF231">
        <v>3.721734E-3</v>
      </c>
    </row>
    <row r="232" spans="1:91" x14ac:dyDescent="0.25">
      <c r="A232" s="6">
        <v>297</v>
      </c>
      <c r="B232" s="6">
        <v>2</v>
      </c>
      <c r="C232" t="s">
        <v>129</v>
      </c>
      <c r="D232" t="s">
        <v>226</v>
      </c>
      <c r="E232" t="s">
        <v>192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4.5</v>
      </c>
      <c r="P232">
        <v>2.9344829456122201</v>
      </c>
      <c r="Q232">
        <v>2</v>
      </c>
      <c r="R232">
        <v>-1</v>
      </c>
      <c r="S232">
        <v>2</v>
      </c>
      <c r="T232">
        <v>0.13100000000000001</v>
      </c>
      <c r="U232">
        <v>0.122</v>
      </c>
      <c r="CB232">
        <f t="shared" si="47"/>
        <v>4.0639389999999999E-3</v>
      </c>
      <c r="CC232">
        <f t="shared" si="46"/>
        <v>1.1925559687508381E-2</v>
      </c>
      <c r="CD232">
        <v>4.4961819999999996E-3</v>
      </c>
      <c r="CE232">
        <v>3.6316959999999998E-3</v>
      </c>
    </row>
    <row r="233" spans="1:91" x14ac:dyDescent="0.25">
      <c r="A233" s="6">
        <v>298</v>
      </c>
      <c r="B233" s="6">
        <v>2</v>
      </c>
      <c r="C233" t="s">
        <v>129</v>
      </c>
      <c r="D233" t="s">
        <v>233</v>
      </c>
      <c r="E233" t="s">
        <v>192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2.25</v>
      </c>
      <c r="P233">
        <v>1.4672414728061101</v>
      </c>
      <c r="Q233">
        <v>1</v>
      </c>
      <c r="R233">
        <v>-1</v>
      </c>
      <c r="S233">
        <v>1</v>
      </c>
      <c r="T233">
        <v>8.1000000000000003E-2</v>
      </c>
      <c r="CB233">
        <f t="shared" si="47"/>
        <v>5.5801304999999997E-3</v>
      </c>
      <c r="CC233">
        <f t="shared" si="46"/>
        <v>8.1873988932702948E-3</v>
      </c>
      <c r="CD233">
        <v>5.5801304999999997E-3</v>
      </c>
    </row>
    <row r="234" spans="1:91" x14ac:dyDescent="0.25">
      <c r="A234" s="6">
        <v>312</v>
      </c>
      <c r="B234" s="6">
        <v>2</v>
      </c>
      <c r="C234" t="s">
        <v>117</v>
      </c>
      <c r="D234" t="s">
        <v>230</v>
      </c>
      <c r="E234" t="s">
        <v>192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2</v>
      </c>
      <c r="P234">
        <v>0.43738905693406999</v>
      </c>
      <c r="Q234">
        <v>2</v>
      </c>
      <c r="R234">
        <v>-1</v>
      </c>
      <c r="S234">
        <v>2</v>
      </c>
      <c r="T234">
        <v>8.1000000000000003E-2</v>
      </c>
      <c r="U234">
        <v>9.1999999999999998E-2</v>
      </c>
      <c r="CB234">
        <f t="shared" si="47"/>
        <v>8.6468514000000007E-3</v>
      </c>
      <c r="CC234">
        <f t="shared" si="46"/>
        <v>3.7820381792950429E-3</v>
      </c>
      <c r="CD234">
        <v>7.0150211999999998E-3</v>
      </c>
      <c r="CE234">
        <v>1.0278681600000001E-2</v>
      </c>
    </row>
    <row r="235" spans="1:91" x14ac:dyDescent="0.25">
      <c r="A235" s="6">
        <v>355</v>
      </c>
      <c r="B235" s="6">
        <v>2</v>
      </c>
      <c r="C235" t="s">
        <v>121</v>
      </c>
      <c r="D235" t="s">
        <v>230</v>
      </c>
      <c r="E235" t="s">
        <v>192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13.75</v>
      </c>
      <c r="P235">
        <v>1.6063718621927201</v>
      </c>
      <c r="Q235">
        <v>1</v>
      </c>
      <c r="R235">
        <v>-1</v>
      </c>
      <c r="S235">
        <v>1</v>
      </c>
      <c r="T235">
        <v>8.4000000000000005E-2</v>
      </c>
      <c r="CB235">
        <f t="shared" si="47"/>
        <v>7.8236928000000004E-3</v>
      </c>
      <c r="CC235">
        <f t="shared" si="46"/>
        <v>1.2567759972359777E-2</v>
      </c>
      <c r="CD235">
        <v>7.8236928000000004E-3</v>
      </c>
    </row>
    <row r="236" spans="1:91" x14ac:dyDescent="0.25">
      <c r="A236" s="6">
        <v>271</v>
      </c>
      <c r="B236" s="6">
        <v>2</v>
      </c>
      <c r="C236" t="s">
        <v>125</v>
      </c>
      <c r="D236" t="s">
        <v>230</v>
      </c>
      <c r="E236" t="s">
        <v>192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6</v>
      </c>
      <c r="P236">
        <v>0.73195719731824005</v>
      </c>
      <c r="Q236">
        <v>1</v>
      </c>
      <c r="R236">
        <v>-1</v>
      </c>
      <c r="S236">
        <v>1</v>
      </c>
      <c r="T236">
        <v>8.5000000000000006E-2</v>
      </c>
      <c r="CB236">
        <f t="shared" si="47"/>
        <v>8.1064499999999994E-3</v>
      </c>
      <c r="CC236">
        <f t="shared" si="46"/>
        <v>5.933574422200447E-3</v>
      </c>
      <c r="CD236">
        <v>8.1064499999999994E-3</v>
      </c>
    </row>
    <row r="237" spans="1:91" x14ac:dyDescent="0.25">
      <c r="A237" s="6">
        <v>326</v>
      </c>
      <c r="B237" s="6">
        <v>2</v>
      </c>
      <c r="C237" t="s">
        <v>115</v>
      </c>
      <c r="D237" t="s">
        <v>227</v>
      </c>
      <c r="E237" t="s">
        <v>192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1</v>
      </c>
      <c r="P237">
        <v>0.16917878617261201</v>
      </c>
      <c r="Q237">
        <v>1</v>
      </c>
      <c r="R237">
        <v>-1</v>
      </c>
      <c r="S237">
        <v>1</v>
      </c>
      <c r="T237">
        <v>0.23300000000000001</v>
      </c>
      <c r="CB237">
        <f t="shared" si="47"/>
        <v>4.4272679500000002E-2</v>
      </c>
      <c r="CC237">
        <f t="shared" si="46"/>
        <v>7.4899981784190836E-3</v>
      </c>
      <c r="CD237">
        <v>4.4272679500000002E-2</v>
      </c>
    </row>
    <row r="238" spans="1:91" x14ac:dyDescent="0.25">
      <c r="A238" s="6">
        <v>313</v>
      </c>
      <c r="B238" s="6">
        <v>2</v>
      </c>
      <c r="C238" t="s">
        <v>117</v>
      </c>
      <c r="D238" t="s">
        <v>227</v>
      </c>
      <c r="E238" t="s">
        <v>192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2</v>
      </c>
      <c r="P238">
        <v>0.43738905693406999</v>
      </c>
      <c r="Q238">
        <v>2</v>
      </c>
      <c r="R238">
        <v>-1</v>
      </c>
      <c r="S238">
        <v>2</v>
      </c>
      <c r="T238">
        <v>0.128</v>
      </c>
      <c r="U238">
        <v>0.14299999999999999</v>
      </c>
      <c r="CB238">
        <f t="shared" si="47"/>
        <v>8.7873782500000001E-3</v>
      </c>
      <c r="CC238">
        <f t="shared" si="46"/>
        <v>3.8435030856904585E-3</v>
      </c>
      <c r="CD238">
        <v>7.3400319999999998E-3</v>
      </c>
      <c r="CE238">
        <v>1.02347245E-2</v>
      </c>
    </row>
    <row r="239" spans="1:91" x14ac:dyDescent="0.25">
      <c r="A239" s="6">
        <v>338</v>
      </c>
      <c r="B239" s="6">
        <v>2</v>
      </c>
      <c r="C239" t="s">
        <v>119</v>
      </c>
      <c r="D239" t="s">
        <v>227</v>
      </c>
      <c r="E239" t="s">
        <v>192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187.5</v>
      </c>
      <c r="P239">
        <v>100.37099627405</v>
      </c>
      <c r="Q239">
        <v>6</v>
      </c>
      <c r="R239">
        <v>-1</v>
      </c>
      <c r="S239">
        <v>6</v>
      </c>
      <c r="T239">
        <v>0.38700000000000001</v>
      </c>
      <c r="U239">
        <v>0.19800000000000001</v>
      </c>
      <c r="V239">
        <v>0.20599999999999999</v>
      </c>
      <c r="W239">
        <v>0.189</v>
      </c>
      <c r="X239">
        <v>0.17899999999999999</v>
      </c>
      <c r="Y239">
        <v>0.183</v>
      </c>
      <c r="CB239">
        <f t="shared" si="47"/>
        <v>5.4296611833333341E-2</v>
      </c>
      <c r="CC239">
        <f t="shared" si="46"/>
        <v>5.4498050240170404</v>
      </c>
      <c r="CD239">
        <v>0.2028621105</v>
      </c>
      <c r="CE239">
        <v>2.7168372E-2</v>
      </c>
      <c r="CF239">
        <v>3.0596356000000002E-2</v>
      </c>
      <c r="CG239">
        <v>2.3629441500000001E-2</v>
      </c>
      <c r="CH239">
        <v>2.00736865E-2</v>
      </c>
      <c r="CI239">
        <v>2.14497045E-2</v>
      </c>
    </row>
    <row r="240" spans="1:91" x14ac:dyDescent="0.25">
      <c r="A240" s="6">
        <v>283</v>
      </c>
      <c r="B240" s="6">
        <v>2</v>
      </c>
      <c r="C240" t="s">
        <v>123</v>
      </c>
      <c r="D240" t="s">
        <v>227</v>
      </c>
      <c r="E240" t="s">
        <v>192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3</v>
      </c>
      <c r="P240">
        <v>0.860781664046251</v>
      </c>
      <c r="Q240">
        <v>3</v>
      </c>
      <c r="R240">
        <v>-1</v>
      </c>
      <c r="S240">
        <v>3</v>
      </c>
      <c r="T240">
        <v>0.29899999999999999</v>
      </c>
      <c r="U240">
        <v>0.17100000000000001</v>
      </c>
      <c r="V240">
        <v>0.193</v>
      </c>
      <c r="CB240">
        <f t="shared" si="47"/>
        <v>4.5406861499999999E-2</v>
      </c>
      <c r="CC240">
        <f t="shared" si="46"/>
        <v>3.9085393801087651E-2</v>
      </c>
      <c r="CD240">
        <v>9.3558146499999995E-2</v>
      </c>
      <c r="CE240">
        <v>1.7500738500000002E-2</v>
      </c>
      <c r="CF240">
        <v>2.5161699499999999E-2</v>
      </c>
    </row>
    <row r="241" spans="1:101" x14ac:dyDescent="0.25">
      <c r="A241" s="6">
        <v>261</v>
      </c>
      <c r="B241" s="6">
        <v>2</v>
      </c>
      <c r="C241" t="s">
        <v>127</v>
      </c>
      <c r="D241" t="s">
        <v>227</v>
      </c>
      <c r="E241" t="s">
        <v>192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4</v>
      </c>
      <c r="P241">
        <v>2.04948015249107</v>
      </c>
      <c r="Q241">
        <v>4</v>
      </c>
      <c r="R241">
        <v>-1</v>
      </c>
      <c r="S241">
        <v>4</v>
      </c>
      <c r="T241">
        <v>0.185</v>
      </c>
      <c r="U241">
        <v>0.13400000000000001</v>
      </c>
      <c r="V241">
        <v>0.14299999999999999</v>
      </c>
      <c r="W241">
        <v>0.14799999999999999</v>
      </c>
      <c r="CB241">
        <f t="shared" si="47"/>
        <v>1.3040761999999999E-2</v>
      </c>
      <c r="CC241">
        <f t="shared" si="46"/>
        <v>2.672678289235975E-2</v>
      </c>
      <c r="CD241">
        <v>2.2160687500000002E-2</v>
      </c>
      <c r="CE241">
        <v>8.4213640000000006E-3</v>
      </c>
      <c r="CF241">
        <v>1.02347245E-2</v>
      </c>
      <c r="CG241">
        <v>1.1346271999999999E-2</v>
      </c>
    </row>
    <row r="242" spans="1:101" x14ac:dyDescent="0.25">
      <c r="A242" s="6">
        <v>246</v>
      </c>
      <c r="B242" s="6">
        <v>2</v>
      </c>
      <c r="C242" t="s">
        <v>112</v>
      </c>
      <c r="D242" t="s">
        <v>220</v>
      </c>
      <c r="E242" t="s">
        <v>192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103.5</v>
      </c>
      <c r="P242">
        <v>15.7293259584723</v>
      </c>
      <c r="Q242">
        <v>2</v>
      </c>
      <c r="R242">
        <v>-1</v>
      </c>
      <c r="S242">
        <v>2</v>
      </c>
      <c r="T242">
        <v>0.21199999999999999</v>
      </c>
      <c r="U242">
        <v>0.21099999999999999</v>
      </c>
      <c r="CB242">
        <f t="shared" si="47"/>
        <v>3.3113603249999998E-2</v>
      </c>
      <c r="CC242">
        <f t="shared" si="46"/>
        <v>0.52085465917877771</v>
      </c>
      <c r="CD242">
        <v>3.3348448000000003E-2</v>
      </c>
      <c r="CE242">
        <v>3.2878758500000001E-2</v>
      </c>
    </row>
    <row r="243" spans="1:101" x14ac:dyDescent="0.25">
      <c r="A243" s="6">
        <v>339</v>
      </c>
      <c r="B243" s="6">
        <v>2</v>
      </c>
      <c r="C243" t="s">
        <v>119</v>
      </c>
      <c r="D243" t="s">
        <v>220</v>
      </c>
      <c r="E243" t="s">
        <v>192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218.75</v>
      </c>
      <c r="P243">
        <v>117.099495653058</v>
      </c>
      <c r="Q243">
        <v>7</v>
      </c>
      <c r="R243">
        <v>-1</v>
      </c>
      <c r="S243">
        <v>7</v>
      </c>
      <c r="T243">
        <v>0.25900000000000001</v>
      </c>
      <c r="U243">
        <v>0.249</v>
      </c>
      <c r="V243">
        <v>0.219</v>
      </c>
      <c r="W243">
        <v>0.20300000000000001</v>
      </c>
      <c r="X243">
        <v>0.20699999999999999</v>
      </c>
      <c r="Y243">
        <v>0.23100000000000001</v>
      </c>
      <c r="Z243">
        <v>0.248</v>
      </c>
      <c r="CB243">
        <f t="shared" si="47"/>
        <v>4.4065119999999999E-2</v>
      </c>
      <c r="CC243">
        <f t="shared" si="46"/>
        <v>5.160003327891479</v>
      </c>
      <c r="CD243">
        <v>6.0808926499999999E-2</v>
      </c>
      <c r="CE243">
        <v>5.4033871499999997E-2</v>
      </c>
      <c r="CF243">
        <v>3.6762106500000002E-2</v>
      </c>
      <c r="CG243">
        <v>2.9278994499999999E-2</v>
      </c>
      <c r="CH243">
        <v>3.1044100500000001E-2</v>
      </c>
      <c r="CI243">
        <v>4.31423685E-2</v>
      </c>
      <c r="CJ243">
        <v>5.3385472000000003E-2</v>
      </c>
    </row>
    <row r="244" spans="1:101" x14ac:dyDescent="0.25">
      <c r="A244" s="6">
        <v>299</v>
      </c>
      <c r="B244" s="6">
        <v>2</v>
      </c>
      <c r="C244" t="s">
        <v>129</v>
      </c>
      <c r="D244" t="s">
        <v>220</v>
      </c>
      <c r="E244" t="s">
        <v>192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2.25</v>
      </c>
      <c r="P244">
        <v>1.4672414728061101</v>
      </c>
      <c r="Q244">
        <v>1</v>
      </c>
      <c r="R244">
        <v>-1</v>
      </c>
      <c r="S244">
        <v>1</v>
      </c>
      <c r="T244">
        <v>0.218</v>
      </c>
      <c r="CB244">
        <f t="shared" si="47"/>
        <v>3.6260812000000003E-2</v>
      </c>
      <c r="CC244">
        <f t="shared" si="46"/>
        <v>5.3203367204025472E-2</v>
      </c>
      <c r="CD244">
        <v>3.6260812000000003E-2</v>
      </c>
    </row>
    <row r="245" spans="1:101" x14ac:dyDescent="0.25">
      <c r="A245" s="6">
        <v>262</v>
      </c>
      <c r="B245" s="6">
        <v>2</v>
      </c>
      <c r="C245" t="s">
        <v>127</v>
      </c>
      <c r="D245" t="s">
        <v>228</v>
      </c>
      <c r="E245" t="s">
        <v>192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1</v>
      </c>
      <c r="P245">
        <v>0.51237003812276805</v>
      </c>
      <c r="Q245">
        <v>1</v>
      </c>
      <c r="R245">
        <v>-1</v>
      </c>
      <c r="S245">
        <v>1</v>
      </c>
      <c r="T245">
        <v>0.28899999999999998</v>
      </c>
      <c r="CB245">
        <f t="shared" si="47"/>
        <v>8.4481491500000006E-2</v>
      </c>
      <c r="CC245">
        <f t="shared" si="46"/>
        <v>4.3285785020523306E-2</v>
      </c>
      <c r="CD245">
        <v>8.4481491500000006E-2</v>
      </c>
    </row>
    <row r="246" spans="1:101" x14ac:dyDescent="0.25">
      <c r="A246" s="6">
        <v>247</v>
      </c>
      <c r="B246" s="6">
        <v>2</v>
      </c>
      <c r="C246" t="s">
        <v>112</v>
      </c>
      <c r="D246" t="s">
        <v>221</v>
      </c>
      <c r="E246" t="s">
        <v>192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2121.75</v>
      </c>
      <c r="P246">
        <v>322.45118214868199</v>
      </c>
      <c r="Q246">
        <v>41</v>
      </c>
      <c r="R246">
        <v>-1</v>
      </c>
      <c r="S246">
        <v>41</v>
      </c>
      <c r="T246">
        <v>0.219</v>
      </c>
      <c r="U246">
        <v>0.25</v>
      </c>
      <c r="V246">
        <v>0.23200000000000001</v>
      </c>
      <c r="W246">
        <v>0.219</v>
      </c>
      <c r="X246">
        <v>0.21299999999999999</v>
      </c>
      <c r="Y246">
        <v>0.215</v>
      </c>
      <c r="Z246">
        <v>0.22500000000000001</v>
      </c>
      <c r="AA246">
        <v>0.214</v>
      </c>
      <c r="AB246">
        <v>0.21299999999999999</v>
      </c>
      <c r="AC246">
        <v>0.21299999999999999</v>
      </c>
      <c r="AD246">
        <v>0.216</v>
      </c>
      <c r="AE246">
        <v>0.219</v>
      </c>
      <c r="AF246">
        <v>0.24</v>
      </c>
      <c r="AG246">
        <v>0.221</v>
      </c>
      <c r="AH246">
        <v>0.21199999999999999</v>
      </c>
      <c r="AI246">
        <v>0.217</v>
      </c>
      <c r="AJ246">
        <v>0.23599999999999999</v>
      </c>
      <c r="AK246">
        <v>0.22600000000000001</v>
      </c>
      <c r="AL246">
        <v>0.23499999999999999</v>
      </c>
      <c r="AM246">
        <v>0.24399999999999999</v>
      </c>
      <c r="CB246">
        <f t="shared" si="47"/>
        <v>3.9615934574999997E-2</v>
      </c>
      <c r="CC246">
        <f t="shared" si="46"/>
        <v>12.774204935633593</v>
      </c>
      <c r="CD246">
        <v>3.6762106500000002E-2</v>
      </c>
      <c r="CE246">
        <v>5.46875E-2</v>
      </c>
      <c r="CF246">
        <v>4.3705088000000003E-2</v>
      </c>
      <c r="CG246">
        <v>3.6762106500000002E-2</v>
      </c>
      <c r="CH246">
        <v>3.38225895E-2</v>
      </c>
      <c r="CI246">
        <v>3.4784312499999998E-2</v>
      </c>
      <c r="CJ246">
        <v>3.9867187499999998E-2</v>
      </c>
      <c r="CK246">
        <v>3.4301204000000002E-2</v>
      </c>
      <c r="CL246">
        <v>3.38225895E-2</v>
      </c>
      <c r="CM246">
        <v>3.38225895E-2</v>
      </c>
      <c r="CN246">
        <v>3.5271935999999997E-2</v>
      </c>
      <c r="CO246">
        <v>3.6762106500000002E-2</v>
      </c>
      <c r="CP246">
        <v>4.8384000000000003E-2</v>
      </c>
      <c r="CQ246">
        <v>3.7778513499999999E-2</v>
      </c>
      <c r="CR246">
        <v>3.3348448000000003E-2</v>
      </c>
      <c r="CS246">
        <v>3.5764095500000002E-2</v>
      </c>
      <c r="CT246">
        <v>4.6004896000000003E-2</v>
      </c>
      <c r="CU246">
        <v>4.0401116000000001E-2</v>
      </c>
      <c r="CV246">
        <v>4.5422562499999999E-2</v>
      </c>
      <c r="CW246">
        <v>5.0843744000000003E-2</v>
      </c>
    </row>
    <row r="247" spans="1:101" x14ac:dyDescent="0.25">
      <c r="A247" s="6">
        <v>327</v>
      </c>
      <c r="B247" s="6">
        <v>2</v>
      </c>
      <c r="C247" t="s">
        <v>115</v>
      </c>
      <c r="D247" t="s">
        <v>221</v>
      </c>
      <c r="E247" t="s">
        <v>192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1</v>
      </c>
      <c r="P247">
        <v>0.16917878617261201</v>
      </c>
      <c r="Q247">
        <v>1</v>
      </c>
      <c r="R247">
        <v>-1</v>
      </c>
      <c r="S247">
        <v>1</v>
      </c>
      <c r="T247">
        <v>0.245</v>
      </c>
      <c r="CB247">
        <f t="shared" si="47"/>
        <v>5.1471437500000002E-2</v>
      </c>
      <c r="CC247">
        <f t="shared" si="46"/>
        <v>8.7078753188094635E-3</v>
      </c>
      <c r="CD247">
        <v>5.1471437500000002E-2</v>
      </c>
    </row>
    <row r="248" spans="1:101" x14ac:dyDescent="0.25">
      <c r="A248" s="6">
        <v>314</v>
      </c>
      <c r="B248" s="6">
        <v>2</v>
      </c>
      <c r="C248" t="s">
        <v>117</v>
      </c>
      <c r="D248" t="s">
        <v>221</v>
      </c>
      <c r="E248" t="s">
        <v>192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1</v>
      </c>
      <c r="P248">
        <v>0.21869452846703499</v>
      </c>
      <c r="Q248">
        <v>1</v>
      </c>
      <c r="R248">
        <v>-1</v>
      </c>
      <c r="S248">
        <v>1</v>
      </c>
      <c r="T248">
        <v>0.19</v>
      </c>
      <c r="CB248">
        <f t="shared" si="47"/>
        <v>2.40065E-2</v>
      </c>
      <c r="CC248">
        <f t="shared" si="46"/>
        <v>5.2500901976438759E-3</v>
      </c>
      <c r="CD248">
        <v>2.40065E-2</v>
      </c>
    </row>
    <row r="249" spans="1:101" x14ac:dyDescent="0.25">
      <c r="A249" s="6">
        <v>340</v>
      </c>
      <c r="B249" s="6">
        <v>2</v>
      </c>
      <c r="C249" t="s">
        <v>119</v>
      </c>
      <c r="D249" t="s">
        <v>221</v>
      </c>
      <c r="E249" t="s">
        <v>192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2000</v>
      </c>
      <c r="P249">
        <v>1070.6239602565299</v>
      </c>
      <c r="Q249">
        <v>64</v>
      </c>
      <c r="R249">
        <v>-1</v>
      </c>
      <c r="S249">
        <v>64</v>
      </c>
      <c r="T249">
        <v>0.221</v>
      </c>
      <c r="U249">
        <v>0.217</v>
      </c>
      <c r="V249">
        <v>0.23100000000000001</v>
      </c>
      <c r="W249">
        <v>0.24399999999999999</v>
      </c>
      <c r="X249">
        <v>0.224</v>
      </c>
      <c r="Y249">
        <v>0.23300000000000001</v>
      </c>
      <c r="Z249">
        <v>0.215</v>
      </c>
      <c r="AA249">
        <v>0.28999999999999998</v>
      </c>
      <c r="AB249">
        <v>0.20599999999999999</v>
      </c>
      <c r="AC249">
        <v>0.247</v>
      </c>
      <c r="AD249">
        <v>0.23</v>
      </c>
      <c r="AE249">
        <v>0.224</v>
      </c>
      <c r="AF249">
        <v>0.215</v>
      </c>
      <c r="AG249">
        <v>0.22500000000000001</v>
      </c>
      <c r="AH249">
        <v>0.26700000000000002</v>
      </c>
      <c r="AI249">
        <v>0.24199999999999999</v>
      </c>
      <c r="AJ249">
        <v>0.23200000000000001</v>
      </c>
      <c r="AK249">
        <v>0.20499999999999999</v>
      </c>
      <c r="AL249">
        <v>0.21199999999999999</v>
      </c>
      <c r="AM249">
        <v>0.23300000000000001</v>
      </c>
      <c r="CB249">
        <f t="shared" si="47"/>
        <v>4.3945012475000003E-2</v>
      </c>
      <c r="CC249">
        <f t="shared" si="46"/>
        <v>47.048583289507114</v>
      </c>
      <c r="CD249">
        <v>3.7778513499999999E-2</v>
      </c>
      <c r="CE249">
        <v>3.5764095500000002E-2</v>
      </c>
      <c r="CF249">
        <v>4.31423685E-2</v>
      </c>
      <c r="CG249">
        <v>5.0843744000000003E-2</v>
      </c>
      <c r="CH249">
        <v>3.9337983999999999E-2</v>
      </c>
      <c r="CI249">
        <v>4.4272679500000002E-2</v>
      </c>
      <c r="CJ249">
        <v>3.4784312499999998E-2</v>
      </c>
      <c r="CK249">
        <v>8.5361500000000007E-2</v>
      </c>
      <c r="CL249">
        <v>3.0596356000000002E-2</v>
      </c>
      <c r="CM249">
        <v>5.2742280500000002E-2</v>
      </c>
      <c r="CN249">
        <v>4.2584499999999997E-2</v>
      </c>
      <c r="CO249">
        <v>3.9337983999999999E-2</v>
      </c>
      <c r="CP249">
        <v>3.4784312499999998E-2</v>
      </c>
      <c r="CQ249">
        <v>3.9867187499999998E-2</v>
      </c>
      <c r="CR249">
        <v>6.6619570500000003E-2</v>
      </c>
      <c r="CS249">
        <v>4.9603708000000003E-2</v>
      </c>
      <c r="CT249">
        <v>4.3705088000000003E-2</v>
      </c>
      <c r="CU249">
        <v>3.0152937500000001E-2</v>
      </c>
      <c r="CV249">
        <v>3.3348448000000003E-2</v>
      </c>
      <c r="CW249">
        <v>4.4272679500000002E-2</v>
      </c>
    </row>
    <row r="250" spans="1:101" x14ac:dyDescent="0.25">
      <c r="A250" s="6">
        <v>284</v>
      </c>
      <c r="B250" s="6">
        <v>2</v>
      </c>
      <c r="C250" t="s">
        <v>123</v>
      </c>
      <c r="D250" t="s">
        <v>221</v>
      </c>
      <c r="E250" t="s">
        <v>192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1</v>
      </c>
      <c r="P250">
        <v>0.28692722134874998</v>
      </c>
      <c r="Q250">
        <v>1</v>
      </c>
      <c r="R250">
        <v>-1</v>
      </c>
      <c r="S250">
        <v>1</v>
      </c>
      <c r="T250">
        <v>0.23</v>
      </c>
      <c r="CB250">
        <f t="shared" si="47"/>
        <v>4.2584499999999997E-2</v>
      </c>
      <c r="CC250">
        <f t="shared" si="46"/>
        <v>1.2218652257525843E-2</v>
      </c>
      <c r="CD250">
        <v>4.2584499999999997E-2</v>
      </c>
    </row>
    <row r="251" spans="1:101" x14ac:dyDescent="0.25">
      <c r="A251" s="6">
        <v>248</v>
      </c>
      <c r="B251" s="6">
        <v>2</v>
      </c>
      <c r="C251" t="s">
        <v>112</v>
      </c>
      <c r="D251" t="s">
        <v>222</v>
      </c>
      <c r="E251" t="s">
        <v>192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51.75</v>
      </c>
      <c r="P251">
        <v>7.8646629792361296</v>
      </c>
      <c r="Q251">
        <v>1</v>
      </c>
      <c r="R251">
        <v>-1</v>
      </c>
      <c r="S251">
        <v>1</v>
      </c>
      <c r="T251">
        <v>0.26</v>
      </c>
      <c r="CB251">
        <f t="shared" si="47"/>
        <v>6.1516000000000001E-2</v>
      </c>
      <c r="CC251">
        <f t="shared" si="46"/>
        <v>0.48380260783068973</v>
      </c>
      <c r="CD251">
        <v>6.1516000000000001E-2</v>
      </c>
    </row>
    <row r="252" spans="1:101" x14ac:dyDescent="0.25">
      <c r="A252" s="6">
        <v>341</v>
      </c>
      <c r="B252" s="6">
        <v>2</v>
      </c>
      <c r="C252" t="s">
        <v>119</v>
      </c>
      <c r="D252" t="s">
        <v>234</v>
      </c>
      <c r="E252" t="s">
        <v>192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31.25</v>
      </c>
      <c r="P252">
        <v>16.728499379008301</v>
      </c>
      <c r="Q252">
        <v>1</v>
      </c>
      <c r="R252">
        <v>-1</v>
      </c>
      <c r="S252">
        <v>1</v>
      </c>
      <c r="T252">
        <v>0.14199999999999999</v>
      </c>
      <c r="CB252">
        <f t="shared" si="47"/>
        <v>1.0021508E-2</v>
      </c>
      <c r="CC252">
        <f t="shared" si="46"/>
        <v>0.16764479035472674</v>
      </c>
      <c r="CD252">
        <v>1.0021508E-2</v>
      </c>
    </row>
    <row r="253" spans="1:101" x14ac:dyDescent="0.25">
      <c r="A253" s="6">
        <v>300</v>
      </c>
      <c r="B253" s="6">
        <v>2</v>
      </c>
      <c r="C253" t="s">
        <v>129</v>
      </c>
      <c r="D253" t="s">
        <v>234</v>
      </c>
      <c r="E253" t="s">
        <v>192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2.25</v>
      </c>
      <c r="P253">
        <v>1.4672414728061101</v>
      </c>
      <c r="Q253">
        <v>1</v>
      </c>
      <c r="R253">
        <v>-1</v>
      </c>
      <c r="S253">
        <v>1</v>
      </c>
      <c r="T253">
        <v>0.157</v>
      </c>
      <c r="CB253">
        <f t="shared" si="47"/>
        <v>1.3544625500000001E-2</v>
      </c>
      <c r="CC253">
        <f t="shared" si="46"/>
        <v>1.9873236267227198E-2</v>
      </c>
      <c r="CD253">
        <v>1.3544625500000001E-2</v>
      </c>
    </row>
    <row r="254" spans="1:101" x14ac:dyDescent="0.25">
      <c r="A254" s="6">
        <v>198</v>
      </c>
      <c r="B254" s="6">
        <v>2</v>
      </c>
      <c r="C254" t="s">
        <v>132</v>
      </c>
      <c r="D254" t="s">
        <v>212</v>
      </c>
      <c r="E254" t="s">
        <v>192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784</v>
      </c>
      <c r="P254">
        <v>320.94519831920297</v>
      </c>
      <c r="Q254">
        <v>0</v>
      </c>
      <c r="R254">
        <v>1</v>
      </c>
      <c r="S254">
        <v>1</v>
      </c>
      <c r="T254">
        <v>0.26400000000000001</v>
      </c>
      <c r="CB254">
        <f t="shared" si="47"/>
        <v>0.18399744000000001</v>
      </c>
      <c r="CC254">
        <f t="shared" si="46"/>
        <v>59.053094871025657</v>
      </c>
      <c r="CD254">
        <v>0.18399744000000001</v>
      </c>
    </row>
    <row r="255" spans="1:101" x14ac:dyDescent="0.25">
      <c r="A255" s="6">
        <v>217</v>
      </c>
      <c r="B255" s="6">
        <v>2</v>
      </c>
      <c r="C255" t="s">
        <v>135</v>
      </c>
      <c r="D255" t="s">
        <v>212</v>
      </c>
      <c r="E255" t="s">
        <v>192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1952</v>
      </c>
      <c r="P255">
        <v>731.79641996992996</v>
      </c>
      <c r="Q255">
        <v>1</v>
      </c>
      <c r="R255">
        <v>1</v>
      </c>
      <c r="S255">
        <v>2</v>
      </c>
      <c r="T255">
        <v>0.36599999999999999</v>
      </c>
      <c r="U255">
        <v>0.28000000000000003</v>
      </c>
      <c r="CB255">
        <f t="shared" si="47"/>
        <v>0.35489947999999999</v>
      </c>
      <c r="CC255">
        <f t="shared" si="46"/>
        <v>259.71416891318972</v>
      </c>
      <c r="CD255">
        <v>0.49027895999999999</v>
      </c>
      <c r="CE255">
        <v>0.21951999999999999</v>
      </c>
    </row>
    <row r="256" spans="1:101" x14ac:dyDescent="0.25">
      <c r="A256" s="6">
        <v>161</v>
      </c>
      <c r="B256" s="6">
        <v>2</v>
      </c>
      <c r="C256" t="s">
        <v>136</v>
      </c>
      <c r="D256" t="s">
        <v>212</v>
      </c>
      <c r="E256" t="s">
        <v>192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4480</v>
      </c>
      <c r="P256">
        <v>2573.4776270756402</v>
      </c>
      <c r="Q256">
        <v>6</v>
      </c>
      <c r="R256">
        <v>1</v>
      </c>
      <c r="S256">
        <v>7</v>
      </c>
      <c r="T256">
        <v>0.255</v>
      </c>
      <c r="U256">
        <v>0.35499999999999998</v>
      </c>
      <c r="V256">
        <v>0.30499999999999999</v>
      </c>
      <c r="W256">
        <v>0.20899999999999999</v>
      </c>
      <c r="X256">
        <v>0.26400000000000001</v>
      </c>
      <c r="Y256">
        <v>0.19600000000000001</v>
      </c>
      <c r="Z256">
        <v>0.16600000000000001</v>
      </c>
      <c r="CB256">
        <f t="shared" si="47"/>
        <v>0.18475111428571431</v>
      </c>
      <c r="CC256">
        <f t="shared" si="46"/>
        <v>475.45285919158044</v>
      </c>
      <c r="CD256">
        <v>0.16581375000000001</v>
      </c>
      <c r="CE256">
        <v>0.44738875</v>
      </c>
      <c r="CF256">
        <v>0.28372625000000001</v>
      </c>
      <c r="CG256">
        <v>9.1293289999999999E-2</v>
      </c>
      <c r="CH256">
        <v>0.18399744000000001</v>
      </c>
      <c r="CI256">
        <v>7.5295360000000006E-2</v>
      </c>
      <c r="CJ256">
        <v>4.5742959999999999E-2</v>
      </c>
    </row>
    <row r="257" spans="1:101" x14ac:dyDescent="0.25">
      <c r="A257" s="6">
        <v>179</v>
      </c>
      <c r="B257" s="6">
        <v>2</v>
      </c>
      <c r="C257" t="s">
        <v>138</v>
      </c>
      <c r="D257" t="s">
        <v>212</v>
      </c>
      <c r="E257" t="s">
        <v>192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5808</v>
      </c>
      <c r="P257">
        <v>4137.0491053545902</v>
      </c>
      <c r="Q257">
        <v>1</v>
      </c>
      <c r="R257">
        <v>2</v>
      </c>
      <c r="S257">
        <v>3</v>
      </c>
      <c r="T257">
        <v>0.39200000000000002</v>
      </c>
      <c r="U257">
        <v>0.30499999999999999</v>
      </c>
      <c r="V257">
        <v>0.26</v>
      </c>
      <c r="CB257">
        <f t="shared" si="47"/>
        <v>0.35394970999999997</v>
      </c>
      <c r="CC257">
        <f t="shared" si="46"/>
        <v>1464.3073310960165</v>
      </c>
      <c r="CD257">
        <v>0.60236288000000004</v>
      </c>
      <c r="CE257">
        <v>0.28372625000000001</v>
      </c>
      <c r="CF257">
        <v>0.17576</v>
      </c>
    </row>
    <row r="258" spans="1:101" x14ac:dyDescent="0.25">
      <c r="A258" s="6">
        <v>87</v>
      </c>
      <c r="B258" s="6">
        <v>2</v>
      </c>
      <c r="C258" t="s">
        <v>141</v>
      </c>
      <c r="D258" t="s">
        <v>212</v>
      </c>
      <c r="E258" t="s">
        <v>192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4920</v>
      </c>
      <c r="P258">
        <v>1717.9044453850499</v>
      </c>
      <c r="Q258">
        <v>3</v>
      </c>
      <c r="R258">
        <v>2</v>
      </c>
      <c r="S258">
        <v>5</v>
      </c>
      <c r="T258">
        <v>0.26200000000000001</v>
      </c>
      <c r="U258">
        <v>0.32400000000000001</v>
      </c>
      <c r="V258">
        <v>0.29799999999999999</v>
      </c>
      <c r="W258">
        <v>0.35499999999999998</v>
      </c>
      <c r="X258">
        <v>0.36699999999999999</v>
      </c>
      <c r="CB258">
        <f t="shared" si="47"/>
        <v>0.34526056399999999</v>
      </c>
      <c r="CC258">
        <f t="shared" ref="CC258:CC321" si="48">CB258*P258</f>
        <v>593.12465771174948</v>
      </c>
      <c r="CD258">
        <v>0.17984728</v>
      </c>
      <c r="CE258">
        <v>0.34012224000000002</v>
      </c>
      <c r="CF258">
        <v>0.26463592000000002</v>
      </c>
      <c r="CG258">
        <v>0.44738875</v>
      </c>
      <c r="CH258">
        <v>0.49430863000000003</v>
      </c>
    </row>
    <row r="259" spans="1:101" x14ac:dyDescent="0.25">
      <c r="A259" s="6">
        <v>104</v>
      </c>
      <c r="B259" s="6">
        <v>2</v>
      </c>
      <c r="C259" t="s">
        <v>143</v>
      </c>
      <c r="D259" t="s">
        <v>212</v>
      </c>
      <c r="E259" t="s">
        <v>192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2368</v>
      </c>
      <c r="P259">
        <v>818.80134209591097</v>
      </c>
      <c r="Q259">
        <v>1</v>
      </c>
      <c r="R259">
        <v>0</v>
      </c>
      <c r="S259">
        <v>1</v>
      </c>
      <c r="T259">
        <v>0.27</v>
      </c>
      <c r="CB259">
        <f t="shared" ref="CB259:CB322" si="49">AVERAGE(CD259:CW259)</f>
        <v>0.19683</v>
      </c>
      <c r="CC259">
        <f t="shared" si="48"/>
        <v>161.16466816473817</v>
      </c>
      <c r="CD259">
        <v>0.19683</v>
      </c>
    </row>
    <row r="260" spans="1:101" x14ac:dyDescent="0.25">
      <c r="A260" s="6">
        <v>139</v>
      </c>
      <c r="B260" s="6">
        <v>2</v>
      </c>
      <c r="C260" t="s">
        <v>145</v>
      </c>
      <c r="D260" t="s">
        <v>212</v>
      </c>
      <c r="E260" t="s">
        <v>192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1088</v>
      </c>
      <c r="P260">
        <v>445.39333644297602</v>
      </c>
      <c r="Q260">
        <v>0</v>
      </c>
      <c r="R260">
        <v>2</v>
      </c>
      <c r="S260">
        <v>2</v>
      </c>
      <c r="T260">
        <v>0.33</v>
      </c>
      <c r="U260">
        <v>0.32200000000000001</v>
      </c>
      <c r="CB260">
        <f t="shared" si="49"/>
        <v>0.34661624000000002</v>
      </c>
      <c r="CC260">
        <f t="shared" si="48"/>
        <v>154.38056359891934</v>
      </c>
      <c r="CD260">
        <v>0.35937000000000002</v>
      </c>
      <c r="CE260">
        <v>0.33386248000000002</v>
      </c>
    </row>
    <row r="261" spans="1:101" x14ac:dyDescent="0.25">
      <c r="A261" s="6">
        <v>49</v>
      </c>
      <c r="B261" s="6">
        <v>2</v>
      </c>
      <c r="C261" t="s">
        <v>146</v>
      </c>
      <c r="D261" t="s">
        <v>212</v>
      </c>
      <c r="E261" t="s">
        <v>192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2944</v>
      </c>
      <c r="P261">
        <v>1048.5083132028201</v>
      </c>
      <c r="Q261">
        <v>0</v>
      </c>
      <c r="R261">
        <v>2</v>
      </c>
      <c r="S261">
        <v>2</v>
      </c>
      <c r="T261">
        <v>0.17699999999999999</v>
      </c>
      <c r="U261">
        <v>0.16900000000000001</v>
      </c>
      <c r="CB261">
        <f t="shared" si="49"/>
        <v>5.1860210000000004E-2</v>
      </c>
      <c r="CC261">
        <f t="shared" si="48"/>
        <v>54.375861309444026</v>
      </c>
      <c r="CD261">
        <v>5.5452330000000001E-2</v>
      </c>
      <c r="CE261">
        <v>4.826809E-2</v>
      </c>
    </row>
    <row r="262" spans="1:101" x14ac:dyDescent="0.25">
      <c r="A262" s="6">
        <v>68</v>
      </c>
      <c r="B262" s="6">
        <v>2</v>
      </c>
      <c r="C262" t="s">
        <v>148</v>
      </c>
      <c r="D262" t="s">
        <v>212</v>
      </c>
      <c r="E262" t="s">
        <v>192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1856</v>
      </c>
      <c r="P262">
        <v>590.19295580127505</v>
      </c>
      <c r="Q262">
        <v>0</v>
      </c>
      <c r="R262">
        <v>1</v>
      </c>
      <c r="S262">
        <v>1</v>
      </c>
      <c r="T262">
        <v>0.29499999999999998</v>
      </c>
      <c r="CB262">
        <f t="shared" si="49"/>
        <v>0.25672374999999997</v>
      </c>
      <c r="CC262">
        <f t="shared" si="48"/>
        <v>151.51654883688758</v>
      </c>
      <c r="CD262">
        <v>0.25672374999999997</v>
      </c>
    </row>
    <row r="263" spans="1:101" x14ac:dyDescent="0.25">
      <c r="A263" s="6">
        <v>233</v>
      </c>
      <c r="B263" s="6">
        <v>2</v>
      </c>
      <c r="C263" t="s">
        <v>150</v>
      </c>
      <c r="D263" t="s">
        <v>212</v>
      </c>
      <c r="E263" t="s">
        <v>192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544</v>
      </c>
      <c r="P263">
        <v>193.74610135269501</v>
      </c>
      <c r="Q263">
        <v>0</v>
      </c>
      <c r="R263">
        <v>1</v>
      </c>
      <c r="S263">
        <v>1</v>
      </c>
      <c r="T263">
        <v>0.24099999999999999</v>
      </c>
      <c r="CB263">
        <f t="shared" si="49"/>
        <v>0.13997520999999999</v>
      </c>
      <c r="CC263">
        <f t="shared" si="48"/>
        <v>27.119651223524766</v>
      </c>
      <c r="CD263">
        <v>0.13997520999999999</v>
      </c>
    </row>
    <row r="264" spans="1:101" x14ac:dyDescent="0.25">
      <c r="A264" s="6">
        <v>30</v>
      </c>
      <c r="B264" s="6">
        <v>2</v>
      </c>
      <c r="C264" t="s">
        <v>152</v>
      </c>
      <c r="D264" t="s">
        <v>212</v>
      </c>
      <c r="E264" t="s">
        <v>192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672</v>
      </c>
      <c r="P264">
        <v>357.21405868363303</v>
      </c>
      <c r="Q264">
        <v>1</v>
      </c>
      <c r="R264">
        <v>3</v>
      </c>
      <c r="S264">
        <v>4</v>
      </c>
      <c r="T264">
        <v>0.28199999999999997</v>
      </c>
      <c r="U264">
        <v>0.42599999999999999</v>
      </c>
      <c r="V264">
        <v>0.30299999999999999</v>
      </c>
      <c r="W264">
        <v>0.316</v>
      </c>
      <c r="CB264">
        <f t="shared" si="49"/>
        <v>0.39776791750000001</v>
      </c>
      <c r="CC264">
        <f t="shared" si="48"/>
        <v>142.08829222431152</v>
      </c>
      <c r="CD264">
        <v>0.22425767999999999</v>
      </c>
      <c r="CE264">
        <v>0.77308776000000001</v>
      </c>
      <c r="CF264">
        <v>0.27818126999999998</v>
      </c>
      <c r="CG264">
        <v>0.31554495999999999</v>
      </c>
    </row>
    <row r="265" spans="1:101" x14ac:dyDescent="0.25">
      <c r="A265" s="6">
        <v>88</v>
      </c>
      <c r="B265" s="6">
        <v>2</v>
      </c>
      <c r="C265" t="s">
        <v>141</v>
      </c>
      <c r="D265" t="s">
        <v>206</v>
      </c>
      <c r="E265" t="s">
        <v>192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984</v>
      </c>
      <c r="P265">
        <v>343.58088907701</v>
      </c>
      <c r="Q265">
        <v>1</v>
      </c>
      <c r="R265">
        <v>0</v>
      </c>
      <c r="S265">
        <v>1</v>
      </c>
      <c r="T265">
        <v>0.17599999999999999</v>
      </c>
      <c r="CB265">
        <f t="shared" si="49"/>
        <v>5.4517759999999998E-2</v>
      </c>
      <c r="CC265">
        <f t="shared" si="48"/>
        <v>18.731260451287053</v>
      </c>
      <c r="CD265">
        <v>5.4517759999999998E-2</v>
      </c>
    </row>
    <row r="266" spans="1:101" x14ac:dyDescent="0.25">
      <c r="A266" s="6">
        <v>140</v>
      </c>
      <c r="B266" s="6">
        <v>2</v>
      </c>
      <c r="C266" t="s">
        <v>145</v>
      </c>
      <c r="D266" t="s">
        <v>206</v>
      </c>
      <c r="E266" t="s">
        <v>192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3264</v>
      </c>
      <c r="P266">
        <v>1336.1800093289301</v>
      </c>
      <c r="Q266">
        <v>5</v>
      </c>
      <c r="R266">
        <v>1</v>
      </c>
      <c r="S266">
        <v>6</v>
      </c>
      <c r="T266">
        <v>0.19800000000000001</v>
      </c>
      <c r="U266">
        <v>0.13300000000000001</v>
      </c>
      <c r="V266">
        <v>0.20899999999999999</v>
      </c>
      <c r="W266">
        <v>0.185</v>
      </c>
      <c r="X266">
        <v>0.23200000000000001</v>
      </c>
      <c r="Y266">
        <v>0.128</v>
      </c>
      <c r="CB266">
        <f t="shared" si="49"/>
        <v>6.6933838333333343E-2</v>
      </c>
      <c r="CC266">
        <f t="shared" si="48"/>
        <v>89.435656728654436</v>
      </c>
      <c r="CD266">
        <v>7.7623919999999999E-2</v>
      </c>
      <c r="CE266">
        <v>2.3526370000000001E-2</v>
      </c>
      <c r="CF266">
        <v>9.1293289999999999E-2</v>
      </c>
      <c r="CG266">
        <v>6.3316250000000004E-2</v>
      </c>
      <c r="CH266">
        <v>0.12487168</v>
      </c>
      <c r="CI266">
        <v>2.097152E-2</v>
      </c>
    </row>
    <row r="267" spans="1:101" x14ac:dyDescent="0.25">
      <c r="A267" s="6">
        <v>14</v>
      </c>
      <c r="B267" s="6">
        <v>2</v>
      </c>
      <c r="C267" t="s">
        <v>151</v>
      </c>
      <c r="D267" t="s">
        <v>206</v>
      </c>
      <c r="E267" t="s">
        <v>192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2080</v>
      </c>
      <c r="P267">
        <v>841.81126924633304</v>
      </c>
      <c r="Q267">
        <v>0</v>
      </c>
      <c r="R267">
        <v>2</v>
      </c>
      <c r="S267">
        <v>2</v>
      </c>
      <c r="T267">
        <v>0.13700000000000001</v>
      </c>
      <c r="U267">
        <v>0.13600000000000001</v>
      </c>
      <c r="CB267">
        <f t="shared" si="49"/>
        <v>2.5434044999999999E-2</v>
      </c>
      <c r="CC267">
        <f t="shared" si="48"/>
        <v>21.410665703518351</v>
      </c>
      <c r="CD267">
        <v>2.5713529999999998E-2</v>
      </c>
      <c r="CE267">
        <v>2.5154559999999999E-2</v>
      </c>
    </row>
    <row r="268" spans="1:101" x14ac:dyDescent="0.25">
      <c r="A268" s="6">
        <v>199</v>
      </c>
      <c r="B268" s="6">
        <v>2</v>
      </c>
      <c r="C268" t="s">
        <v>132</v>
      </c>
      <c r="D268" t="s">
        <v>207</v>
      </c>
      <c r="E268" t="s">
        <v>192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5488</v>
      </c>
      <c r="P268">
        <v>2246.6163882344199</v>
      </c>
      <c r="Q268">
        <v>2</v>
      </c>
      <c r="R268">
        <v>5</v>
      </c>
      <c r="S268">
        <v>7</v>
      </c>
      <c r="T268">
        <v>0.14699999999999999</v>
      </c>
      <c r="U268">
        <v>0.21</v>
      </c>
      <c r="V268">
        <v>0.13200000000000001</v>
      </c>
      <c r="W268">
        <v>0.11</v>
      </c>
      <c r="X268">
        <v>0.123</v>
      </c>
      <c r="Y268">
        <v>9.8000000000000004E-2</v>
      </c>
      <c r="Z268">
        <v>8.4000000000000005E-2</v>
      </c>
      <c r="CB268">
        <f t="shared" si="49"/>
        <v>2.7804648571428565E-2</v>
      </c>
      <c r="CC268">
        <f t="shared" si="48"/>
        <v>62.466379149670168</v>
      </c>
      <c r="CD268">
        <v>3.1765229999999998E-2</v>
      </c>
      <c r="CE268">
        <v>9.2609999999999998E-2</v>
      </c>
      <c r="CF268">
        <v>2.2999680000000002E-2</v>
      </c>
      <c r="CG268">
        <v>1.3310000000000001E-2</v>
      </c>
      <c r="CH268">
        <v>1.8608670000000001E-2</v>
      </c>
      <c r="CI268">
        <v>9.4119200000000007E-3</v>
      </c>
      <c r="CJ268">
        <v>5.9270399999999997E-3</v>
      </c>
    </row>
    <row r="269" spans="1:101" x14ac:dyDescent="0.25">
      <c r="A269" s="6">
        <v>89</v>
      </c>
      <c r="B269" s="6">
        <v>2</v>
      </c>
      <c r="C269" t="s">
        <v>141</v>
      </c>
      <c r="D269" t="s">
        <v>207</v>
      </c>
      <c r="E269" t="s">
        <v>192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1968</v>
      </c>
      <c r="P269">
        <v>687.16177815402</v>
      </c>
      <c r="Q269">
        <v>1</v>
      </c>
      <c r="R269">
        <v>1</v>
      </c>
      <c r="S269">
        <v>2</v>
      </c>
      <c r="T269">
        <v>0.13900000000000001</v>
      </c>
      <c r="U269">
        <v>0.10299999999999999</v>
      </c>
      <c r="CB269">
        <f t="shared" si="49"/>
        <v>1.8891729999999999E-2</v>
      </c>
      <c r="CC269">
        <f t="shared" si="48"/>
        <v>12.981674779205644</v>
      </c>
      <c r="CD269">
        <v>2.6856189999999999E-2</v>
      </c>
      <c r="CE269">
        <v>1.0927269999999999E-2</v>
      </c>
    </row>
    <row r="270" spans="1:101" x14ac:dyDescent="0.25">
      <c r="A270" s="6">
        <v>105</v>
      </c>
      <c r="B270" s="6">
        <v>2</v>
      </c>
      <c r="C270" t="s">
        <v>143</v>
      </c>
      <c r="D270" t="s">
        <v>207</v>
      </c>
      <c r="E270" t="s">
        <v>192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7104</v>
      </c>
      <c r="P270">
        <v>2456.4040262877302</v>
      </c>
      <c r="Q270">
        <v>1</v>
      </c>
      <c r="R270">
        <v>2</v>
      </c>
      <c r="S270">
        <v>3</v>
      </c>
      <c r="T270">
        <v>0.1</v>
      </c>
      <c r="U270">
        <v>9.8000000000000004E-2</v>
      </c>
      <c r="V270">
        <v>0.108</v>
      </c>
      <c r="CB270">
        <f t="shared" si="49"/>
        <v>1.0669680000000001E-2</v>
      </c>
      <c r="CC270">
        <f t="shared" si="48"/>
        <v>26.209044911201669</v>
      </c>
      <c r="CD270">
        <v>0.01</v>
      </c>
      <c r="CE270">
        <v>9.4119200000000007E-3</v>
      </c>
      <c r="CF270">
        <v>1.259712E-2</v>
      </c>
    </row>
    <row r="271" spans="1:101" x14ac:dyDescent="0.25">
      <c r="A271" s="6">
        <v>122</v>
      </c>
      <c r="B271" s="6">
        <v>2</v>
      </c>
      <c r="C271" t="s">
        <v>144</v>
      </c>
      <c r="D271" t="s">
        <v>207</v>
      </c>
      <c r="E271" t="s">
        <v>192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3584</v>
      </c>
      <c r="P271">
        <v>1501.6998859170801</v>
      </c>
      <c r="Q271">
        <v>1</v>
      </c>
      <c r="R271">
        <v>3</v>
      </c>
      <c r="S271">
        <v>4</v>
      </c>
      <c r="T271">
        <v>0.11</v>
      </c>
      <c r="U271">
        <v>0.121</v>
      </c>
      <c r="V271">
        <v>0.18</v>
      </c>
      <c r="W271">
        <v>0.113</v>
      </c>
      <c r="CB271">
        <f t="shared" si="49"/>
        <v>2.5943644999999998E-2</v>
      </c>
      <c r="CC271">
        <f t="shared" si="48"/>
        <v>38.959568736773221</v>
      </c>
      <c r="CD271">
        <v>1.3310000000000001E-2</v>
      </c>
      <c r="CE271">
        <v>1.771561E-2</v>
      </c>
      <c r="CF271">
        <v>5.8319999999999997E-2</v>
      </c>
      <c r="CG271">
        <v>1.4428969999999999E-2</v>
      </c>
    </row>
    <row r="272" spans="1:101" x14ac:dyDescent="0.25">
      <c r="A272" s="6">
        <v>141</v>
      </c>
      <c r="B272" s="6">
        <v>2</v>
      </c>
      <c r="C272" t="s">
        <v>145</v>
      </c>
      <c r="D272" t="s">
        <v>207</v>
      </c>
      <c r="E272" t="s">
        <v>192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17408</v>
      </c>
      <c r="P272">
        <v>7126.29338308761</v>
      </c>
      <c r="Q272">
        <v>14</v>
      </c>
      <c r="R272">
        <v>18</v>
      </c>
      <c r="S272">
        <v>32</v>
      </c>
      <c r="T272">
        <v>9.7000000000000003E-2</v>
      </c>
      <c r="U272">
        <v>0.111</v>
      </c>
      <c r="V272">
        <v>0.105</v>
      </c>
      <c r="W272">
        <v>0.11</v>
      </c>
      <c r="X272">
        <v>0.12</v>
      </c>
      <c r="Y272">
        <v>0.122</v>
      </c>
      <c r="Z272">
        <v>0.106</v>
      </c>
      <c r="AA272">
        <v>0.11899999999999999</v>
      </c>
      <c r="AB272">
        <v>0.11600000000000001</v>
      </c>
      <c r="AC272">
        <v>0.123</v>
      </c>
      <c r="AD272">
        <v>0.13300000000000001</v>
      </c>
      <c r="AE272">
        <v>0.125</v>
      </c>
      <c r="AF272">
        <v>0.129</v>
      </c>
      <c r="AG272">
        <v>0.107</v>
      </c>
      <c r="AH272">
        <v>0.125</v>
      </c>
      <c r="AI272">
        <v>0.129</v>
      </c>
      <c r="AJ272">
        <v>0.127</v>
      </c>
      <c r="AK272">
        <v>0.13400000000000001</v>
      </c>
      <c r="AL272">
        <v>0.12</v>
      </c>
      <c r="AM272">
        <v>0.13700000000000001</v>
      </c>
      <c r="CB272">
        <f t="shared" si="49"/>
        <v>1.7570931499999998E-2</v>
      </c>
      <c r="CC272">
        <f t="shared" si="48"/>
        <v>125.21561288313563</v>
      </c>
      <c r="CD272">
        <v>9.1267299999999996E-3</v>
      </c>
      <c r="CE272">
        <v>1.3676310000000001E-2</v>
      </c>
      <c r="CF272">
        <v>1.157625E-2</v>
      </c>
      <c r="CG272">
        <v>1.3310000000000001E-2</v>
      </c>
      <c r="CH272">
        <v>1.728E-2</v>
      </c>
      <c r="CI272">
        <v>1.8158480000000001E-2</v>
      </c>
      <c r="CJ272">
        <v>1.1910159999999999E-2</v>
      </c>
      <c r="CK272">
        <v>1.685159E-2</v>
      </c>
      <c r="CL272">
        <v>1.560896E-2</v>
      </c>
      <c r="CM272">
        <v>1.8608670000000001E-2</v>
      </c>
      <c r="CN272">
        <v>2.3526370000000001E-2</v>
      </c>
      <c r="CO272">
        <v>1.953125E-2</v>
      </c>
      <c r="CP272">
        <v>2.1466889999999999E-2</v>
      </c>
      <c r="CQ272">
        <v>1.225043E-2</v>
      </c>
      <c r="CR272">
        <v>1.953125E-2</v>
      </c>
      <c r="CS272">
        <v>2.1466889999999999E-2</v>
      </c>
      <c r="CT272">
        <v>2.0483830000000001E-2</v>
      </c>
      <c r="CU272">
        <v>2.4061039999999999E-2</v>
      </c>
      <c r="CV272">
        <v>1.728E-2</v>
      </c>
      <c r="CW272">
        <v>2.5713529999999998E-2</v>
      </c>
    </row>
    <row r="273" spans="1:101" x14ac:dyDescent="0.25">
      <c r="A273" s="6">
        <v>50</v>
      </c>
      <c r="B273" s="6">
        <v>2</v>
      </c>
      <c r="C273" t="s">
        <v>146</v>
      </c>
      <c r="D273" t="s">
        <v>207</v>
      </c>
      <c r="E273" t="s">
        <v>192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30912</v>
      </c>
      <c r="P273">
        <v>11009.3372886296</v>
      </c>
      <c r="Q273">
        <v>16</v>
      </c>
      <c r="R273">
        <v>5</v>
      </c>
      <c r="S273">
        <v>21</v>
      </c>
      <c r="T273">
        <v>0.13500000000000001</v>
      </c>
      <c r="U273">
        <v>0.15</v>
      </c>
      <c r="V273">
        <v>9.9000000000000005E-2</v>
      </c>
      <c r="W273">
        <v>0.127</v>
      </c>
      <c r="X273">
        <v>9.5000000000000001E-2</v>
      </c>
      <c r="Y273">
        <v>0.154</v>
      </c>
      <c r="Z273">
        <v>0.126</v>
      </c>
      <c r="AA273">
        <v>0.13400000000000001</v>
      </c>
      <c r="AB273">
        <v>0.14299999999999999</v>
      </c>
      <c r="AC273">
        <v>0.13400000000000001</v>
      </c>
      <c r="AD273">
        <v>0.14000000000000001</v>
      </c>
      <c r="AE273">
        <v>8.5000000000000006E-2</v>
      </c>
      <c r="AF273">
        <v>0.14000000000000001</v>
      </c>
      <c r="AG273">
        <v>0.13700000000000001</v>
      </c>
      <c r="AH273">
        <v>0.14699999999999999</v>
      </c>
      <c r="AI273">
        <v>0.09</v>
      </c>
      <c r="AJ273">
        <v>0.1</v>
      </c>
      <c r="AK273">
        <v>0.129</v>
      </c>
      <c r="AL273">
        <v>0.19600000000000001</v>
      </c>
      <c r="AM273">
        <v>0.10100000000000001</v>
      </c>
      <c r="CB273">
        <f t="shared" si="49"/>
        <v>2.3693007000000006E-2</v>
      </c>
      <c r="CC273">
        <f t="shared" si="48"/>
        <v>260.84430544486219</v>
      </c>
      <c r="CD273">
        <v>2.4603750000000001E-2</v>
      </c>
      <c r="CE273">
        <v>3.3750000000000002E-2</v>
      </c>
      <c r="CF273">
        <v>9.7029899999999999E-3</v>
      </c>
      <c r="CG273">
        <v>2.0483830000000001E-2</v>
      </c>
      <c r="CH273">
        <v>8.5737499999999998E-3</v>
      </c>
      <c r="CI273">
        <v>3.6522640000000002E-2</v>
      </c>
      <c r="CJ273">
        <v>2.0003759999999999E-2</v>
      </c>
      <c r="CK273">
        <v>2.4061039999999999E-2</v>
      </c>
      <c r="CL273">
        <v>2.9242069999999998E-2</v>
      </c>
      <c r="CM273">
        <v>2.4061039999999999E-2</v>
      </c>
      <c r="CN273">
        <v>2.7439999999999999E-2</v>
      </c>
      <c r="CO273">
        <v>6.14125E-3</v>
      </c>
      <c r="CP273">
        <v>2.7439999999999999E-2</v>
      </c>
      <c r="CQ273">
        <v>2.5713529999999998E-2</v>
      </c>
      <c r="CR273">
        <v>3.1765229999999998E-2</v>
      </c>
      <c r="CS273">
        <v>7.2899999999999996E-3</v>
      </c>
      <c r="CT273">
        <v>0.01</v>
      </c>
      <c r="CU273">
        <v>2.1466889999999999E-2</v>
      </c>
      <c r="CV273">
        <v>7.5295360000000006E-2</v>
      </c>
      <c r="CW273">
        <v>1.030301E-2</v>
      </c>
    </row>
    <row r="274" spans="1:101" x14ac:dyDescent="0.25">
      <c r="A274" s="6">
        <v>69</v>
      </c>
      <c r="B274" s="6">
        <v>2</v>
      </c>
      <c r="C274" t="s">
        <v>148</v>
      </c>
      <c r="D274" t="s">
        <v>207</v>
      </c>
      <c r="E274" t="s">
        <v>192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1856</v>
      </c>
      <c r="P274">
        <v>590.19295580127505</v>
      </c>
      <c r="Q274">
        <v>1</v>
      </c>
      <c r="R274">
        <v>0</v>
      </c>
      <c r="S274">
        <v>1</v>
      </c>
      <c r="T274">
        <v>0.104</v>
      </c>
      <c r="CB274">
        <f t="shared" si="49"/>
        <v>1.1248640000000001E-2</v>
      </c>
      <c r="CC274">
        <f t="shared" si="48"/>
        <v>6.638868090344455</v>
      </c>
      <c r="CD274">
        <v>1.1248640000000001E-2</v>
      </c>
    </row>
    <row r="275" spans="1:101" x14ac:dyDescent="0.25">
      <c r="A275" s="6">
        <v>234</v>
      </c>
      <c r="B275" s="6">
        <v>2</v>
      </c>
      <c r="C275" t="s">
        <v>150</v>
      </c>
      <c r="D275" t="s">
        <v>207</v>
      </c>
      <c r="E275" t="s">
        <v>192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1088</v>
      </c>
      <c r="P275">
        <v>387.49220270538899</v>
      </c>
      <c r="Q275">
        <v>2</v>
      </c>
      <c r="R275">
        <v>0</v>
      </c>
      <c r="S275">
        <v>2</v>
      </c>
      <c r="T275">
        <v>0.13500000000000001</v>
      </c>
      <c r="U275">
        <v>0.17</v>
      </c>
      <c r="CB275">
        <f t="shared" si="49"/>
        <v>3.6866875E-2</v>
      </c>
      <c r="CC275">
        <f t="shared" si="48"/>
        <v>14.285626600614238</v>
      </c>
      <c r="CD275">
        <v>2.4603750000000001E-2</v>
      </c>
      <c r="CE275">
        <v>4.913E-2</v>
      </c>
    </row>
    <row r="276" spans="1:101" x14ac:dyDescent="0.25">
      <c r="A276" s="6">
        <v>15</v>
      </c>
      <c r="B276" s="6">
        <v>2</v>
      </c>
      <c r="C276" t="s">
        <v>151</v>
      </c>
      <c r="D276" t="s">
        <v>207</v>
      </c>
      <c r="E276" t="s">
        <v>192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19760</v>
      </c>
      <c r="P276">
        <v>7997.2070578401699</v>
      </c>
      <c r="Q276">
        <v>10</v>
      </c>
      <c r="R276">
        <v>9</v>
      </c>
      <c r="S276">
        <v>19</v>
      </c>
      <c r="T276">
        <v>0.114</v>
      </c>
      <c r="U276">
        <v>0.13100000000000001</v>
      </c>
      <c r="V276">
        <v>0.108</v>
      </c>
      <c r="W276">
        <v>0.126</v>
      </c>
      <c r="X276">
        <v>0.13700000000000001</v>
      </c>
      <c r="Y276">
        <v>0.14000000000000001</v>
      </c>
      <c r="Z276">
        <v>0.13900000000000001</v>
      </c>
      <c r="AA276">
        <v>0.13500000000000001</v>
      </c>
      <c r="AB276">
        <v>0.13300000000000001</v>
      </c>
      <c r="AC276">
        <v>0.14799999999999999</v>
      </c>
      <c r="AD276">
        <v>0.14199999999999999</v>
      </c>
      <c r="AE276">
        <v>0.13800000000000001</v>
      </c>
      <c r="AF276">
        <v>0.13500000000000001</v>
      </c>
      <c r="AG276">
        <v>0.154</v>
      </c>
      <c r="AH276">
        <v>0.14099999999999999</v>
      </c>
      <c r="AI276">
        <v>0.122</v>
      </c>
      <c r="AJ276">
        <v>0.154</v>
      </c>
      <c r="AK276">
        <v>0.111</v>
      </c>
      <c r="AL276">
        <v>0.14699999999999999</v>
      </c>
      <c r="CB276">
        <f t="shared" si="49"/>
        <v>2.4981571052631574E-2</v>
      </c>
      <c r="CC276">
        <f t="shared" si="48"/>
        <v>199.7827963380409</v>
      </c>
      <c r="CD276">
        <v>1.4815439999999999E-2</v>
      </c>
      <c r="CE276">
        <v>2.248091E-2</v>
      </c>
      <c r="CF276">
        <v>1.259712E-2</v>
      </c>
      <c r="CG276">
        <v>2.0003759999999999E-2</v>
      </c>
      <c r="CH276">
        <v>2.5713529999999998E-2</v>
      </c>
      <c r="CI276">
        <v>2.7439999999999999E-2</v>
      </c>
      <c r="CJ276">
        <v>2.6856189999999999E-2</v>
      </c>
      <c r="CK276">
        <v>2.4603750000000001E-2</v>
      </c>
      <c r="CL276">
        <v>2.3526370000000001E-2</v>
      </c>
      <c r="CM276">
        <v>3.2417920000000003E-2</v>
      </c>
      <c r="CN276">
        <v>2.8632879999999999E-2</v>
      </c>
      <c r="CO276">
        <v>2.628072E-2</v>
      </c>
      <c r="CP276">
        <v>2.4603750000000001E-2</v>
      </c>
      <c r="CQ276">
        <v>3.6522640000000002E-2</v>
      </c>
      <c r="CR276">
        <v>2.8032209999999998E-2</v>
      </c>
      <c r="CS276">
        <v>1.8158480000000001E-2</v>
      </c>
      <c r="CT276">
        <v>3.6522640000000002E-2</v>
      </c>
      <c r="CU276">
        <v>1.3676310000000001E-2</v>
      </c>
      <c r="CV276">
        <v>3.1765229999999998E-2</v>
      </c>
    </row>
    <row r="277" spans="1:101" x14ac:dyDescent="0.25">
      <c r="A277" s="6">
        <v>31</v>
      </c>
      <c r="B277" s="6">
        <v>2</v>
      </c>
      <c r="C277" t="s">
        <v>152</v>
      </c>
      <c r="D277" t="s">
        <v>207</v>
      </c>
      <c r="E277" t="s">
        <v>192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672</v>
      </c>
      <c r="P277">
        <v>357.21405868363303</v>
      </c>
      <c r="Q277">
        <v>3</v>
      </c>
      <c r="R277">
        <v>1</v>
      </c>
      <c r="S277">
        <v>4</v>
      </c>
      <c r="T277">
        <v>0.20399999999999999</v>
      </c>
      <c r="U277">
        <v>0.17499999999999999</v>
      </c>
      <c r="V277">
        <v>0.13200000000000001</v>
      </c>
      <c r="W277">
        <v>0.104</v>
      </c>
      <c r="CB277">
        <f t="shared" si="49"/>
        <v>4.3184677499999997E-2</v>
      </c>
      <c r="CC277">
        <f t="shared" si="48"/>
        <v>15.426173922718766</v>
      </c>
      <c r="CD277">
        <v>8.4896639999999995E-2</v>
      </c>
      <c r="CE277">
        <v>5.3593750000000002E-2</v>
      </c>
      <c r="CF277">
        <v>2.2999680000000002E-2</v>
      </c>
      <c r="CG277">
        <v>1.1248640000000001E-2</v>
      </c>
    </row>
    <row r="278" spans="1:101" x14ac:dyDescent="0.25">
      <c r="A278" s="6">
        <v>249</v>
      </c>
      <c r="B278" s="6">
        <v>2</v>
      </c>
      <c r="C278" t="s">
        <v>112</v>
      </c>
      <c r="D278" t="s">
        <v>223</v>
      </c>
      <c r="E278" t="s">
        <v>192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517.5</v>
      </c>
      <c r="P278">
        <v>78.646629792361395</v>
      </c>
      <c r="Q278">
        <v>10</v>
      </c>
      <c r="R278">
        <v>-1</v>
      </c>
      <c r="S278">
        <v>10</v>
      </c>
      <c r="T278">
        <v>0.11700000000000001</v>
      </c>
      <c r="U278">
        <v>0.127</v>
      </c>
      <c r="V278">
        <v>0.122</v>
      </c>
      <c r="W278">
        <v>0.129</v>
      </c>
      <c r="X278">
        <v>0.124</v>
      </c>
      <c r="Y278">
        <v>0.13600000000000001</v>
      </c>
      <c r="Z278">
        <v>0.128</v>
      </c>
      <c r="AA278">
        <v>0.13300000000000001</v>
      </c>
      <c r="AB278">
        <v>0.114</v>
      </c>
      <c r="AC278">
        <v>0.124</v>
      </c>
      <c r="CB278">
        <f t="shared" si="49"/>
        <v>6.1207515599999998E-2</v>
      </c>
      <c r="CC278">
        <f t="shared" si="48"/>
        <v>4.8137648199033851</v>
      </c>
      <c r="CD278">
        <v>4.9329680399999999E-2</v>
      </c>
      <c r="CE278">
        <v>6.3090196400000007E-2</v>
      </c>
      <c r="CF278">
        <v>5.5928118399999997E-2</v>
      </c>
      <c r="CG278">
        <v>6.6118021200000002E-2</v>
      </c>
      <c r="CH278">
        <v>5.8724019199999998E-2</v>
      </c>
      <c r="CI278">
        <v>7.7476044800000005E-2</v>
      </c>
      <c r="CJ278">
        <v>6.4592281599999996E-2</v>
      </c>
      <c r="CK278">
        <v>7.2461219600000001E-2</v>
      </c>
      <c r="CL278">
        <v>4.56315552E-2</v>
      </c>
      <c r="CM278">
        <v>5.8724019199999998E-2</v>
      </c>
    </row>
    <row r="279" spans="1:101" x14ac:dyDescent="0.25">
      <c r="A279" s="6">
        <v>328</v>
      </c>
      <c r="B279" s="6">
        <v>2</v>
      </c>
      <c r="C279" t="s">
        <v>115</v>
      </c>
      <c r="D279" t="s">
        <v>223</v>
      </c>
      <c r="E279" t="s">
        <v>192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6</v>
      </c>
      <c r="P279">
        <v>1.0150727170356699</v>
      </c>
      <c r="Q279">
        <v>6</v>
      </c>
      <c r="R279">
        <v>-1</v>
      </c>
      <c r="S279">
        <v>6</v>
      </c>
      <c r="T279">
        <v>0.13200000000000001</v>
      </c>
      <c r="U279">
        <v>0.11799999999999999</v>
      </c>
      <c r="V279">
        <v>0.14199999999999999</v>
      </c>
      <c r="W279">
        <v>0.14399999999999999</v>
      </c>
      <c r="X279">
        <v>0.113</v>
      </c>
      <c r="Y279">
        <v>0.12</v>
      </c>
      <c r="CB279">
        <f t="shared" si="49"/>
        <v>6.654426753333334E-2</v>
      </c>
      <c r="CC279">
        <f t="shared" si="48"/>
        <v>6.7547270448209185E-2</v>
      </c>
      <c r="CD279">
        <v>7.0839014399999997E-2</v>
      </c>
      <c r="CE279">
        <v>5.0605385599999997E-2</v>
      </c>
      <c r="CF279">
        <v>8.8189270400000006E-2</v>
      </c>
      <c r="CG279">
        <v>9.1968307200000002E-2</v>
      </c>
      <c r="CH279">
        <v>4.4441227600000001E-2</v>
      </c>
      <c r="CI279">
        <v>5.3222400000000003E-2</v>
      </c>
    </row>
    <row r="280" spans="1:101" x14ac:dyDescent="0.25">
      <c r="A280" s="6">
        <v>315</v>
      </c>
      <c r="B280" s="6">
        <v>2</v>
      </c>
      <c r="C280" t="s">
        <v>117</v>
      </c>
      <c r="D280" t="s">
        <v>223</v>
      </c>
      <c r="E280" t="s">
        <v>192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3</v>
      </c>
      <c r="P280">
        <v>0.65608358540110601</v>
      </c>
      <c r="Q280">
        <v>3</v>
      </c>
      <c r="R280">
        <v>-1</v>
      </c>
      <c r="S280">
        <v>3</v>
      </c>
      <c r="T280">
        <v>0.11799999999999999</v>
      </c>
      <c r="U280">
        <v>0.13500000000000001</v>
      </c>
      <c r="V280">
        <v>0.14199999999999999</v>
      </c>
      <c r="CB280">
        <f t="shared" si="49"/>
        <v>7.1524735333333325E-2</v>
      </c>
      <c r="CC280">
        <f t="shared" si="48"/>
        <v>4.6926204802358498E-2</v>
      </c>
      <c r="CD280">
        <v>5.0605385599999997E-2</v>
      </c>
      <c r="CE280">
        <v>7.5779550000000001E-2</v>
      </c>
      <c r="CF280">
        <v>8.8189270400000006E-2</v>
      </c>
    </row>
    <row r="281" spans="1:101" x14ac:dyDescent="0.25">
      <c r="A281" s="6">
        <v>342</v>
      </c>
      <c r="B281" s="6">
        <v>2</v>
      </c>
      <c r="C281" t="s">
        <v>119</v>
      </c>
      <c r="D281" t="s">
        <v>223</v>
      </c>
      <c r="E281" t="s">
        <v>192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250</v>
      </c>
      <c r="P281">
        <v>133.82799503206601</v>
      </c>
      <c r="Q281">
        <v>8</v>
      </c>
      <c r="R281">
        <v>-1</v>
      </c>
      <c r="S281">
        <v>8</v>
      </c>
      <c r="T281">
        <v>0.11600000000000001</v>
      </c>
      <c r="U281">
        <v>0.14299999999999999</v>
      </c>
      <c r="V281">
        <v>0.14899999999999999</v>
      </c>
      <c r="W281">
        <v>0.121</v>
      </c>
      <c r="X281">
        <v>0.121</v>
      </c>
      <c r="Y281">
        <v>0.13800000000000001</v>
      </c>
      <c r="Z281">
        <v>0.115</v>
      </c>
      <c r="AA281">
        <v>0.13500000000000001</v>
      </c>
      <c r="CB281">
        <f t="shared" si="49"/>
        <v>6.9090159600000006E-2</v>
      </c>
      <c r="CC281">
        <f t="shared" si="48"/>
        <v>9.2461975357134492</v>
      </c>
      <c r="CD281">
        <v>4.8075596800000002E-2</v>
      </c>
      <c r="CE281">
        <v>9.0065575600000003E-2</v>
      </c>
      <c r="CF281">
        <v>0.1018848292</v>
      </c>
      <c r="CG281">
        <v>5.4564078799999999E-2</v>
      </c>
      <c r="CH281">
        <v>5.4564078799999999E-2</v>
      </c>
      <c r="CI281">
        <v>8.0944617600000004E-2</v>
      </c>
      <c r="CJ281">
        <v>4.6842950000000001E-2</v>
      </c>
      <c r="CK281">
        <v>7.5779550000000001E-2</v>
      </c>
    </row>
    <row r="282" spans="1:101" x14ac:dyDescent="0.25">
      <c r="A282" s="6">
        <v>356</v>
      </c>
      <c r="B282" s="6">
        <v>2</v>
      </c>
      <c r="C282" t="s">
        <v>121</v>
      </c>
      <c r="D282" t="s">
        <v>223</v>
      </c>
      <c r="E282" t="s">
        <v>192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302.5</v>
      </c>
      <c r="P282">
        <v>35.3401809682398</v>
      </c>
      <c r="Q282">
        <v>22</v>
      </c>
      <c r="R282">
        <v>-1</v>
      </c>
      <c r="S282">
        <v>22</v>
      </c>
      <c r="T282">
        <v>0.125</v>
      </c>
      <c r="U282">
        <v>0.12</v>
      </c>
      <c r="V282">
        <v>0.13600000000000001</v>
      </c>
      <c r="W282">
        <v>0.121</v>
      </c>
      <c r="X282">
        <v>0.11600000000000001</v>
      </c>
      <c r="Y282">
        <v>0.15</v>
      </c>
      <c r="Z282">
        <v>0.14000000000000001</v>
      </c>
      <c r="AA282">
        <v>0.123</v>
      </c>
      <c r="AB282">
        <v>0.126</v>
      </c>
      <c r="AC282">
        <v>0.13</v>
      </c>
      <c r="AD282">
        <v>0.14499999999999999</v>
      </c>
      <c r="AE282">
        <v>0.13900000000000001</v>
      </c>
      <c r="AF282">
        <v>0.11700000000000001</v>
      </c>
      <c r="AG282">
        <v>0.123</v>
      </c>
      <c r="AH282">
        <v>0.13700000000000001</v>
      </c>
      <c r="AI282">
        <v>0.11799999999999999</v>
      </c>
      <c r="AJ282">
        <v>0.151</v>
      </c>
      <c r="AK282">
        <v>0.13600000000000001</v>
      </c>
      <c r="AL282">
        <v>0.127</v>
      </c>
      <c r="AM282">
        <v>0.11799999999999999</v>
      </c>
      <c r="CB282">
        <f t="shared" si="49"/>
        <v>6.8941506479999984E-2</v>
      </c>
      <c r="CC282">
        <f t="shared" si="48"/>
        <v>2.4364053152262763</v>
      </c>
      <c r="CD282">
        <v>6.0156250000000001E-2</v>
      </c>
      <c r="CE282">
        <v>5.3222400000000003E-2</v>
      </c>
      <c r="CF282">
        <v>7.7476044800000005E-2</v>
      </c>
      <c r="CG282">
        <v>5.4564078799999999E-2</v>
      </c>
      <c r="CH282">
        <v>4.8075596800000002E-2</v>
      </c>
      <c r="CI282">
        <v>0.10395</v>
      </c>
      <c r="CJ282">
        <v>8.4515199999999999E-2</v>
      </c>
      <c r="CK282">
        <v>5.7314703600000003E-2</v>
      </c>
      <c r="CL282">
        <v>6.1611580800000003E-2</v>
      </c>
      <c r="CM282">
        <v>6.7667599999999994E-2</v>
      </c>
      <c r="CN282">
        <v>9.3897649999999999E-2</v>
      </c>
      <c r="CO282">
        <v>8.2717065199999995E-2</v>
      </c>
      <c r="CP282">
        <v>4.9329680399999999E-2</v>
      </c>
      <c r="CQ282">
        <v>5.7314703600000003E-2</v>
      </c>
      <c r="CR282">
        <v>7.9197672400000002E-2</v>
      </c>
      <c r="CS282">
        <v>5.0605385599999997E-2</v>
      </c>
      <c r="CT282">
        <v>0.1060428908</v>
      </c>
      <c r="CU282">
        <v>7.7476044800000005E-2</v>
      </c>
      <c r="CV282">
        <v>6.3090196400000007E-2</v>
      </c>
      <c r="CW282">
        <v>5.0605385599999997E-2</v>
      </c>
    </row>
    <row r="283" spans="1:101" x14ac:dyDescent="0.25">
      <c r="A283" s="6">
        <v>285</v>
      </c>
      <c r="B283" s="6">
        <v>2</v>
      </c>
      <c r="C283" t="s">
        <v>123</v>
      </c>
      <c r="D283" t="s">
        <v>223</v>
      </c>
      <c r="E283" t="s">
        <v>192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6</v>
      </c>
      <c r="P283">
        <v>1.7215633280925</v>
      </c>
      <c r="Q283">
        <v>6</v>
      </c>
      <c r="R283">
        <v>-1</v>
      </c>
      <c r="S283">
        <v>6</v>
      </c>
      <c r="T283">
        <v>0.13700000000000001</v>
      </c>
      <c r="U283">
        <v>0.124</v>
      </c>
      <c r="V283">
        <v>0.11700000000000001</v>
      </c>
      <c r="W283">
        <v>0.11</v>
      </c>
      <c r="X283">
        <v>0.106</v>
      </c>
      <c r="Y283">
        <v>0.112</v>
      </c>
      <c r="CB283">
        <f t="shared" si="49"/>
        <v>5.1366874533333336E-2</v>
      </c>
      <c r="CC283">
        <f t="shared" si="48"/>
        <v>8.8431327475315222E-2</v>
      </c>
      <c r="CD283">
        <v>7.9197672400000002E-2</v>
      </c>
      <c r="CE283">
        <v>5.8724019199999998E-2</v>
      </c>
      <c r="CF283">
        <v>4.9329680399999999E-2</v>
      </c>
      <c r="CG283">
        <v>4.0994799999999998E-2</v>
      </c>
      <c r="CH283">
        <v>3.6683292800000003E-2</v>
      </c>
      <c r="CI283">
        <v>4.32717824E-2</v>
      </c>
    </row>
    <row r="284" spans="1:101" x14ac:dyDescent="0.25">
      <c r="A284" s="6">
        <v>272</v>
      </c>
      <c r="B284" s="6">
        <v>2</v>
      </c>
      <c r="C284" t="s">
        <v>125</v>
      </c>
      <c r="D284" t="s">
        <v>223</v>
      </c>
      <c r="E284" t="s">
        <v>192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30</v>
      </c>
      <c r="P284">
        <v>3.6597859865912001</v>
      </c>
      <c r="Q284">
        <v>5</v>
      </c>
      <c r="R284">
        <v>-1</v>
      </c>
      <c r="S284">
        <v>5</v>
      </c>
      <c r="T284">
        <v>0.124</v>
      </c>
      <c r="U284">
        <v>0.128</v>
      </c>
      <c r="V284">
        <v>0.115</v>
      </c>
      <c r="W284">
        <v>0.13500000000000001</v>
      </c>
      <c r="X284">
        <v>0.13100000000000001</v>
      </c>
      <c r="CB284">
        <f t="shared" si="49"/>
        <v>6.3036000719999999E-2</v>
      </c>
      <c r="CC284">
        <f t="shared" si="48"/>
        <v>0.23069827208580879</v>
      </c>
      <c r="CD284">
        <v>5.8724019199999998E-2</v>
      </c>
      <c r="CE284">
        <v>6.4592281599999996E-2</v>
      </c>
      <c r="CF284">
        <v>4.6842950000000001E-2</v>
      </c>
      <c r="CG284">
        <v>7.5779550000000001E-2</v>
      </c>
      <c r="CH284">
        <v>6.9241202799999998E-2</v>
      </c>
    </row>
    <row r="285" spans="1:101" x14ac:dyDescent="0.25">
      <c r="A285" s="6">
        <v>301</v>
      </c>
      <c r="B285" s="6">
        <v>2</v>
      </c>
      <c r="C285" t="s">
        <v>129</v>
      </c>
      <c r="D285" t="s">
        <v>223</v>
      </c>
      <c r="E285" t="s">
        <v>192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54</v>
      </c>
      <c r="P285">
        <v>35.213795347346597</v>
      </c>
      <c r="Q285">
        <v>24</v>
      </c>
      <c r="R285">
        <v>-1</v>
      </c>
      <c r="S285">
        <v>24</v>
      </c>
      <c r="T285">
        <v>0.11</v>
      </c>
      <c r="U285">
        <v>0.111</v>
      </c>
      <c r="V285">
        <v>0.126</v>
      </c>
      <c r="W285">
        <v>0.106</v>
      </c>
      <c r="X285">
        <v>9.6000000000000002E-2</v>
      </c>
      <c r="Y285">
        <v>0.127</v>
      </c>
      <c r="Z285">
        <v>0.111</v>
      </c>
      <c r="AA285">
        <v>0.126</v>
      </c>
      <c r="AB285">
        <v>0.11600000000000001</v>
      </c>
      <c r="AC285">
        <v>0.125</v>
      </c>
      <c r="AD285">
        <v>0.128</v>
      </c>
      <c r="AE285">
        <v>0.124</v>
      </c>
      <c r="AF285">
        <v>0.127</v>
      </c>
      <c r="AG285">
        <v>0.14599999999999999</v>
      </c>
      <c r="AH285">
        <v>0.121</v>
      </c>
      <c r="AI285">
        <v>0.11</v>
      </c>
      <c r="AJ285">
        <v>0.112</v>
      </c>
      <c r="AK285">
        <v>0.125</v>
      </c>
      <c r="AL285">
        <v>0.114</v>
      </c>
      <c r="AM285">
        <v>0.11899999999999999</v>
      </c>
      <c r="CB285">
        <f t="shared" si="49"/>
        <v>5.3125044279999999E-2</v>
      </c>
      <c r="CC285">
        <f t="shared" si="48"/>
        <v>1.8707344370946459</v>
      </c>
      <c r="CD285">
        <v>4.0994799999999998E-2</v>
      </c>
      <c r="CE285">
        <v>4.21230348E-2</v>
      </c>
      <c r="CF285">
        <v>6.1611580800000003E-2</v>
      </c>
      <c r="CG285">
        <v>3.6683292800000003E-2</v>
      </c>
      <c r="CH285">
        <v>2.72498688E-2</v>
      </c>
      <c r="CI285">
        <v>6.3090196400000007E-2</v>
      </c>
      <c r="CJ285">
        <v>4.21230348E-2</v>
      </c>
      <c r="CK285">
        <v>6.1611580800000003E-2</v>
      </c>
      <c r="CL285">
        <v>4.8075596800000002E-2</v>
      </c>
      <c r="CM285">
        <v>6.0156250000000001E-2</v>
      </c>
      <c r="CN285">
        <v>6.4592281599999996E-2</v>
      </c>
      <c r="CO285">
        <v>5.8724019199999998E-2</v>
      </c>
      <c r="CP285">
        <v>6.3090196400000007E-2</v>
      </c>
      <c r="CQ285">
        <v>9.5853788800000006E-2</v>
      </c>
      <c r="CR285">
        <v>5.4564078799999999E-2</v>
      </c>
      <c r="CS285">
        <v>4.0994799999999998E-2</v>
      </c>
      <c r="CT285">
        <v>4.32717824E-2</v>
      </c>
      <c r="CU285">
        <v>6.0156250000000001E-2</v>
      </c>
      <c r="CV285">
        <v>4.56315552E-2</v>
      </c>
      <c r="CW285">
        <v>5.1902897199999999E-2</v>
      </c>
    </row>
    <row r="286" spans="1:101" x14ac:dyDescent="0.25">
      <c r="A286" s="6">
        <v>343</v>
      </c>
      <c r="B286" s="6">
        <v>2</v>
      </c>
      <c r="C286" t="s">
        <v>119</v>
      </c>
      <c r="D286" t="s">
        <v>208</v>
      </c>
      <c r="E286" t="s">
        <v>192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31.25</v>
      </c>
      <c r="P286">
        <v>16.728499379008301</v>
      </c>
      <c r="Q286">
        <v>1</v>
      </c>
      <c r="R286">
        <v>-1</v>
      </c>
      <c r="S286">
        <v>1</v>
      </c>
      <c r="T286">
        <v>0.115</v>
      </c>
      <c r="CB286">
        <f t="shared" si="49"/>
        <v>4.6842950000000001E-2</v>
      </c>
      <c r="CC286">
        <f t="shared" si="48"/>
        <v>0.78361225998591688</v>
      </c>
      <c r="CD286">
        <v>4.6842950000000001E-2</v>
      </c>
    </row>
    <row r="287" spans="1:101" x14ac:dyDescent="0.25">
      <c r="A287" s="6">
        <v>200</v>
      </c>
      <c r="B287" s="6">
        <v>2</v>
      </c>
      <c r="C287" t="s">
        <v>132</v>
      </c>
      <c r="D287" t="s">
        <v>208</v>
      </c>
      <c r="E287" t="s">
        <v>192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784</v>
      </c>
      <c r="P287">
        <v>320.94519831920297</v>
      </c>
      <c r="Q287">
        <v>1</v>
      </c>
      <c r="R287">
        <v>0</v>
      </c>
      <c r="S287">
        <v>1</v>
      </c>
      <c r="T287">
        <v>0.06</v>
      </c>
      <c r="CB287">
        <f t="shared" si="49"/>
        <v>6.6528000000000004E-3</v>
      </c>
      <c r="CC287">
        <f t="shared" si="48"/>
        <v>2.1351842153779939</v>
      </c>
      <c r="CD287">
        <v>6.6528000000000004E-3</v>
      </c>
    </row>
    <row r="288" spans="1:101" x14ac:dyDescent="0.25">
      <c r="A288" s="6">
        <v>218</v>
      </c>
      <c r="B288" s="6">
        <v>2</v>
      </c>
      <c r="C288" t="s">
        <v>135</v>
      </c>
      <c r="D288" t="s">
        <v>208</v>
      </c>
      <c r="E288" t="s">
        <v>192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10736</v>
      </c>
      <c r="P288">
        <v>4024.8803098346102</v>
      </c>
      <c r="Q288">
        <v>6</v>
      </c>
      <c r="R288">
        <v>5</v>
      </c>
      <c r="S288">
        <v>11</v>
      </c>
      <c r="T288">
        <v>8.2000000000000003E-2</v>
      </c>
      <c r="U288">
        <v>8.8999999999999996E-2</v>
      </c>
      <c r="V288">
        <v>8.7999999999999995E-2</v>
      </c>
      <c r="W288">
        <v>0.09</v>
      </c>
      <c r="X288">
        <v>8.3000000000000004E-2</v>
      </c>
      <c r="Y288">
        <v>9.5000000000000001E-2</v>
      </c>
      <c r="Z288">
        <v>8.4000000000000005E-2</v>
      </c>
      <c r="AA288">
        <v>8.5999999999999993E-2</v>
      </c>
      <c r="AB288">
        <v>8.5999999999999993E-2</v>
      </c>
      <c r="AC288">
        <v>8.5999999999999993E-2</v>
      </c>
      <c r="AD288">
        <v>9.6000000000000002E-2</v>
      </c>
      <c r="CB288">
        <f t="shared" si="49"/>
        <v>2.0948421200000004E-2</v>
      </c>
      <c r="CC288">
        <f t="shared" si="48"/>
        <v>84.314888010001937</v>
      </c>
      <c r="CD288">
        <v>1.6982134400000001E-2</v>
      </c>
      <c r="CE288">
        <v>2.1713045199999999E-2</v>
      </c>
      <c r="CF288">
        <v>2.0989337600000001E-2</v>
      </c>
      <c r="CG288">
        <v>2.24532E-2</v>
      </c>
      <c r="CH288">
        <v>1.76110396E-2</v>
      </c>
      <c r="CI288">
        <v>2.6407150000000001E-2</v>
      </c>
      <c r="CJ288">
        <v>1.82552832E-2</v>
      </c>
      <c r="CK288">
        <v>1.9590524799999998E-2</v>
      </c>
      <c r="CL288">
        <v>1.9590524799999998E-2</v>
      </c>
      <c r="CM288">
        <v>1.9590524799999998E-2</v>
      </c>
      <c r="CN288">
        <v>2.72498688E-2</v>
      </c>
    </row>
    <row r="289" spans="1:101" x14ac:dyDescent="0.25">
      <c r="A289" s="6">
        <v>162</v>
      </c>
      <c r="B289" s="6">
        <v>2</v>
      </c>
      <c r="C289" t="s">
        <v>136</v>
      </c>
      <c r="D289" t="s">
        <v>208</v>
      </c>
      <c r="E289" t="s">
        <v>192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3200</v>
      </c>
      <c r="P289">
        <v>1838.19830505403</v>
      </c>
      <c r="Q289">
        <v>4</v>
      </c>
      <c r="R289">
        <v>1</v>
      </c>
      <c r="S289">
        <v>5</v>
      </c>
      <c r="T289">
        <v>0.158</v>
      </c>
      <c r="U289">
        <v>0.104</v>
      </c>
      <c r="V289">
        <v>9.6000000000000002E-2</v>
      </c>
      <c r="W289">
        <v>5.8999999999999997E-2</v>
      </c>
      <c r="X289">
        <v>0.09</v>
      </c>
      <c r="CB289">
        <f t="shared" si="49"/>
        <v>4.243187256E-2</v>
      </c>
      <c r="CC289">
        <f t="shared" si="48"/>
        <v>77.998196220060606</v>
      </c>
      <c r="CD289">
        <v>0.12148480959999999</v>
      </c>
      <c r="CE289">
        <v>3.4645811200000001E-2</v>
      </c>
      <c r="CF289">
        <v>2.72498688E-2</v>
      </c>
      <c r="CG289">
        <v>6.3256731999999996E-3</v>
      </c>
      <c r="CH289">
        <v>2.24532E-2</v>
      </c>
    </row>
    <row r="290" spans="1:101" x14ac:dyDescent="0.25">
      <c r="A290" s="6">
        <v>106</v>
      </c>
      <c r="B290" s="6">
        <v>2</v>
      </c>
      <c r="C290" t="s">
        <v>143</v>
      </c>
      <c r="D290" t="s">
        <v>208</v>
      </c>
      <c r="E290" t="s">
        <v>192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11840</v>
      </c>
      <c r="P290">
        <v>4094.0067104795498</v>
      </c>
      <c r="Q290">
        <v>1</v>
      </c>
      <c r="R290">
        <v>4</v>
      </c>
      <c r="S290">
        <v>5</v>
      </c>
      <c r="T290">
        <v>8.2000000000000003E-2</v>
      </c>
      <c r="U290">
        <v>7.2999999999999995E-2</v>
      </c>
      <c r="V290">
        <v>0.105</v>
      </c>
      <c r="W290">
        <v>9.8000000000000004E-2</v>
      </c>
      <c r="X290">
        <v>0.10299999999999999</v>
      </c>
      <c r="CB290">
        <f t="shared" si="49"/>
        <v>2.5452682639999995E-2</v>
      </c>
      <c r="CC290">
        <f t="shared" si="48"/>
        <v>104.20345352786632</v>
      </c>
      <c r="CD290">
        <v>1.6982134400000001E-2</v>
      </c>
      <c r="CE290">
        <v>1.1981723600000001E-2</v>
      </c>
      <c r="CF290">
        <v>3.5654850000000002E-2</v>
      </c>
      <c r="CG290">
        <v>2.89887136E-2</v>
      </c>
      <c r="CH290">
        <v>3.3655991599999997E-2</v>
      </c>
    </row>
    <row r="291" spans="1:101" x14ac:dyDescent="0.25">
      <c r="A291" s="6">
        <v>51</v>
      </c>
      <c r="B291" s="6">
        <v>2</v>
      </c>
      <c r="C291" t="s">
        <v>146</v>
      </c>
      <c r="D291" t="s">
        <v>208</v>
      </c>
      <c r="E291" t="s">
        <v>192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45632</v>
      </c>
      <c r="P291">
        <v>16251.878854643701</v>
      </c>
      <c r="Q291">
        <v>18</v>
      </c>
      <c r="R291">
        <v>13</v>
      </c>
      <c r="S291">
        <v>31</v>
      </c>
      <c r="T291">
        <v>0.107</v>
      </c>
      <c r="U291">
        <v>9.5000000000000001E-2</v>
      </c>
      <c r="V291">
        <v>8.2000000000000003E-2</v>
      </c>
      <c r="W291">
        <v>0.123</v>
      </c>
      <c r="X291">
        <v>0.09</v>
      </c>
      <c r="Y291">
        <v>9.8000000000000004E-2</v>
      </c>
      <c r="Z291">
        <v>8.3000000000000004E-2</v>
      </c>
      <c r="AA291">
        <v>9.5000000000000001E-2</v>
      </c>
      <c r="AB291">
        <v>8.4000000000000005E-2</v>
      </c>
      <c r="AC291">
        <v>6.7000000000000004E-2</v>
      </c>
      <c r="AD291">
        <v>8.7999999999999995E-2</v>
      </c>
      <c r="AE291">
        <v>9.8000000000000004E-2</v>
      </c>
      <c r="AF291">
        <v>0.09</v>
      </c>
      <c r="AG291">
        <v>0.1</v>
      </c>
      <c r="AH291">
        <v>0.09</v>
      </c>
      <c r="AI291">
        <v>0.11799999999999999</v>
      </c>
      <c r="AJ291">
        <v>0.105</v>
      </c>
      <c r="AK291">
        <v>0.11799999999999999</v>
      </c>
      <c r="AL291">
        <v>0.12</v>
      </c>
      <c r="AM291">
        <v>8.6999999999999994E-2</v>
      </c>
      <c r="CB291">
        <f t="shared" si="49"/>
        <v>2.9873428199999996E-2</v>
      </c>
      <c r="CC291">
        <f t="shared" si="48"/>
        <v>485.49933607929677</v>
      </c>
      <c r="CD291">
        <v>3.7731324400000002E-2</v>
      </c>
      <c r="CE291">
        <v>2.6407150000000001E-2</v>
      </c>
      <c r="CF291">
        <v>1.6982134400000001E-2</v>
      </c>
      <c r="CG291">
        <v>5.7314703600000003E-2</v>
      </c>
      <c r="CH291">
        <v>2.24532E-2</v>
      </c>
      <c r="CI291">
        <v>2.89887136E-2</v>
      </c>
      <c r="CJ291">
        <v>1.76110396E-2</v>
      </c>
      <c r="CK291">
        <v>2.6407150000000001E-2</v>
      </c>
      <c r="CL291">
        <v>1.82552832E-2</v>
      </c>
      <c r="CM291">
        <v>9.2635003999999993E-3</v>
      </c>
      <c r="CN291">
        <v>2.0989337600000001E-2</v>
      </c>
      <c r="CO291">
        <v>2.89887136E-2</v>
      </c>
      <c r="CP291">
        <v>2.24532E-2</v>
      </c>
      <c r="CQ291">
        <v>3.0800000000000001E-2</v>
      </c>
      <c r="CR291">
        <v>2.24532E-2</v>
      </c>
      <c r="CS291">
        <v>5.0605385599999997E-2</v>
      </c>
      <c r="CT291">
        <v>3.5654850000000002E-2</v>
      </c>
      <c r="CU291">
        <v>5.0605385599999997E-2</v>
      </c>
      <c r="CV291">
        <v>5.3222400000000003E-2</v>
      </c>
      <c r="CW291">
        <v>2.0281892400000001E-2</v>
      </c>
    </row>
    <row r="292" spans="1:101" x14ac:dyDescent="0.25">
      <c r="A292" s="6">
        <v>16</v>
      </c>
      <c r="B292" s="6">
        <v>2</v>
      </c>
      <c r="C292" t="s">
        <v>151</v>
      </c>
      <c r="D292" t="s">
        <v>208</v>
      </c>
      <c r="E292" t="s">
        <v>192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3120</v>
      </c>
      <c r="P292">
        <v>1262.7169038694999</v>
      </c>
      <c r="Q292">
        <v>2</v>
      </c>
      <c r="R292">
        <v>1</v>
      </c>
      <c r="S292">
        <v>3</v>
      </c>
      <c r="T292">
        <v>0.09</v>
      </c>
      <c r="U292">
        <v>6.4000000000000001E-2</v>
      </c>
      <c r="V292">
        <v>9.4E-2</v>
      </c>
      <c r="CB292">
        <f t="shared" si="49"/>
        <v>1.8703074133333334E-2</v>
      </c>
      <c r="CC292">
        <f t="shared" si="48"/>
        <v>23.616687862484397</v>
      </c>
      <c r="CD292">
        <v>2.24532E-2</v>
      </c>
      <c r="CE292">
        <v>8.0740351999999994E-3</v>
      </c>
      <c r="CF292">
        <v>2.55819872E-2</v>
      </c>
    </row>
    <row r="293" spans="1:101" x14ac:dyDescent="0.25">
      <c r="A293" s="6">
        <v>344</v>
      </c>
      <c r="B293" s="6">
        <v>2</v>
      </c>
      <c r="C293" t="s">
        <v>119</v>
      </c>
      <c r="D293" t="s">
        <v>209</v>
      </c>
      <c r="E293" t="s">
        <v>192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31.25</v>
      </c>
      <c r="P293">
        <v>16.728499379008301</v>
      </c>
      <c r="Q293">
        <v>1</v>
      </c>
      <c r="R293">
        <v>-1</v>
      </c>
      <c r="S293">
        <v>1</v>
      </c>
      <c r="T293">
        <v>0.111</v>
      </c>
      <c r="CB293">
        <f t="shared" si="49"/>
        <v>4.21230348E-2</v>
      </c>
      <c r="CC293">
        <f t="shared" si="48"/>
        <v>0.70465516149374507</v>
      </c>
      <c r="CD293">
        <v>4.21230348E-2</v>
      </c>
    </row>
    <row r="294" spans="1:101" x14ac:dyDescent="0.25">
      <c r="A294" s="6">
        <v>357</v>
      </c>
      <c r="B294" s="6">
        <v>2</v>
      </c>
      <c r="C294" t="s">
        <v>121</v>
      </c>
      <c r="D294" t="s">
        <v>209</v>
      </c>
      <c r="E294" t="s">
        <v>192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41.25</v>
      </c>
      <c r="P294">
        <v>4.8191155865781496</v>
      </c>
      <c r="Q294">
        <v>3</v>
      </c>
      <c r="R294">
        <v>-1</v>
      </c>
      <c r="S294">
        <v>3</v>
      </c>
      <c r="T294">
        <v>0.124</v>
      </c>
      <c r="U294">
        <v>0.10100000000000001</v>
      </c>
      <c r="V294">
        <v>0.11700000000000001</v>
      </c>
      <c r="CB294">
        <f t="shared" si="49"/>
        <v>4.6595656799999996E-2</v>
      </c>
      <c r="CC294">
        <f t="shared" si="48"/>
        <v>0.22454985595172613</v>
      </c>
      <c r="CD294">
        <v>5.8724019199999998E-2</v>
      </c>
      <c r="CE294">
        <v>3.1733270799999998E-2</v>
      </c>
      <c r="CF294">
        <v>4.9329680399999999E-2</v>
      </c>
    </row>
    <row r="295" spans="1:101" x14ac:dyDescent="0.25">
      <c r="A295" s="6">
        <v>201</v>
      </c>
      <c r="B295" s="6">
        <v>2</v>
      </c>
      <c r="C295" t="s">
        <v>132</v>
      </c>
      <c r="D295" t="s">
        <v>209</v>
      </c>
      <c r="E295" t="s">
        <v>192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5488</v>
      </c>
      <c r="P295">
        <v>2246.6163882344199</v>
      </c>
      <c r="Q295">
        <v>4</v>
      </c>
      <c r="R295">
        <v>3</v>
      </c>
      <c r="S295">
        <v>7</v>
      </c>
      <c r="T295">
        <v>0.10299999999999999</v>
      </c>
      <c r="U295">
        <v>0.112</v>
      </c>
      <c r="V295">
        <v>0.104</v>
      </c>
      <c r="W295">
        <v>3.7999999999999999E-2</v>
      </c>
      <c r="X295">
        <v>0.12</v>
      </c>
      <c r="Y295">
        <v>9.1999999999999998E-2</v>
      </c>
      <c r="Z295">
        <v>9.7000000000000003E-2</v>
      </c>
      <c r="CB295">
        <f t="shared" si="49"/>
        <v>3.1225708800000002E-2</v>
      </c>
      <c r="CC295">
        <f t="shared" si="48"/>
        <v>70.15218912431574</v>
      </c>
      <c r="CD295">
        <v>3.3655991599999997E-2</v>
      </c>
      <c r="CE295">
        <v>4.32717824E-2</v>
      </c>
      <c r="CF295">
        <v>3.4645811200000001E-2</v>
      </c>
      <c r="CG295">
        <v>1.6900576E-3</v>
      </c>
      <c r="CH295">
        <v>5.3222400000000003E-2</v>
      </c>
      <c r="CI295">
        <v>2.3983590400000001E-2</v>
      </c>
      <c r="CJ295">
        <v>2.8110328399999999E-2</v>
      </c>
    </row>
    <row r="296" spans="1:101" x14ac:dyDescent="0.25">
      <c r="A296" s="6">
        <v>219</v>
      </c>
      <c r="B296" s="6">
        <v>2</v>
      </c>
      <c r="C296" t="s">
        <v>135</v>
      </c>
      <c r="D296" t="s">
        <v>209</v>
      </c>
      <c r="E296" t="s">
        <v>192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4880</v>
      </c>
      <c r="P296">
        <v>1829.4910499248199</v>
      </c>
      <c r="Q296">
        <v>3</v>
      </c>
      <c r="R296">
        <v>2</v>
      </c>
      <c r="S296">
        <v>5</v>
      </c>
      <c r="T296">
        <v>8.4000000000000005E-2</v>
      </c>
      <c r="U296">
        <v>0.11</v>
      </c>
      <c r="V296">
        <v>0.10299999999999999</v>
      </c>
      <c r="W296">
        <v>0.112</v>
      </c>
      <c r="X296">
        <v>0.13500000000000001</v>
      </c>
      <c r="CB296">
        <f t="shared" si="49"/>
        <v>4.2391481439999996E-2</v>
      </c>
      <c r="CC296">
        <f t="shared" si="48"/>
        <v>77.554835887534111</v>
      </c>
      <c r="CD296">
        <v>1.82552832E-2</v>
      </c>
      <c r="CE296">
        <v>4.0994799999999998E-2</v>
      </c>
      <c r="CF296">
        <v>3.3655991599999997E-2</v>
      </c>
      <c r="CG296">
        <v>4.32717824E-2</v>
      </c>
      <c r="CH296">
        <v>7.5779550000000001E-2</v>
      </c>
    </row>
    <row r="297" spans="1:101" x14ac:dyDescent="0.25">
      <c r="A297" s="6">
        <v>163</v>
      </c>
      <c r="B297" s="6">
        <v>2</v>
      </c>
      <c r="C297" t="s">
        <v>136</v>
      </c>
      <c r="D297" t="s">
        <v>209</v>
      </c>
      <c r="E297" t="s">
        <v>192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10880</v>
      </c>
      <c r="P297">
        <v>6249.8742371836897</v>
      </c>
      <c r="Q297">
        <v>9</v>
      </c>
      <c r="R297">
        <v>8</v>
      </c>
      <c r="S297">
        <v>17</v>
      </c>
      <c r="T297">
        <v>0.14299999999999999</v>
      </c>
      <c r="U297">
        <v>8.3000000000000004E-2</v>
      </c>
      <c r="V297">
        <v>0.11700000000000001</v>
      </c>
      <c r="W297">
        <v>8.6999999999999994E-2</v>
      </c>
      <c r="X297">
        <v>7.6999999999999999E-2</v>
      </c>
      <c r="Y297">
        <v>0.126</v>
      </c>
      <c r="Z297">
        <v>0.126</v>
      </c>
      <c r="AA297">
        <v>0.14299999999999999</v>
      </c>
      <c r="AB297">
        <v>0.106</v>
      </c>
      <c r="AC297">
        <v>0.127</v>
      </c>
      <c r="AD297">
        <v>9.5000000000000001E-2</v>
      </c>
      <c r="AE297">
        <v>0.14599999999999999</v>
      </c>
      <c r="AF297">
        <v>0.10199999999999999</v>
      </c>
      <c r="AG297">
        <v>8.5999999999999993E-2</v>
      </c>
      <c r="AH297">
        <v>5.2999999999999999E-2</v>
      </c>
      <c r="AI297">
        <v>0.14699999999999999</v>
      </c>
      <c r="AJ297">
        <v>9.2999999999999999E-2</v>
      </c>
      <c r="CB297">
        <f t="shared" si="49"/>
        <v>4.7420283317647069E-2</v>
      </c>
      <c r="CC297">
        <f t="shared" si="48"/>
        <v>296.37080702691389</v>
      </c>
      <c r="CD297">
        <v>9.0065575600000003E-2</v>
      </c>
      <c r="CE297">
        <v>1.76110396E-2</v>
      </c>
      <c r="CF297">
        <v>4.9329680399999999E-2</v>
      </c>
      <c r="CG297">
        <v>2.0281892400000001E-2</v>
      </c>
      <c r="CH297">
        <v>1.40612164E-2</v>
      </c>
      <c r="CI297">
        <v>6.1611580800000003E-2</v>
      </c>
      <c r="CJ297">
        <v>6.1611580800000003E-2</v>
      </c>
      <c r="CK297">
        <v>9.0065575600000003E-2</v>
      </c>
      <c r="CL297">
        <v>3.6683292800000003E-2</v>
      </c>
      <c r="CM297">
        <v>6.3090196400000007E-2</v>
      </c>
      <c r="CN297">
        <v>2.6407150000000001E-2</v>
      </c>
      <c r="CO297">
        <v>9.5853788800000006E-2</v>
      </c>
      <c r="CP297">
        <v>3.26852064E-2</v>
      </c>
      <c r="CQ297">
        <v>1.9590524799999998E-2</v>
      </c>
      <c r="CR297">
        <v>4.5854116000000004E-3</v>
      </c>
      <c r="CS297">
        <v>9.7836908400000006E-2</v>
      </c>
      <c r="CT297">
        <v>2.47741956E-2</v>
      </c>
    </row>
    <row r="298" spans="1:101" x14ac:dyDescent="0.25">
      <c r="A298" s="6">
        <v>180</v>
      </c>
      <c r="B298" s="6">
        <v>2</v>
      </c>
      <c r="C298" t="s">
        <v>138</v>
      </c>
      <c r="D298" t="s">
        <v>209</v>
      </c>
      <c r="E298" t="s">
        <v>192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3872</v>
      </c>
      <c r="P298">
        <v>2758.0327369030601</v>
      </c>
      <c r="Q298">
        <v>2</v>
      </c>
      <c r="R298">
        <v>0</v>
      </c>
      <c r="S298">
        <v>2</v>
      </c>
      <c r="T298">
        <v>0.09</v>
      </c>
      <c r="U298">
        <v>8.5000000000000006E-2</v>
      </c>
      <c r="CB298">
        <f t="shared" si="49"/>
        <v>2.0684124999999998E-2</v>
      </c>
      <c r="CC298">
        <f t="shared" si="48"/>
        <v>57.047493884194999</v>
      </c>
      <c r="CD298">
        <v>2.24532E-2</v>
      </c>
      <c r="CE298">
        <v>1.8915049999999999E-2</v>
      </c>
    </row>
    <row r="299" spans="1:101" x14ac:dyDescent="0.25">
      <c r="A299" s="6">
        <v>107</v>
      </c>
      <c r="B299" s="6">
        <v>2</v>
      </c>
      <c r="C299" t="s">
        <v>143</v>
      </c>
      <c r="D299" t="s">
        <v>209</v>
      </c>
      <c r="E299" t="s">
        <v>192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33152</v>
      </c>
      <c r="P299">
        <v>11463.2187893427</v>
      </c>
      <c r="Q299">
        <v>8</v>
      </c>
      <c r="R299">
        <v>6</v>
      </c>
      <c r="S299">
        <v>14</v>
      </c>
      <c r="T299">
        <v>0.107</v>
      </c>
      <c r="U299">
        <v>8.2000000000000003E-2</v>
      </c>
      <c r="V299">
        <v>0.10299999999999999</v>
      </c>
      <c r="W299">
        <v>0.104</v>
      </c>
      <c r="X299">
        <v>0.13</v>
      </c>
      <c r="Y299">
        <v>0.1</v>
      </c>
      <c r="Z299">
        <v>0.13400000000000001</v>
      </c>
      <c r="AA299">
        <v>0.10299999999999999</v>
      </c>
      <c r="AB299">
        <v>0.10100000000000001</v>
      </c>
      <c r="AC299">
        <v>0.10100000000000001</v>
      </c>
      <c r="AD299">
        <v>9.2999999999999999E-2</v>
      </c>
      <c r="AE299">
        <v>0.107</v>
      </c>
      <c r="AF299">
        <v>8.8999999999999996E-2</v>
      </c>
      <c r="AG299">
        <v>0.11</v>
      </c>
      <c r="CB299">
        <f t="shared" si="49"/>
        <v>3.6994768800000001E-2</v>
      </c>
      <c r="CC299">
        <f t="shared" si="48"/>
        <v>424.0791288155491</v>
      </c>
      <c r="CD299">
        <v>3.7731324400000002E-2</v>
      </c>
      <c r="CE299">
        <v>1.6982134400000001E-2</v>
      </c>
      <c r="CF299">
        <v>3.3655991599999997E-2</v>
      </c>
      <c r="CG299">
        <v>3.4645811200000001E-2</v>
      </c>
      <c r="CH299">
        <v>6.7667599999999994E-2</v>
      </c>
      <c r="CI299">
        <v>3.0800000000000001E-2</v>
      </c>
      <c r="CJ299">
        <v>7.4108003199999994E-2</v>
      </c>
      <c r="CK299">
        <v>3.3655991599999997E-2</v>
      </c>
      <c r="CL299">
        <v>3.1733270799999998E-2</v>
      </c>
      <c r="CM299">
        <v>3.1733270799999998E-2</v>
      </c>
      <c r="CN299">
        <v>2.47741956E-2</v>
      </c>
      <c r="CO299">
        <v>3.7731324400000002E-2</v>
      </c>
      <c r="CP299">
        <v>2.1713045199999999E-2</v>
      </c>
      <c r="CQ299">
        <v>4.0994799999999998E-2</v>
      </c>
    </row>
    <row r="300" spans="1:101" x14ac:dyDescent="0.25">
      <c r="A300" s="6">
        <v>123</v>
      </c>
      <c r="B300" s="6">
        <v>2</v>
      </c>
      <c r="C300" t="s">
        <v>144</v>
      </c>
      <c r="D300" t="s">
        <v>209</v>
      </c>
      <c r="E300" t="s">
        <v>192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51968</v>
      </c>
      <c r="P300">
        <v>21774.648345797599</v>
      </c>
      <c r="Q300">
        <v>31</v>
      </c>
      <c r="R300">
        <v>27</v>
      </c>
      <c r="S300">
        <v>58</v>
      </c>
      <c r="T300">
        <v>0.13</v>
      </c>
      <c r="U300">
        <v>0.115</v>
      </c>
      <c r="V300">
        <v>9.4E-2</v>
      </c>
      <c r="W300">
        <v>9.5000000000000001E-2</v>
      </c>
      <c r="X300">
        <v>0.10299999999999999</v>
      </c>
      <c r="Y300">
        <v>0.11899999999999999</v>
      </c>
      <c r="Z300">
        <v>0.128</v>
      </c>
      <c r="AA300">
        <v>0.112</v>
      </c>
      <c r="AB300">
        <v>9.1999999999999998E-2</v>
      </c>
      <c r="AC300">
        <v>0.106</v>
      </c>
      <c r="AD300">
        <v>9.8000000000000004E-2</v>
      </c>
      <c r="AE300">
        <v>8.6999999999999994E-2</v>
      </c>
      <c r="AF300">
        <v>9.2999999999999999E-2</v>
      </c>
      <c r="AG300">
        <v>7.2999999999999995E-2</v>
      </c>
      <c r="AH300">
        <v>0.11799999999999999</v>
      </c>
      <c r="AI300">
        <v>9.6000000000000002E-2</v>
      </c>
      <c r="AJ300">
        <v>0.1</v>
      </c>
      <c r="AK300">
        <v>7.5999999999999998E-2</v>
      </c>
      <c r="AL300">
        <v>0.104</v>
      </c>
      <c r="AM300">
        <v>9.5000000000000001E-2</v>
      </c>
      <c r="CB300">
        <f t="shared" si="49"/>
        <v>3.4492236240000002E-2</v>
      </c>
      <c r="CC300">
        <f t="shared" si="48"/>
        <v>751.05631478617602</v>
      </c>
      <c r="CD300">
        <v>6.7667599999999994E-2</v>
      </c>
      <c r="CE300">
        <v>4.6842950000000001E-2</v>
      </c>
      <c r="CF300">
        <v>2.55819872E-2</v>
      </c>
      <c r="CG300">
        <v>2.6407150000000001E-2</v>
      </c>
      <c r="CH300">
        <v>3.3655991599999997E-2</v>
      </c>
      <c r="CI300">
        <v>5.1902897199999999E-2</v>
      </c>
      <c r="CJ300">
        <v>6.4592281599999996E-2</v>
      </c>
      <c r="CK300">
        <v>4.32717824E-2</v>
      </c>
      <c r="CL300">
        <v>2.3983590400000001E-2</v>
      </c>
      <c r="CM300">
        <v>3.6683292800000003E-2</v>
      </c>
      <c r="CN300">
        <v>2.89887136E-2</v>
      </c>
      <c r="CO300">
        <v>2.0281892400000001E-2</v>
      </c>
      <c r="CP300">
        <v>2.47741956E-2</v>
      </c>
      <c r="CQ300">
        <v>1.1981723600000001E-2</v>
      </c>
      <c r="CR300">
        <v>5.0605385599999997E-2</v>
      </c>
      <c r="CS300">
        <v>2.72498688E-2</v>
      </c>
      <c r="CT300">
        <v>3.0800000000000001E-2</v>
      </c>
      <c r="CU300">
        <v>1.35204608E-2</v>
      </c>
      <c r="CV300">
        <v>3.4645811200000001E-2</v>
      </c>
      <c r="CW300">
        <v>2.6407150000000001E-2</v>
      </c>
    </row>
    <row r="301" spans="1:101" x14ac:dyDescent="0.25">
      <c r="A301" s="6">
        <v>142</v>
      </c>
      <c r="B301" s="6">
        <v>2</v>
      </c>
      <c r="C301" t="s">
        <v>145</v>
      </c>
      <c r="D301" t="s">
        <v>209</v>
      </c>
      <c r="E301" t="s">
        <v>192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10880</v>
      </c>
      <c r="P301">
        <v>4453.9333644297603</v>
      </c>
      <c r="Q301">
        <v>11</v>
      </c>
      <c r="R301">
        <v>9</v>
      </c>
      <c r="S301">
        <v>20</v>
      </c>
      <c r="T301">
        <v>9.9000000000000005E-2</v>
      </c>
      <c r="U301">
        <v>8.3000000000000004E-2</v>
      </c>
      <c r="V301">
        <v>8.1000000000000003E-2</v>
      </c>
      <c r="W301">
        <v>0.11600000000000001</v>
      </c>
      <c r="X301">
        <v>0.10299999999999999</v>
      </c>
      <c r="Y301">
        <v>9.1999999999999998E-2</v>
      </c>
      <c r="Z301">
        <v>8.8999999999999996E-2</v>
      </c>
      <c r="AA301">
        <v>0.12</v>
      </c>
      <c r="AB301">
        <v>0.124</v>
      </c>
      <c r="AC301">
        <v>0.112</v>
      </c>
      <c r="AD301">
        <v>0.11700000000000001</v>
      </c>
      <c r="AE301">
        <v>8.6999999999999994E-2</v>
      </c>
      <c r="AF301">
        <v>0.08</v>
      </c>
      <c r="AG301">
        <v>9.4E-2</v>
      </c>
      <c r="AH301">
        <v>8.8999999999999996E-2</v>
      </c>
      <c r="AI301">
        <v>9.0999999999999998E-2</v>
      </c>
      <c r="AJ301">
        <v>0.105</v>
      </c>
      <c r="AK301">
        <v>0.108</v>
      </c>
      <c r="AL301">
        <v>9.1999999999999998E-2</v>
      </c>
      <c r="AM301">
        <v>0.10299999999999999</v>
      </c>
      <c r="CB301">
        <f t="shared" si="49"/>
        <v>3.1724540539999999E-2</v>
      </c>
      <c r="CC301">
        <f t="shared" si="48"/>
        <v>141.29898958231053</v>
      </c>
      <c r="CD301">
        <v>2.9885209199999999E-2</v>
      </c>
      <c r="CE301">
        <v>1.76110396E-2</v>
      </c>
      <c r="CF301">
        <v>1.6368382800000001E-2</v>
      </c>
      <c r="CG301">
        <v>4.8075596800000002E-2</v>
      </c>
      <c r="CH301">
        <v>3.3655991599999997E-2</v>
      </c>
      <c r="CI301">
        <v>2.3983590400000001E-2</v>
      </c>
      <c r="CJ301">
        <v>2.1713045199999999E-2</v>
      </c>
      <c r="CK301">
        <v>5.3222400000000003E-2</v>
      </c>
      <c r="CL301">
        <v>5.8724019199999998E-2</v>
      </c>
      <c r="CM301">
        <v>4.32717824E-2</v>
      </c>
      <c r="CN301">
        <v>4.9329680399999999E-2</v>
      </c>
      <c r="CO301">
        <v>2.0281892400000001E-2</v>
      </c>
      <c r="CP301">
        <v>1.5769600000000002E-2</v>
      </c>
      <c r="CQ301">
        <v>2.55819872E-2</v>
      </c>
      <c r="CR301">
        <v>2.1713045199999999E-2</v>
      </c>
      <c r="CS301">
        <v>2.3209986799999999E-2</v>
      </c>
      <c r="CT301">
        <v>3.5654850000000002E-2</v>
      </c>
      <c r="CU301">
        <v>3.8799129600000003E-2</v>
      </c>
      <c r="CV301">
        <v>2.3983590400000001E-2</v>
      </c>
      <c r="CW301">
        <v>3.3655991599999997E-2</v>
      </c>
    </row>
    <row r="302" spans="1:101" x14ac:dyDescent="0.25">
      <c r="A302" s="6">
        <v>52</v>
      </c>
      <c r="B302" s="6">
        <v>2</v>
      </c>
      <c r="C302" t="s">
        <v>146</v>
      </c>
      <c r="D302" t="s">
        <v>209</v>
      </c>
      <c r="E302" t="s">
        <v>192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58880</v>
      </c>
      <c r="P302">
        <v>20970.166264056399</v>
      </c>
      <c r="Q302">
        <v>24</v>
      </c>
      <c r="R302">
        <v>16</v>
      </c>
      <c r="S302">
        <v>40</v>
      </c>
      <c r="T302">
        <v>7.4999999999999997E-2</v>
      </c>
      <c r="U302">
        <v>9.4E-2</v>
      </c>
      <c r="V302">
        <v>0.124</v>
      </c>
      <c r="W302">
        <v>0.108</v>
      </c>
      <c r="X302">
        <v>0.10100000000000001</v>
      </c>
      <c r="Y302">
        <v>0.104</v>
      </c>
      <c r="Z302">
        <v>0.109</v>
      </c>
      <c r="AA302">
        <v>9.6000000000000002E-2</v>
      </c>
      <c r="AB302">
        <v>9.7000000000000003E-2</v>
      </c>
      <c r="AC302">
        <v>0.105</v>
      </c>
      <c r="AD302">
        <v>9.5000000000000001E-2</v>
      </c>
      <c r="AE302">
        <v>0.11</v>
      </c>
      <c r="AF302">
        <v>0.108</v>
      </c>
      <c r="AG302">
        <v>8.7999999999999995E-2</v>
      </c>
      <c r="AH302">
        <v>0.11899999999999999</v>
      </c>
      <c r="AI302">
        <v>0.10199999999999999</v>
      </c>
      <c r="AJ302">
        <v>0.10199999999999999</v>
      </c>
      <c r="AK302">
        <v>9.2999999999999999E-2</v>
      </c>
      <c r="AL302">
        <v>0.104</v>
      </c>
      <c r="AM302">
        <v>0.112</v>
      </c>
      <c r="CB302">
        <f t="shared" si="49"/>
        <v>3.4026771240000003E-2</v>
      </c>
      <c r="CC302">
        <f t="shared" si="48"/>
        <v>713.54705033181256</v>
      </c>
      <c r="CD302">
        <v>1.299375E-2</v>
      </c>
      <c r="CE302">
        <v>2.55819872E-2</v>
      </c>
      <c r="CF302">
        <v>5.8724019199999998E-2</v>
      </c>
      <c r="CG302">
        <v>3.8799129600000003E-2</v>
      </c>
      <c r="CH302">
        <v>3.1733270799999998E-2</v>
      </c>
      <c r="CI302">
        <v>3.4645811200000001E-2</v>
      </c>
      <c r="CJ302">
        <v>3.9886893200000002E-2</v>
      </c>
      <c r="CK302">
        <v>2.72498688E-2</v>
      </c>
      <c r="CL302">
        <v>2.8110328399999999E-2</v>
      </c>
      <c r="CM302">
        <v>3.5654850000000002E-2</v>
      </c>
      <c r="CN302">
        <v>2.6407150000000001E-2</v>
      </c>
      <c r="CO302">
        <v>4.0994799999999998E-2</v>
      </c>
      <c r="CP302">
        <v>3.8799129600000003E-2</v>
      </c>
      <c r="CQ302">
        <v>2.0989337600000001E-2</v>
      </c>
      <c r="CR302">
        <v>5.1902897199999999E-2</v>
      </c>
      <c r="CS302">
        <v>3.26852064E-2</v>
      </c>
      <c r="CT302">
        <v>3.26852064E-2</v>
      </c>
      <c r="CU302">
        <v>2.47741956E-2</v>
      </c>
      <c r="CV302">
        <v>3.4645811200000001E-2</v>
      </c>
      <c r="CW302">
        <v>4.32717824E-2</v>
      </c>
    </row>
    <row r="303" spans="1:101" x14ac:dyDescent="0.25">
      <c r="A303" s="6">
        <v>70</v>
      </c>
      <c r="B303" s="6">
        <v>2</v>
      </c>
      <c r="C303" t="s">
        <v>148</v>
      </c>
      <c r="D303" t="s">
        <v>209</v>
      </c>
      <c r="E303" t="s">
        <v>192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1856</v>
      </c>
      <c r="P303">
        <v>590.19295580127505</v>
      </c>
      <c r="Q303">
        <v>1</v>
      </c>
      <c r="R303">
        <v>0</v>
      </c>
      <c r="S303">
        <v>1</v>
      </c>
      <c r="T303">
        <v>0.125</v>
      </c>
      <c r="CB303">
        <f t="shared" si="49"/>
        <v>6.0156250000000001E-2</v>
      </c>
      <c r="CC303">
        <f t="shared" si="48"/>
        <v>35.503794997420449</v>
      </c>
      <c r="CD303">
        <v>6.0156250000000001E-2</v>
      </c>
    </row>
    <row r="304" spans="1:101" x14ac:dyDescent="0.25">
      <c r="A304" s="6">
        <v>235</v>
      </c>
      <c r="B304" s="6">
        <v>2</v>
      </c>
      <c r="C304" t="s">
        <v>150</v>
      </c>
      <c r="D304" t="s">
        <v>209</v>
      </c>
      <c r="E304" t="s">
        <v>192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63648</v>
      </c>
      <c r="P304">
        <v>22668.293858265301</v>
      </c>
      <c r="Q304">
        <v>67</v>
      </c>
      <c r="R304">
        <v>50</v>
      </c>
      <c r="S304">
        <v>117</v>
      </c>
      <c r="T304">
        <v>8.1000000000000003E-2</v>
      </c>
      <c r="U304">
        <v>0.11600000000000001</v>
      </c>
      <c r="V304">
        <v>9.9000000000000005E-2</v>
      </c>
      <c r="W304">
        <v>9.2999999999999999E-2</v>
      </c>
      <c r="X304">
        <v>9.4E-2</v>
      </c>
      <c r="Y304">
        <v>0.109</v>
      </c>
      <c r="Z304">
        <v>9.5000000000000001E-2</v>
      </c>
      <c r="AA304">
        <v>7.1999999999999995E-2</v>
      </c>
      <c r="AB304">
        <v>9.8000000000000004E-2</v>
      </c>
      <c r="AC304">
        <v>0.113</v>
      </c>
      <c r="AD304">
        <v>0.108</v>
      </c>
      <c r="AE304">
        <v>0.125</v>
      </c>
      <c r="AF304">
        <v>9.8000000000000004E-2</v>
      </c>
      <c r="AG304">
        <v>0.107</v>
      </c>
      <c r="AH304">
        <v>0.125</v>
      </c>
      <c r="AI304">
        <v>7.4999999999999997E-2</v>
      </c>
      <c r="AJ304">
        <v>0.115</v>
      </c>
      <c r="AK304">
        <v>0.129</v>
      </c>
      <c r="AL304">
        <v>9.9000000000000005E-2</v>
      </c>
      <c r="AM304">
        <v>0.124</v>
      </c>
      <c r="CB304">
        <f t="shared" si="49"/>
        <v>3.6815050580000008E-2</v>
      </c>
      <c r="CC304">
        <f t="shared" si="48"/>
        <v>834.53438495434057</v>
      </c>
      <c r="CD304">
        <v>1.6368382800000001E-2</v>
      </c>
      <c r="CE304">
        <v>4.8075596800000002E-2</v>
      </c>
      <c r="CF304">
        <v>2.9885209199999999E-2</v>
      </c>
      <c r="CG304">
        <v>2.47741956E-2</v>
      </c>
      <c r="CH304">
        <v>2.55819872E-2</v>
      </c>
      <c r="CI304">
        <v>3.9886893200000002E-2</v>
      </c>
      <c r="CJ304">
        <v>2.6407150000000001E-2</v>
      </c>
      <c r="CK304">
        <v>1.14960384E-2</v>
      </c>
      <c r="CL304">
        <v>2.89887136E-2</v>
      </c>
      <c r="CM304">
        <v>4.4441227600000001E-2</v>
      </c>
      <c r="CN304">
        <v>3.8799129600000003E-2</v>
      </c>
      <c r="CO304">
        <v>6.0156250000000001E-2</v>
      </c>
      <c r="CP304">
        <v>2.89887136E-2</v>
      </c>
      <c r="CQ304">
        <v>3.7731324400000002E-2</v>
      </c>
      <c r="CR304">
        <v>6.0156250000000001E-2</v>
      </c>
      <c r="CS304">
        <v>1.299375E-2</v>
      </c>
      <c r="CT304">
        <v>4.6842950000000001E-2</v>
      </c>
      <c r="CU304">
        <v>6.6118021200000002E-2</v>
      </c>
      <c r="CV304">
        <v>2.9885209199999999E-2</v>
      </c>
      <c r="CW304">
        <v>5.8724019199999998E-2</v>
      </c>
    </row>
    <row r="305" spans="1:101" x14ac:dyDescent="0.25">
      <c r="A305" s="6">
        <v>17</v>
      </c>
      <c r="B305" s="6">
        <v>2</v>
      </c>
      <c r="C305" t="s">
        <v>151</v>
      </c>
      <c r="D305" t="s">
        <v>209</v>
      </c>
      <c r="E305" t="s">
        <v>192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8320</v>
      </c>
      <c r="P305">
        <v>3367.2450769853299</v>
      </c>
      <c r="Q305">
        <v>8</v>
      </c>
      <c r="R305">
        <v>0</v>
      </c>
      <c r="S305">
        <v>8</v>
      </c>
      <c r="T305">
        <v>9.2999999999999999E-2</v>
      </c>
      <c r="U305">
        <v>8.5000000000000006E-2</v>
      </c>
      <c r="V305">
        <v>0.09</v>
      </c>
      <c r="W305">
        <v>8.7999999999999995E-2</v>
      </c>
      <c r="X305">
        <v>9.5000000000000001E-2</v>
      </c>
      <c r="Y305">
        <v>8.5999999999999993E-2</v>
      </c>
      <c r="Z305">
        <v>0.09</v>
      </c>
      <c r="AA305">
        <v>0.105</v>
      </c>
      <c r="CB305">
        <f t="shared" si="49"/>
        <v>2.39046885E-2</v>
      </c>
      <c r="CC305">
        <f t="shared" si="48"/>
        <v>80.492944668492825</v>
      </c>
      <c r="CD305">
        <v>2.47741956E-2</v>
      </c>
      <c r="CE305">
        <v>1.8915049999999999E-2</v>
      </c>
      <c r="CF305">
        <v>2.24532E-2</v>
      </c>
      <c r="CG305">
        <v>2.0989337600000001E-2</v>
      </c>
      <c r="CH305">
        <v>2.6407150000000001E-2</v>
      </c>
      <c r="CI305">
        <v>1.9590524799999998E-2</v>
      </c>
      <c r="CJ305">
        <v>2.24532E-2</v>
      </c>
      <c r="CK305">
        <v>3.5654850000000002E-2</v>
      </c>
    </row>
    <row r="306" spans="1:101" x14ac:dyDescent="0.25">
      <c r="A306" s="6">
        <v>32</v>
      </c>
      <c r="B306" s="6">
        <v>2</v>
      </c>
      <c r="C306" t="s">
        <v>152</v>
      </c>
      <c r="D306" t="s">
        <v>209</v>
      </c>
      <c r="E306" t="s">
        <v>192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4032</v>
      </c>
      <c r="P306">
        <v>2143.2843521017999</v>
      </c>
      <c r="Q306">
        <v>12</v>
      </c>
      <c r="R306">
        <v>12</v>
      </c>
      <c r="S306">
        <v>24</v>
      </c>
      <c r="T306">
        <v>7.0999999999999994E-2</v>
      </c>
      <c r="U306">
        <v>7.8E-2</v>
      </c>
      <c r="V306">
        <v>0.122</v>
      </c>
      <c r="W306">
        <v>0.121</v>
      </c>
      <c r="X306">
        <v>9.1999999999999998E-2</v>
      </c>
      <c r="Y306">
        <v>0.08</v>
      </c>
      <c r="Z306">
        <v>0.11</v>
      </c>
      <c r="AA306">
        <v>0.115</v>
      </c>
      <c r="AB306">
        <v>9.1999999999999998E-2</v>
      </c>
      <c r="AC306">
        <v>9.9000000000000005E-2</v>
      </c>
      <c r="AD306">
        <v>0.111</v>
      </c>
      <c r="AE306">
        <v>8.2000000000000003E-2</v>
      </c>
      <c r="AF306">
        <v>8.5000000000000006E-2</v>
      </c>
      <c r="AG306">
        <v>0.09</v>
      </c>
      <c r="AH306">
        <v>9.4E-2</v>
      </c>
      <c r="AI306">
        <v>9.4E-2</v>
      </c>
      <c r="AJ306">
        <v>7.4999999999999997E-2</v>
      </c>
      <c r="AK306">
        <v>0.1</v>
      </c>
      <c r="AL306">
        <v>0.111</v>
      </c>
      <c r="AM306">
        <v>0.11600000000000001</v>
      </c>
      <c r="CB306">
        <f t="shared" si="49"/>
        <v>3.0161078639999998E-2</v>
      </c>
      <c r="CC306">
        <f t="shared" si="48"/>
        <v>64.643767891623838</v>
      </c>
      <c r="CD306">
        <v>1.1023658800000001E-2</v>
      </c>
      <c r="CE306">
        <v>1.46162016E-2</v>
      </c>
      <c r="CF306">
        <v>5.5928118399999997E-2</v>
      </c>
      <c r="CG306">
        <v>5.4564078799999999E-2</v>
      </c>
      <c r="CH306">
        <v>2.3983590400000001E-2</v>
      </c>
      <c r="CI306">
        <v>1.5769600000000002E-2</v>
      </c>
      <c r="CJ306">
        <v>4.0994799999999998E-2</v>
      </c>
      <c r="CK306">
        <v>4.6842950000000001E-2</v>
      </c>
      <c r="CL306">
        <v>2.3983590400000001E-2</v>
      </c>
      <c r="CM306">
        <v>2.9885209199999999E-2</v>
      </c>
      <c r="CN306">
        <v>4.21230348E-2</v>
      </c>
      <c r="CO306">
        <v>1.6982134400000001E-2</v>
      </c>
      <c r="CP306">
        <v>1.8915049999999999E-2</v>
      </c>
      <c r="CQ306">
        <v>2.24532E-2</v>
      </c>
      <c r="CR306">
        <v>2.55819872E-2</v>
      </c>
      <c r="CS306">
        <v>2.55819872E-2</v>
      </c>
      <c r="CT306">
        <v>1.299375E-2</v>
      </c>
      <c r="CU306">
        <v>3.0800000000000001E-2</v>
      </c>
      <c r="CV306">
        <v>4.21230348E-2</v>
      </c>
      <c r="CW306">
        <v>4.8075596800000002E-2</v>
      </c>
    </row>
    <row r="307" spans="1:101" x14ac:dyDescent="0.25">
      <c r="A307" s="6">
        <v>302</v>
      </c>
      <c r="B307" s="6">
        <v>2</v>
      </c>
      <c r="C307" t="s">
        <v>129</v>
      </c>
      <c r="D307" t="s">
        <v>213</v>
      </c>
      <c r="E307" t="s">
        <v>192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4.5</v>
      </c>
      <c r="P307">
        <v>2.9344829456122201</v>
      </c>
      <c r="Q307">
        <v>2</v>
      </c>
      <c r="R307">
        <v>-1</v>
      </c>
      <c r="S307">
        <v>2</v>
      </c>
      <c r="T307">
        <v>0.13800000000000001</v>
      </c>
      <c r="U307">
        <v>0.107</v>
      </c>
      <c r="CB307">
        <f t="shared" si="49"/>
        <v>5.9337971000000003E-2</v>
      </c>
      <c r="CC307">
        <f t="shared" si="48"/>
        <v>0.1741262639267325</v>
      </c>
      <c r="CD307">
        <v>8.0944617600000004E-2</v>
      </c>
      <c r="CE307">
        <v>3.7731324400000002E-2</v>
      </c>
    </row>
    <row r="308" spans="1:101" x14ac:dyDescent="0.25">
      <c r="A308" s="6">
        <v>202</v>
      </c>
      <c r="B308" s="6">
        <v>2</v>
      </c>
      <c r="C308" t="s">
        <v>132</v>
      </c>
      <c r="D308" t="s">
        <v>213</v>
      </c>
      <c r="E308" t="s">
        <v>192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784</v>
      </c>
      <c r="P308">
        <v>320.94519831920297</v>
      </c>
      <c r="Q308">
        <v>0</v>
      </c>
      <c r="R308">
        <v>1</v>
      </c>
      <c r="S308">
        <v>1</v>
      </c>
      <c r="T308">
        <v>0.126</v>
      </c>
      <c r="CB308">
        <f t="shared" si="49"/>
        <v>6.1611580800000003E-2</v>
      </c>
      <c r="CC308">
        <f t="shared" si="48"/>
        <v>19.773941018615599</v>
      </c>
      <c r="CD308">
        <v>6.1611580800000003E-2</v>
      </c>
    </row>
    <row r="309" spans="1:101" x14ac:dyDescent="0.25">
      <c r="A309" s="6">
        <v>143</v>
      </c>
      <c r="B309" s="6">
        <v>2</v>
      </c>
      <c r="C309" t="s">
        <v>145</v>
      </c>
      <c r="D309" t="s">
        <v>213</v>
      </c>
      <c r="E309" t="s">
        <v>192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3264</v>
      </c>
      <c r="P309">
        <v>1336.1800093289301</v>
      </c>
      <c r="Q309">
        <v>6</v>
      </c>
      <c r="R309">
        <v>0</v>
      </c>
      <c r="S309">
        <v>6</v>
      </c>
      <c r="T309">
        <v>0.11899999999999999</v>
      </c>
      <c r="U309">
        <v>0.105</v>
      </c>
      <c r="V309">
        <v>9.9000000000000005E-2</v>
      </c>
      <c r="W309">
        <v>0.123</v>
      </c>
      <c r="X309">
        <v>0.127</v>
      </c>
      <c r="Y309">
        <v>0.109</v>
      </c>
      <c r="CB309">
        <f t="shared" si="49"/>
        <v>4.6289124933333335E-2</v>
      </c>
      <c r="CC309">
        <f t="shared" si="48"/>
        <v>61.850603385249343</v>
      </c>
      <c r="CD309">
        <v>5.1902897199999999E-2</v>
      </c>
      <c r="CE309">
        <v>3.5654850000000002E-2</v>
      </c>
      <c r="CF309">
        <v>2.9885209199999999E-2</v>
      </c>
      <c r="CG309">
        <v>5.7314703600000003E-2</v>
      </c>
      <c r="CH309">
        <v>6.3090196400000007E-2</v>
      </c>
      <c r="CI309">
        <v>3.9886893200000002E-2</v>
      </c>
    </row>
    <row r="310" spans="1:101" x14ac:dyDescent="0.25">
      <c r="A310" s="6">
        <v>33</v>
      </c>
      <c r="B310" s="6">
        <v>2</v>
      </c>
      <c r="C310" t="s">
        <v>152</v>
      </c>
      <c r="D310" t="s">
        <v>213</v>
      </c>
      <c r="E310" t="s">
        <v>192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168</v>
      </c>
      <c r="P310">
        <v>89.303514670908399</v>
      </c>
      <c r="Q310">
        <v>1</v>
      </c>
      <c r="R310">
        <v>0</v>
      </c>
      <c r="S310">
        <v>1</v>
      </c>
      <c r="T310">
        <v>7.6999999999999999E-2</v>
      </c>
      <c r="CB310">
        <f t="shared" si="49"/>
        <v>1.40612164E-2</v>
      </c>
      <c r="CC310">
        <f t="shared" si="48"/>
        <v>1.2557160450682177</v>
      </c>
      <c r="CD310">
        <v>1.40612164E-2</v>
      </c>
    </row>
    <row r="311" spans="1:101" x14ac:dyDescent="0.25">
      <c r="A311" s="6">
        <v>316</v>
      </c>
      <c r="B311" s="6">
        <v>2</v>
      </c>
      <c r="C311" t="s">
        <v>117</v>
      </c>
      <c r="D311" t="s">
        <v>235</v>
      </c>
      <c r="E311" t="s">
        <v>192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1</v>
      </c>
      <c r="P311">
        <v>0.21869452846703499</v>
      </c>
      <c r="Q311">
        <v>1</v>
      </c>
      <c r="R311">
        <v>-1</v>
      </c>
      <c r="S311">
        <v>1</v>
      </c>
      <c r="T311">
        <v>0.19800000000000001</v>
      </c>
      <c r="CB311">
        <f t="shared" si="49"/>
        <v>7.7623919999999999E-2</v>
      </c>
      <c r="CC311">
        <f t="shared" si="48"/>
        <v>1.6975926582162848E-2</v>
      </c>
      <c r="CD311">
        <v>7.7623919999999999E-2</v>
      </c>
    </row>
    <row r="312" spans="1:101" x14ac:dyDescent="0.25">
      <c r="A312" s="6">
        <v>345</v>
      </c>
      <c r="B312" s="6">
        <v>2</v>
      </c>
      <c r="C312" t="s">
        <v>119</v>
      </c>
      <c r="D312" t="s">
        <v>235</v>
      </c>
      <c r="E312" t="s">
        <v>192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31.25</v>
      </c>
      <c r="P312">
        <v>16.728499379008301</v>
      </c>
      <c r="Q312">
        <v>1</v>
      </c>
      <c r="R312">
        <v>-1</v>
      </c>
      <c r="S312">
        <v>1</v>
      </c>
      <c r="T312">
        <v>0.21299999999999999</v>
      </c>
      <c r="CB312">
        <f t="shared" si="49"/>
        <v>9.6635970000000002E-2</v>
      </c>
      <c r="CC312">
        <f t="shared" si="48"/>
        <v>1.6165747641348649</v>
      </c>
      <c r="CD312">
        <v>9.6635970000000002E-2</v>
      </c>
    </row>
    <row r="313" spans="1:101" x14ac:dyDescent="0.25">
      <c r="A313" s="6">
        <v>303</v>
      </c>
      <c r="B313" s="6">
        <v>2</v>
      </c>
      <c r="C313" t="s">
        <v>129</v>
      </c>
      <c r="D313" t="s">
        <v>235</v>
      </c>
      <c r="E313" t="s">
        <v>192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2.25</v>
      </c>
      <c r="P313">
        <v>1.4672414728061101</v>
      </c>
      <c r="Q313">
        <v>1</v>
      </c>
      <c r="R313">
        <v>-1</v>
      </c>
      <c r="S313">
        <v>1</v>
      </c>
      <c r="T313">
        <v>0.30099999999999999</v>
      </c>
      <c r="CB313">
        <f t="shared" si="49"/>
        <v>0.27270900999999997</v>
      </c>
      <c r="CC313">
        <f t="shared" si="48"/>
        <v>0.40012996947989615</v>
      </c>
      <c r="CD313">
        <v>0.27270900999999997</v>
      </c>
    </row>
    <row r="314" spans="1:101" x14ac:dyDescent="0.25">
      <c r="A314" s="6">
        <v>250</v>
      </c>
      <c r="B314" s="6">
        <v>2</v>
      </c>
      <c r="C314" t="s">
        <v>112</v>
      </c>
      <c r="D314" t="s">
        <v>210</v>
      </c>
      <c r="E314" t="s">
        <v>192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5951.25</v>
      </c>
      <c r="P314">
        <v>904.43624261215598</v>
      </c>
      <c r="Q314">
        <v>115</v>
      </c>
      <c r="R314">
        <v>-1</v>
      </c>
      <c r="S314">
        <v>115</v>
      </c>
      <c r="T314">
        <v>0.219</v>
      </c>
      <c r="U314">
        <v>0.13800000000000001</v>
      </c>
      <c r="V314">
        <v>0.155</v>
      </c>
      <c r="W314">
        <v>0.192</v>
      </c>
      <c r="X314">
        <v>0.20200000000000001</v>
      </c>
      <c r="Y314">
        <v>0.19500000000000001</v>
      </c>
      <c r="Z314">
        <v>0.19700000000000001</v>
      </c>
      <c r="AA314">
        <v>0.16500000000000001</v>
      </c>
      <c r="AB314">
        <v>0.187</v>
      </c>
      <c r="AC314">
        <v>0.182</v>
      </c>
      <c r="AD314">
        <v>0.17599999999999999</v>
      </c>
      <c r="AE314">
        <v>0.17100000000000001</v>
      </c>
      <c r="AF314">
        <v>0.21099999999999999</v>
      </c>
      <c r="AG314">
        <v>0.16300000000000001</v>
      </c>
      <c r="AH314">
        <v>0.21099999999999999</v>
      </c>
      <c r="AI314">
        <v>0.17299999999999999</v>
      </c>
      <c r="AJ314">
        <v>0.21299999999999999</v>
      </c>
      <c r="AK314">
        <v>0.20100000000000001</v>
      </c>
      <c r="AL314">
        <v>0.193</v>
      </c>
      <c r="AM314">
        <v>0.19700000000000001</v>
      </c>
      <c r="CB314">
        <f t="shared" si="49"/>
        <v>6.7831393500000003E-2</v>
      </c>
      <c r="CC314">
        <f t="shared" si="48"/>
        <v>61.349170668286625</v>
      </c>
      <c r="CD314">
        <v>0.10503459</v>
      </c>
      <c r="CE314">
        <v>2.628072E-2</v>
      </c>
      <c r="CF314">
        <v>3.7238750000000001E-2</v>
      </c>
      <c r="CG314">
        <v>7.0778880000000002E-2</v>
      </c>
      <c r="CH314">
        <v>8.2424079999999997E-2</v>
      </c>
      <c r="CI314">
        <v>7.4148749999999999E-2</v>
      </c>
      <c r="CJ314">
        <v>7.6453729999999998E-2</v>
      </c>
      <c r="CK314">
        <v>4.4921250000000003E-2</v>
      </c>
      <c r="CL314">
        <v>6.5392030000000004E-2</v>
      </c>
      <c r="CM314">
        <v>6.0285680000000001E-2</v>
      </c>
      <c r="CN314">
        <v>5.4517759999999998E-2</v>
      </c>
      <c r="CO314">
        <v>5.0002110000000002E-2</v>
      </c>
      <c r="CP314">
        <v>9.3939309999999998E-2</v>
      </c>
      <c r="CQ314">
        <v>4.3307470000000001E-2</v>
      </c>
      <c r="CR314">
        <v>9.3939309999999998E-2</v>
      </c>
      <c r="CS314">
        <v>5.1777169999999997E-2</v>
      </c>
      <c r="CT314">
        <v>9.6635970000000002E-2</v>
      </c>
      <c r="CU314">
        <v>8.1206009999999995E-2</v>
      </c>
      <c r="CV314">
        <v>7.1890570000000001E-2</v>
      </c>
      <c r="CW314">
        <v>7.6453729999999998E-2</v>
      </c>
    </row>
    <row r="315" spans="1:101" x14ac:dyDescent="0.25">
      <c r="A315" s="6">
        <v>329</v>
      </c>
      <c r="B315" s="6">
        <v>2</v>
      </c>
      <c r="C315" t="s">
        <v>115</v>
      </c>
      <c r="D315" t="s">
        <v>210</v>
      </c>
      <c r="E315" t="s">
        <v>192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28</v>
      </c>
      <c r="P315">
        <v>4.7370060128331399</v>
      </c>
      <c r="Q315">
        <v>28</v>
      </c>
      <c r="R315">
        <v>-1</v>
      </c>
      <c r="S315">
        <v>28</v>
      </c>
      <c r="T315">
        <v>0.14599999999999999</v>
      </c>
      <c r="U315">
        <v>0.20899999999999999</v>
      </c>
      <c r="V315">
        <v>0.15</v>
      </c>
      <c r="W315">
        <v>0.14899999999999999</v>
      </c>
      <c r="X315">
        <v>0.14499999999999999</v>
      </c>
      <c r="Y315">
        <v>0.2</v>
      </c>
      <c r="Z315">
        <v>0.14899999999999999</v>
      </c>
      <c r="AA315">
        <v>0.16500000000000001</v>
      </c>
      <c r="AB315">
        <v>0.16500000000000001</v>
      </c>
      <c r="AC315">
        <v>0.156</v>
      </c>
      <c r="AD315">
        <v>0.122</v>
      </c>
      <c r="AE315">
        <v>0.129</v>
      </c>
      <c r="AF315">
        <v>0.14199999999999999</v>
      </c>
      <c r="AG315">
        <v>0.19400000000000001</v>
      </c>
      <c r="AH315">
        <v>0.183</v>
      </c>
      <c r="AI315">
        <v>0.13700000000000001</v>
      </c>
      <c r="AJ315">
        <v>0.16900000000000001</v>
      </c>
      <c r="AK315">
        <v>0.14799999999999999</v>
      </c>
      <c r="AL315">
        <v>0.13500000000000001</v>
      </c>
      <c r="AM315">
        <v>0.192</v>
      </c>
      <c r="CB315">
        <f t="shared" si="49"/>
        <v>4.3247783500000005E-2</v>
      </c>
      <c r="CC315">
        <f t="shared" si="48"/>
        <v>0.20486501048120587</v>
      </c>
      <c r="CD315">
        <v>3.1121360000000001E-2</v>
      </c>
      <c r="CE315">
        <v>9.1293289999999999E-2</v>
      </c>
      <c r="CF315">
        <v>3.3750000000000002E-2</v>
      </c>
      <c r="CG315">
        <v>3.3079490000000003E-2</v>
      </c>
      <c r="CH315">
        <v>3.0486249999999999E-2</v>
      </c>
      <c r="CI315">
        <v>0.08</v>
      </c>
      <c r="CJ315">
        <v>3.3079490000000003E-2</v>
      </c>
      <c r="CK315">
        <v>4.4921250000000003E-2</v>
      </c>
      <c r="CL315">
        <v>4.4921250000000003E-2</v>
      </c>
      <c r="CM315">
        <v>3.7964159999999997E-2</v>
      </c>
      <c r="CN315">
        <v>1.8158480000000001E-2</v>
      </c>
      <c r="CO315">
        <v>2.1466889999999999E-2</v>
      </c>
      <c r="CP315">
        <v>2.8632879999999999E-2</v>
      </c>
      <c r="CQ315">
        <v>7.3013839999999997E-2</v>
      </c>
      <c r="CR315">
        <v>6.1284869999999998E-2</v>
      </c>
      <c r="CS315">
        <v>2.5713529999999998E-2</v>
      </c>
      <c r="CT315">
        <v>4.826809E-2</v>
      </c>
      <c r="CU315">
        <v>3.2417920000000003E-2</v>
      </c>
      <c r="CV315">
        <v>2.4603750000000001E-2</v>
      </c>
      <c r="CW315">
        <v>7.0778880000000002E-2</v>
      </c>
    </row>
    <row r="316" spans="1:101" x14ac:dyDescent="0.25">
      <c r="A316" s="6">
        <v>317</v>
      </c>
      <c r="B316" s="6">
        <v>2</v>
      </c>
      <c r="C316" t="s">
        <v>117</v>
      </c>
      <c r="D316" t="s">
        <v>210</v>
      </c>
      <c r="E316" t="s">
        <v>192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27</v>
      </c>
      <c r="P316">
        <v>5.9047522686099496</v>
      </c>
      <c r="Q316">
        <v>27</v>
      </c>
      <c r="R316">
        <v>-1</v>
      </c>
      <c r="S316">
        <v>27</v>
      </c>
      <c r="T316">
        <v>0.115</v>
      </c>
      <c r="U316">
        <v>0.124</v>
      </c>
      <c r="V316">
        <v>0.14499999999999999</v>
      </c>
      <c r="W316">
        <v>0.157</v>
      </c>
      <c r="X316">
        <v>0.16400000000000001</v>
      </c>
      <c r="Y316">
        <v>0.151</v>
      </c>
      <c r="Z316">
        <v>0.158</v>
      </c>
      <c r="AA316">
        <v>0.19500000000000001</v>
      </c>
      <c r="AB316">
        <v>0.156</v>
      </c>
      <c r="AC316">
        <v>0.14299999999999999</v>
      </c>
      <c r="AD316">
        <v>0.188</v>
      </c>
      <c r="AE316">
        <v>0.16800000000000001</v>
      </c>
      <c r="AF316">
        <v>0.151</v>
      </c>
      <c r="AG316">
        <v>0.13700000000000001</v>
      </c>
      <c r="AH316">
        <v>0.13600000000000001</v>
      </c>
      <c r="AI316">
        <v>0.15</v>
      </c>
      <c r="AJ316">
        <v>0.13500000000000001</v>
      </c>
      <c r="AK316">
        <v>0.13</v>
      </c>
      <c r="AL316">
        <v>0.19700000000000001</v>
      </c>
      <c r="AM316">
        <v>0.20699999999999999</v>
      </c>
      <c r="CB316">
        <f t="shared" si="49"/>
        <v>4.0371638500000008E-2</v>
      </c>
      <c r="CC316">
        <f t="shared" si="48"/>
        <v>0.23838452402037583</v>
      </c>
      <c r="CD316">
        <v>1.520875E-2</v>
      </c>
      <c r="CE316">
        <v>1.9066240000000002E-2</v>
      </c>
      <c r="CF316">
        <v>3.0486249999999999E-2</v>
      </c>
      <c r="CG316">
        <v>3.8698929999999999E-2</v>
      </c>
      <c r="CH316">
        <v>4.410944E-2</v>
      </c>
      <c r="CI316">
        <v>3.4429510000000003E-2</v>
      </c>
      <c r="CJ316">
        <v>3.9443119999999998E-2</v>
      </c>
      <c r="CK316">
        <v>7.4148749999999999E-2</v>
      </c>
      <c r="CL316">
        <v>3.7964159999999997E-2</v>
      </c>
      <c r="CM316">
        <v>2.9242069999999998E-2</v>
      </c>
      <c r="CN316">
        <v>6.6446720000000001E-2</v>
      </c>
      <c r="CO316">
        <v>4.7416319999999998E-2</v>
      </c>
      <c r="CP316">
        <v>3.4429510000000003E-2</v>
      </c>
      <c r="CQ316">
        <v>2.5713529999999998E-2</v>
      </c>
      <c r="CR316">
        <v>2.5154559999999999E-2</v>
      </c>
      <c r="CS316">
        <v>3.3750000000000002E-2</v>
      </c>
      <c r="CT316">
        <v>2.4603750000000001E-2</v>
      </c>
      <c r="CU316">
        <v>2.197E-2</v>
      </c>
      <c r="CV316">
        <v>7.6453729999999998E-2</v>
      </c>
      <c r="CW316">
        <v>8.8697429999999994E-2</v>
      </c>
    </row>
    <row r="317" spans="1:101" x14ac:dyDescent="0.25">
      <c r="A317" s="6">
        <v>346</v>
      </c>
      <c r="B317" s="6">
        <v>2</v>
      </c>
      <c r="C317" t="s">
        <v>119</v>
      </c>
      <c r="D317" t="s">
        <v>210</v>
      </c>
      <c r="E317" t="s">
        <v>192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2406.25</v>
      </c>
      <c r="P317">
        <v>1288.09445218364</v>
      </c>
      <c r="Q317">
        <v>77</v>
      </c>
      <c r="R317">
        <v>-1</v>
      </c>
      <c r="S317">
        <v>77</v>
      </c>
      <c r="T317">
        <v>0.13700000000000001</v>
      </c>
      <c r="U317">
        <v>0.13500000000000001</v>
      </c>
      <c r="V317">
        <v>0.16300000000000001</v>
      </c>
      <c r="W317">
        <v>0.16</v>
      </c>
      <c r="X317">
        <v>0.127</v>
      </c>
      <c r="Y317">
        <v>0.126</v>
      </c>
      <c r="Z317">
        <v>0.219</v>
      </c>
      <c r="AA317">
        <v>0.185</v>
      </c>
      <c r="AB317">
        <v>0.161</v>
      </c>
      <c r="AC317">
        <v>0.13700000000000001</v>
      </c>
      <c r="AD317">
        <v>0.125</v>
      </c>
      <c r="AE317">
        <v>0.20599999999999999</v>
      </c>
      <c r="AF317">
        <v>0.191</v>
      </c>
      <c r="AG317">
        <v>0.18099999999999999</v>
      </c>
      <c r="AH317">
        <v>0.218</v>
      </c>
      <c r="AI317">
        <v>0.219</v>
      </c>
      <c r="AJ317">
        <v>0.14599999999999999</v>
      </c>
      <c r="AK317">
        <v>0.13800000000000001</v>
      </c>
      <c r="AL317">
        <v>0.13700000000000001</v>
      </c>
      <c r="AM317">
        <v>0.184</v>
      </c>
      <c r="CB317">
        <f t="shared" si="49"/>
        <v>5.0042130500000004E-2</v>
      </c>
      <c r="CC317">
        <f t="shared" si="48"/>
        <v>64.458990672499723</v>
      </c>
      <c r="CD317">
        <v>2.5713529999999998E-2</v>
      </c>
      <c r="CE317">
        <v>2.4603750000000001E-2</v>
      </c>
      <c r="CF317">
        <v>4.3307470000000001E-2</v>
      </c>
      <c r="CG317">
        <v>4.0960000000000003E-2</v>
      </c>
      <c r="CH317">
        <v>2.0483830000000001E-2</v>
      </c>
      <c r="CI317">
        <v>2.0003759999999999E-2</v>
      </c>
      <c r="CJ317">
        <v>0.10503459</v>
      </c>
      <c r="CK317">
        <v>6.3316250000000004E-2</v>
      </c>
      <c r="CL317">
        <v>4.1732810000000002E-2</v>
      </c>
      <c r="CM317">
        <v>2.5713529999999998E-2</v>
      </c>
      <c r="CN317">
        <v>1.953125E-2</v>
      </c>
      <c r="CO317">
        <v>8.7418159999999995E-2</v>
      </c>
      <c r="CP317">
        <v>6.9678710000000005E-2</v>
      </c>
      <c r="CQ317">
        <v>5.9297410000000002E-2</v>
      </c>
      <c r="CR317">
        <v>0.10360232</v>
      </c>
      <c r="CS317">
        <v>0.10503459</v>
      </c>
      <c r="CT317">
        <v>3.1121360000000001E-2</v>
      </c>
      <c r="CU317">
        <v>2.628072E-2</v>
      </c>
      <c r="CV317">
        <v>2.5713529999999998E-2</v>
      </c>
      <c r="CW317">
        <v>6.2295040000000003E-2</v>
      </c>
    </row>
    <row r="318" spans="1:101" x14ac:dyDescent="0.25">
      <c r="A318" s="6">
        <v>358</v>
      </c>
      <c r="B318" s="6">
        <v>2</v>
      </c>
      <c r="C318" t="s">
        <v>121</v>
      </c>
      <c r="D318" t="s">
        <v>210</v>
      </c>
      <c r="E318" t="s">
        <v>192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2200</v>
      </c>
      <c r="P318">
        <v>257.01949795083499</v>
      </c>
      <c r="Q318">
        <v>160</v>
      </c>
      <c r="R318">
        <v>-1</v>
      </c>
      <c r="S318">
        <v>160</v>
      </c>
      <c r="T318">
        <v>0.128</v>
      </c>
      <c r="U318">
        <v>0.13100000000000001</v>
      </c>
      <c r="V318">
        <v>0.193</v>
      </c>
      <c r="W318">
        <v>0.124</v>
      </c>
      <c r="X318">
        <v>0.19900000000000001</v>
      </c>
      <c r="Y318">
        <v>0.182</v>
      </c>
      <c r="Z318">
        <v>0.13500000000000001</v>
      </c>
      <c r="AA318">
        <v>0.18</v>
      </c>
      <c r="AB318">
        <v>0.13200000000000001</v>
      </c>
      <c r="AC318">
        <v>0.183</v>
      </c>
      <c r="AD318">
        <v>0.124</v>
      </c>
      <c r="AE318">
        <v>0.20599999999999999</v>
      </c>
      <c r="AF318">
        <v>0.23599999999999999</v>
      </c>
      <c r="AG318">
        <v>0.186</v>
      </c>
      <c r="AH318">
        <v>0.20899999999999999</v>
      </c>
      <c r="AI318">
        <v>0.17</v>
      </c>
      <c r="AJ318">
        <v>0.17599999999999999</v>
      </c>
      <c r="AK318">
        <v>0.19800000000000001</v>
      </c>
      <c r="AL318">
        <v>0.22500000000000001</v>
      </c>
      <c r="AM318">
        <v>0.189</v>
      </c>
      <c r="CB318">
        <f t="shared" si="49"/>
        <v>5.9848432000000007E-2</v>
      </c>
      <c r="CC318">
        <f t="shared" si="48"/>
        <v>15.38221394578469</v>
      </c>
      <c r="CD318">
        <v>2.097152E-2</v>
      </c>
      <c r="CE318">
        <v>2.248091E-2</v>
      </c>
      <c r="CF318">
        <v>7.1890570000000001E-2</v>
      </c>
      <c r="CG318">
        <v>1.9066240000000002E-2</v>
      </c>
      <c r="CH318">
        <v>7.8805990000000006E-2</v>
      </c>
      <c r="CI318">
        <v>6.0285680000000001E-2</v>
      </c>
      <c r="CJ318">
        <v>2.4603750000000001E-2</v>
      </c>
      <c r="CK318">
        <v>5.8319999999999997E-2</v>
      </c>
      <c r="CL318">
        <v>2.2999680000000002E-2</v>
      </c>
      <c r="CM318">
        <v>6.1284869999999998E-2</v>
      </c>
      <c r="CN318">
        <v>1.9066240000000002E-2</v>
      </c>
      <c r="CO318">
        <v>8.7418159999999995E-2</v>
      </c>
      <c r="CP318">
        <v>0.13144256000000001</v>
      </c>
      <c r="CQ318">
        <v>6.4348559999999999E-2</v>
      </c>
      <c r="CR318">
        <v>9.1293289999999999E-2</v>
      </c>
      <c r="CS318">
        <v>4.913E-2</v>
      </c>
      <c r="CT318">
        <v>5.4517759999999998E-2</v>
      </c>
      <c r="CU318">
        <v>7.7623919999999999E-2</v>
      </c>
      <c r="CV318">
        <v>0.11390625</v>
      </c>
      <c r="CW318">
        <v>6.751269E-2</v>
      </c>
    </row>
    <row r="319" spans="1:101" x14ac:dyDescent="0.25">
      <c r="A319" s="6">
        <v>286</v>
      </c>
      <c r="B319" s="6">
        <v>2</v>
      </c>
      <c r="C319" t="s">
        <v>123</v>
      </c>
      <c r="D319" t="s">
        <v>210</v>
      </c>
      <c r="E319" t="s">
        <v>192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21</v>
      </c>
      <c r="P319">
        <v>6.0254716483237498</v>
      </c>
      <c r="Q319">
        <v>21</v>
      </c>
      <c r="R319">
        <v>-1</v>
      </c>
      <c r="S319">
        <v>21</v>
      </c>
      <c r="T319">
        <v>0.159</v>
      </c>
      <c r="U319">
        <v>0.17199999999999999</v>
      </c>
      <c r="V319">
        <v>0.16200000000000001</v>
      </c>
      <c r="W319">
        <v>0.14599999999999999</v>
      </c>
      <c r="X319">
        <v>0.16500000000000001</v>
      </c>
      <c r="Y319">
        <v>0.107</v>
      </c>
      <c r="Z319">
        <v>0.17399999999999999</v>
      </c>
      <c r="AA319">
        <v>0.19500000000000001</v>
      </c>
      <c r="AB319">
        <v>0.17899999999999999</v>
      </c>
      <c r="AC319">
        <v>0.161</v>
      </c>
      <c r="AD319">
        <v>0.185</v>
      </c>
      <c r="AE319">
        <v>0.16300000000000001</v>
      </c>
      <c r="AF319">
        <v>0.16600000000000001</v>
      </c>
      <c r="AG319">
        <v>0.13400000000000001</v>
      </c>
      <c r="AH319">
        <v>0.16800000000000001</v>
      </c>
      <c r="AI319">
        <v>0.159</v>
      </c>
      <c r="AJ319">
        <v>0.14199999999999999</v>
      </c>
      <c r="AK319">
        <v>0.159</v>
      </c>
      <c r="AL319">
        <v>0.20499999999999999</v>
      </c>
      <c r="AM319">
        <v>0.124</v>
      </c>
      <c r="CB319">
        <f t="shared" si="49"/>
        <v>4.4294638499999997E-2</v>
      </c>
      <c r="CC319">
        <f t="shared" si="48"/>
        <v>0.26689608845449964</v>
      </c>
      <c r="CD319">
        <v>4.0196790000000003E-2</v>
      </c>
      <c r="CE319">
        <v>5.0884480000000003E-2</v>
      </c>
      <c r="CF319">
        <v>4.2515280000000003E-2</v>
      </c>
      <c r="CG319">
        <v>3.1121360000000001E-2</v>
      </c>
      <c r="CH319">
        <v>4.4921250000000003E-2</v>
      </c>
      <c r="CI319">
        <v>1.225043E-2</v>
      </c>
      <c r="CJ319">
        <v>5.2680240000000003E-2</v>
      </c>
      <c r="CK319">
        <v>7.4148749999999999E-2</v>
      </c>
      <c r="CL319">
        <v>5.7353389999999997E-2</v>
      </c>
      <c r="CM319">
        <v>4.1732810000000002E-2</v>
      </c>
      <c r="CN319">
        <v>6.3316250000000004E-2</v>
      </c>
      <c r="CO319">
        <v>4.3307470000000001E-2</v>
      </c>
      <c r="CP319">
        <v>4.5742959999999999E-2</v>
      </c>
      <c r="CQ319">
        <v>2.4061039999999999E-2</v>
      </c>
      <c r="CR319">
        <v>4.7416319999999998E-2</v>
      </c>
      <c r="CS319">
        <v>4.0196790000000003E-2</v>
      </c>
      <c r="CT319">
        <v>2.8632879999999999E-2</v>
      </c>
      <c r="CU319">
        <v>4.0196790000000003E-2</v>
      </c>
      <c r="CV319">
        <v>8.6151249999999999E-2</v>
      </c>
      <c r="CW319">
        <v>1.9066240000000002E-2</v>
      </c>
    </row>
    <row r="320" spans="1:101" x14ac:dyDescent="0.25">
      <c r="A320" s="6">
        <v>273</v>
      </c>
      <c r="B320" s="6">
        <v>2</v>
      </c>
      <c r="C320" t="s">
        <v>125</v>
      </c>
      <c r="D320" t="s">
        <v>210</v>
      </c>
      <c r="E320" t="s">
        <v>192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1032</v>
      </c>
      <c r="P320">
        <v>125.896637938737</v>
      </c>
      <c r="Q320">
        <v>172</v>
      </c>
      <c r="R320">
        <v>-1</v>
      </c>
      <c r="S320">
        <v>172</v>
      </c>
      <c r="T320">
        <v>0.13500000000000001</v>
      </c>
      <c r="U320">
        <v>0.19400000000000001</v>
      </c>
      <c r="V320">
        <v>0.219</v>
      </c>
      <c r="W320">
        <v>0.17799999999999999</v>
      </c>
      <c r="X320">
        <v>0.20100000000000001</v>
      </c>
      <c r="Y320">
        <v>0.17499999999999999</v>
      </c>
      <c r="Z320">
        <v>0.158</v>
      </c>
      <c r="AA320">
        <v>0.20899999999999999</v>
      </c>
      <c r="AB320">
        <v>0.20899999999999999</v>
      </c>
      <c r="AC320">
        <v>0.193</v>
      </c>
      <c r="AD320">
        <v>0.128</v>
      </c>
      <c r="AE320">
        <v>0.13600000000000001</v>
      </c>
      <c r="AF320">
        <v>0.2</v>
      </c>
      <c r="AG320">
        <v>0.19600000000000001</v>
      </c>
      <c r="AH320">
        <v>0.13900000000000001</v>
      </c>
      <c r="AI320">
        <v>0.17599999999999999</v>
      </c>
      <c r="AJ320">
        <v>0.125</v>
      </c>
      <c r="AK320">
        <v>0.124</v>
      </c>
      <c r="AL320">
        <v>0.19900000000000001</v>
      </c>
      <c r="AM320">
        <v>0.16800000000000001</v>
      </c>
      <c r="CB320">
        <f t="shared" si="49"/>
        <v>5.6769245999999995E-2</v>
      </c>
      <c r="CC320">
        <f t="shared" si="48"/>
        <v>7.1470572097170928</v>
      </c>
      <c r="CD320">
        <v>2.4603750000000001E-2</v>
      </c>
      <c r="CE320">
        <v>7.3013839999999997E-2</v>
      </c>
      <c r="CF320">
        <v>0.10503459</v>
      </c>
      <c r="CG320">
        <v>5.639752E-2</v>
      </c>
      <c r="CH320">
        <v>8.1206009999999995E-2</v>
      </c>
      <c r="CI320">
        <v>5.3593750000000002E-2</v>
      </c>
      <c r="CJ320">
        <v>3.9443119999999998E-2</v>
      </c>
      <c r="CK320">
        <v>9.1293289999999999E-2</v>
      </c>
      <c r="CL320">
        <v>9.1293289999999999E-2</v>
      </c>
      <c r="CM320">
        <v>7.1890570000000001E-2</v>
      </c>
      <c r="CN320">
        <v>2.097152E-2</v>
      </c>
      <c r="CO320">
        <v>2.5154559999999999E-2</v>
      </c>
      <c r="CP320">
        <v>0.08</v>
      </c>
      <c r="CQ320">
        <v>7.5295360000000006E-2</v>
      </c>
      <c r="CR320">
        <v>2.6856189999999999E-2</v>
      </c>
      <c r="CS320">
        <v>5.4517759999999998E-2</v>
      </c>
      <c r="CT320">
        <v>1.953125E-2</v>
      </c>
      <c r="CU320">
        <v>1.9066240000000002E-2</v>
      </c>
      <c r="CV320">
        <v>7.8805990000000006E-2</v>
      </c>
      <c r="CW320">
        <v>4.7416319999999998E-2</v>
      </c>
    </row>
    <row r="321" spans="1:101" x14ac:dyDescent="0.25">
      <c r="A321" s="6">
        <v>263</v>
      </c>
      <c r="B321" s="6">
        <v>2</v>
      </c>
      <c r="C321" t="s">
        <v>127</v>
      </c>
      <c r="D321" t="s">
        <v>210</v>
      </c>
      <c r="E321" t="s">
        <v>192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16</v>
      </c>
      <c r="P321">
        <v>8.1979206099642905</v>
      </c>
      <c r="Q321">
        <v>16</v>
      </c>
      <c r="R321">
        <v>-1</v>
      </c>
      <c r="S321">
        <v>16</v>
      </c>
      <c r="T321">
        <v>0.17399999999999999</v>
      </c>
      <c r="U321">
        <v>0.107</v>
      </c>
      <c r="V321">
        <v>0.153</v>
      </c>
      <c r="W321">
        <v>0.161</v>
      </c>
      <c r="X321">
        <v>0.13400000000000001</v>
      </c>
      <c r="Y321">
        <v>0.2</v>
      </c>
      <c r="Z321">
        <v>0.106</v>
      </c>
      <c r="AA321">
        <v>0.10299999999999999</v>
      </c>
      <c r="AB321">
        <v>0.152</v>
      </c>
      <c r="AC321">
        <v>0.154</v>
      </c>
      <c r="AD321">
        <v>0.11700000000000001</v>
      </c>
      <c r="AE321">
        <v>0.13600000000000001</v>
      </c>
      <c r="AF321">
        <v>0.121</v>
      </c>
      <c r="AG321">
        <v>9.1999999999999998E-2</v>
      </c>
      <c r="AH321">
        <v>0.14499999999999999</v>
      </c>
      <c r="AI321">
        <v>0.151</v>
      </c>
      <c r="CB321">
        <f t="shared" si="49"/>
        <v>2.9537961249999998E-2</v>
      </c>
      <c r="CC321">
        <f t="shared" si="48"/>
        <v>0.24214986130770155</v>
      </c>
      <c r="CD321">
        <v>5.2680240000000003E-2</v>
      </c>
      <c r="CE321">
        <v>1.225043E-2</v>
      </c>
      <c r="CF321">
        <v>3.5815769999999997E-2</v>
      </c>
      <c r="CG321">
        <v>4.1732810000000002E-2</v>
      </c>
      <c r="CH321">
        <v>2.4061039999999999E-2</v>
      </c>
      <c r="CI321">
        <v>0.08</v>
      </c>
      <c r="CJ321">
        <v>1.1910159999999999E-2</v>
      </c>
      <c r="CK321">
        <v>1.0927269999999999E-2</v>
      </c>
      <c r="CL321">
        <v>3.5118080000000003E-2</v>
      </c>
      <c r="CM321">
        <v>3.6522640000000002E-2</v>
      </c>
      <c r="CN321">
        <v>1.601613E-2</v>
      </c>
      <c r="CO321">
        <v>2.5154559999999999E-2</v>
      </c>
      <c r="CP321">
        <v>1.771561E-2</v>
      </c>
      <c r="CQ321">
        <v>7.7868800000000004E-3</v>
      </c>
      <c r="CR321">
        <v>3.0486249999999999E-2</v>
      </c>
      <c r="CS321">
        <v>3.4429510000000003E-2</v>
      </c>
    </row>
    <row r="322" spans="1:101" x14ac:dyDescent="0.25">
      <c r="A322" s="6">
        <v>304</v>
      </c>
      <c r="B322" s="6">
        <v>2</v>
      </c>
      <c r="C322" t="s">
        <v>129</v>
      </c>
      <c r="D322" t="s">
        <v>210</v>
      </c>
      <c r="E322" t="s">
        <v>192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234</v>
      </c>
      <c r="P322">
        <v>152.593113171835</v>
      </c>
      <c r="Q322">
        <v>104</v>
      </c>
      <c r="R322">
        <v>-1</v>
      </c>
      <c r="S322">
        <v>104</v>
      </c>
      <c r="T322">
        <v>0.17100000000000001</v>
      </c>
      <c r="U322">
        <v>0.19400000000000001</v>
      </c>
      <c r="V322">
        <v>0.19800000000000001</v>
      </c>
      <c r="W322">
        <v>0.11</v>
      </c>
      <c r="X322">
        <v>0.112</v>
      </c>
      <c r="Y322">
        <v>0.129</v>
      </c>
      <c r="Z322">
        <v>0.127</v>
      </c>
      <c r="AA322">
        <v>0.14299999999999999</v>
      </c>
      <c r="AB322">
        <v>0.112</v>
      </c>
      <c r="AC322">
        <v>0.14599999999999999</v>
      </c>
      <c r="AD322">
        <v>0.14899999999999999</v>
      </c>
      <c r="AE322">
        <v>0.17399999999999999</v>
      </c>
      <c r="AF322">
        <v>0.125</v>
      </c>
      <c r="AG322">
        <v>0.127</v>
      </c>
      <c r="AH322">
        <v>0.13600000000000001</v>
      </c>
      <c r="AI322">
        <v>0.189</v>
      </c>
      <c r="AJ322">
        <v>0.19700000000000001</v>
      </c>
      <c r="AK322">
        <v>0.16700000000000001</v>
      </c>
      <c r="AL322">
        <v>0.129</v>
      </c>
      <c r="AM322">
        <v>0.14399999999999999</v>
      </c>
      <c r="CB322">
        <f t="shared" si="49"/>
        <v>3.6857986499999995E-2</v>
      </c>
      <c r="CC322">
        <f t="shared" ref="CC322:CC358" si="50">CB322*P322</f>
        <v>5.6242749052804655</v>
      </c>
      <c r="CD322">
        <v>5.0002110000000002E-2</v>
      </c>
      <c r="CE322">
        <v>7.3013839999999997E-2</v>
      </c>
      <c r="CF322">
        <v>7.7623919999999999E-2</v>
      </c>
      <c r="CG322">
        <v>1.3310000000000001E-2</v>
      </c>
      <c r="CH322">
        <v>1.4049280000000001E-2</v>
      </c>
      <c r="CI322">
        <v>2.1466889999999999E-2</v>
      </c>
      <c r="CJ322">
        <v>2.0483830000000001E-2</v>
      </c>
      <c r="CK322">
        <v>2.9242069999999998E-2</v>
      </c>
      <c r="CL322">
        <v>1.4049280000000001E-2</v>
      </c>
      <c r="CM322">
        <v>3.1121360000000001E-2</v>
      </c>
      <c r="CN322">
        <v>3.3079490000000003E-2</v>
      </c>
      <c r="CO322">
        <v>5.2680240000000003E-2</v>
      </c>
      <c r="CP322">
        <v>1.953125E-2</v>
      </c>
      <c r="CQ322">
        <v>2.0483830000000001E-2</v>
      </c>
      <c r="CR322">
        <v>2.5154559999999999E-2</v>
      </c>
      <c r="CS322">
        <v>6.751269E-2</v>
      </c>
      <c r="CT322">
        <v>7.6453729999999998E-2</v>
      </c>
      <c r="CU322">
        <v>4.6574629999999999E-2</v>
      </c>
      <c r="CV322">
        <v>2.1466889999999999E-2</v>
      </c>
      <c r="CW322">
        <v>2.9859839999999999E-2</v>
      </c>
    </row>
    <row r="323" spans="1:101" x14ac:dyDescent="0.25">
      <c r="A323" s="6">
        <v>203</v>
      </c>
      <c r="B323" s="6">
        <v>2</v>
      </c>
      <c r="C323" t="s">
        <v>132</v>
      </c>
      <c r="D323" t="s">
        <v>210</v>
      </c>
      <c r="E323" t="s">
        <v>192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4704</v>
      </c>
      <c r="P323">
        <v>1925.6711899152201</v>
      </c>
      <c r="Q323">
        <v>3</v>
      </c>
      <c r="R323">
        <v>3</v>
      </c>
      <c r="S323">
        <v>6</v>
      </c>
      <c r="T323">
        <v>0.10299999999999999</v>
      </c>
      <c r="U323">
        <v>0.1</v>
      </c>
      <c r="V323">
        <v>0.126</v>
      </c>
      <c r="W323">
        <v>7.4999999999999997E-2</v>
      </c>
      <c r="X323">
        <v>0.14699999999999999</v>
      </c>
      <c r="Y323">
        <v>0.12</v>
      </c>
      <c r="CB323">
        <f t="shared" ref="CB323:CB358" si="51">AVERAGE(CD323:CW323)</f>
        <v>1.5699168333333333E-2</v>
      </c>
      <c r="CC323">
        <f t="shared" si="50"/>
        <v>30.231436165129342</v>
      </c>
      <c r="CD323">
        <v>1.0927269999999999E-2</v>
      </c>
      <c r="CE323">
        <v>0.01</v>
      </c>
      <c r="CF323">
        <v>2.0003759999999999E-2</v>
      </c>
      <c r="CG323">
        <v>4.2187500000000003E-3</v>
      </c>
      <c r="CH323">
        <v>3.1765229999999998E-2</v>
      </c>
      <c r="CI323">
        <v>1.728E-2</v>
      </c>
    </row>
    <row r="324" spans="1:101" x14ac:dyDescent="0.25">
      <c r="A324" s="6">
        <v>220</v>
      </c>
      <c r="B324" s="6">
        <v>2</v>
      </c>
      <c r="C324" t="s">
        <v>135</v>
      </c>
      <c r="D324" t="s">
        <v>210</v>
      </c>
      <c r="E324" t="s">
        <v>192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11712</v>
      </c>
      <c r="P324">
        <v>4390.7785198195797</v>
      </c>
      <c r="Q324">
        <v>6</v>
      </c>
      <c r="R324">
        <v>6</v>
      </c>
      <c r="S324">
        <v>12</v>
      </c>
      <c r="T324">
        <v>9.9000000000000005E-2</v>
      </c>
      <c r="U324">
        <v>0.115</v>
      </c>
      <c r="V324">
        <v>0.111</v>
      </c>
      <c r="W324">
        <v>0.125</v>
      </c>
      <c r="X324">
        <v>0.109</v>
      </c>
      <c r="Y324">
        <v>8.3000000000000004E-2</v>
      </c>
      <c r="Z324">
        <v>0.183</v>
      </c>
      <c r="AA324">
        <v>0.13200000000000001</v>
      </c>
      <c r="AB324">
        <v>0.105</v>
      </c>
      <c r="AC324">
        <v>9.5000000000000001E-2</v>
      </c>
      <c r="AD324">
        <v>0.182</v>
      </c>
      <c r="AE324">
        <v>9.0999999999999998E-2</v>
      </c>
      <c r="CB324">
        <f t="shared" si="51"/>
        <v>2.0753616666666665E-2</v>
      </c>
      <c r="CC324">
        <f t="shared" si="50"/>
        <v>91.124534268569619</v>
      </c>
      <c r="CD324">
        <v>9.7029899999999999E-3</v>
      </c>
      <c r="CE324">
        <v>1.520875E-2</v>
      </c>
      <c r="CF324">
        <v>1.3676310000000001E-2</v>
      </c>
      <c r="CG324">
        <v>1.953125E-2</v>
      </c>
      <c r="CH324">
        <v>1.295029E-2</v>
      </c>
      <c r="CI324">
        <v>5.7178699999999999E-3</v>
      </c>
      <c r="CJ324">
        <v>6.1284869999999998E-2</v>
      </c>
      <c r="CK324">
        <v>2.2999680000000002E-2</v>
      </c>
      <c r="CL324">
        <v>1.157625E-2</v>
      </c>
      <c r="CM324">
        <v>8.5737499999999998E-3</v>
      </c>
      <c r="CN324">
        <v>6.0285680000000001E-2</v>
      </c>
      <c r="CO324">
        <v>7.5357100000000002E-3</v>
      </c>
    </row>
    <row r="325" spans="1:101" x14ac:dyDescent="0.25">
      <c r="A325" s="6">
        <v>164</v>
      </c>
      <c r="B325" s="6">
        <v>2</v>
      </c>
      <c r="C325" t="s">
        <v>136</v>
      </c>
      <c r="D325" t="s">
        <v>210</v>
      </c>
      <c r="E325" t="s">
        <v>192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74880</v>
      </c>
      <c r="P325">
        <v>43013.840338264301</v>
      </c>
      <c r="Q325">
        <v>62</v>
      </c>
      <c r="R325">
        <v>55</v>
      </c>
      <c r="S325">
        <v>117</v>
      </c>
      <c r="T325">
        <v>0.12</v>
      </c>
      <c r="U325">
        <v>0.108</v>
      </c>
      <c r="V325">
        <v>0.126</v>
      </c>
      <c r="W325">
        <v>9.7000000000000003E-2</v>
      </c>
      <c r="X325">
        <v>0.122</v>
      </c>
      <c r="Y325">
        <v>0.17499999999999999</v>
      </c>
      <c r="Z325">
        <v>0.129</v>
      </c>
      <c r="AA325">
        <v>0.13</v>
      </c>
      <c r="AB325">
        <v>0.105</v>
      </c>
      <c r="AC325">
        <v>0.112</v>
      </c>
      <c r="AD325">
        <v>8.6999999999999994E-2</v>
      </c>
      <c r="AE325">
        <v>0.127</v>
      </c>
      <c r="AF325">
        <v>0.128</v>
      </c>
      <c r="AG325">
        <v>0.13400000000000001</v>
      </c>
      <c r="AH325">
        <v>7.8E-2</v>
      </c>
      <c r="AI325">
        <v>0.11799999999999999</v>
      </c>
      <c r="AJ325">
        <v>0.104</v>
      </c>
      <c r="AK325">
        <v>0.125</v>
      </c>
      <c r="AL325">
        <v>0.112</v>
      </c>
      <c r="AM325">
        <v>9.8000000000000004E-2</v>
      </c>
      <c r="CB325">
        <f t="shared" si="51"/>
        <v>1.7367030499999998E-2</v>
      </c>
      <c r="CC325">
        <f t="shared" si="50"/>
        <v>747.0226770767664</v>
      </c>
      <c r="CD325">
        <v>1.728E-2</v>
      </c>
      <c r="CE325">
        <v>1.259712E-2</v>
      </c>
      <c r="CF325">
        <v>2.0003759999999999E-2</v>
      </c>
      <c r="CG325">
        <v>9.1267299999999996E-3</v>
      </c>
      <c r="CH325">
        <v>1.8158480000000001E-2</v>
      </c>
      <c r="CI325">
        <v>5.3593750000000002E-2</v>
      </c>
      <c r="CJ325">
        <v>2.1466889999999999E-2</v>
      </c>
      <c r="CK325">
        <v>2.197E-2</v>
      </c>
      <c r="CL325">
        <v>1.157625E-2</v>
      </c>
      <c r="CM325">
        <v>1.4049280000000001E-2</v>
      </c>
      <c r="CN325">
        <v>6.5850300000000004E-3</v>
      </c>
      <c r="CO325">
        <v>2.0483830000000001E-2</v>
      </c>
      <c r="CP325">
        <v>2.097152E-2</v>
      </c>
      <c r="CQ325">
        <v>2.4061039999999999E-2</v>
      </c>
      <c r="CR325">
        <v>4.7455199999999996E-3</v>
      </c>
      <c r="CS325">
        <v>1.6430320000000002E-2</v>
      </c>
      <c r="CT325">
        <v>1.1248640000000001E-2</v>
      </c>
      <c r="CU325">
        <v>1.953125E-2</v>
      </c>
      <c r="CV325">
        <v>1.4049280000000001E-2</v>
      </c>
      <c r="CW325">
        <v>9.4119200000000007E-3</v>
      </c>
    </row>
    <row r="326" spans="1:101" x14ac:dyDescent="0.25">
      <c r="A326" s="6">
        <v>181</v>
      </c>
      <c r="B326" s="6">
        <v>2</v>
      </c>
      <c r="C326" t="s">
        <v>138</v>
      </c>
      <c r="D326" t="s">
        <v>210</v>
      </c>
      <c r="E326" t="s">
        <v>192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7744</v>
      </c>
      <c r="P326">
        <v>5516.0654738061303</v>
      </c>
      <c r="Q326">
        <v>2</v>
      </c>
      <c r="R326">
        <v>2</v>
      </c>
      <c r="S326">
        <v>4</v>
      </c>
      <c r="T326">
        <v>0.189</v>
      </c>
      <c r="U326">
        <v>0.19</v>
      </c>
      <c r="V326">
        <v>0.14699999999999999</v>
      </c>
      <c r="W326">
        <v>0.182</v>
      </c>
      <c r="CB326">
        <f t="shared" si="51"/>
        <v>5.7038400000000003E-2</v>
      </c>
      <c r="CC326">
        <f t="shared" si="50"/>
        <v>314.62754892114361</v>
      </c>
      <c r="CD326">
        <v>6.751269E-2</v>
      </c>
      <c r="CE326">
        <v>6.8589999999999998E-2</v>
      </c>
      <c r="CF326">
        <v>3.1765229999999998E-2</v>
      </c>
      <c r="CG326">
        <v>6.0285680000000001E-2</v>
      </c>
    </row>
    <row r="327" spans="1:101" x14ac:dyDescent="0.25">
      <c r="A327" s="6">
        <v>90</v>
      </c>
      <c r="B327" s="6">
        <v>2</v>
      </c>
      <c r="C327" t="s">
        <v>141</v>
      </c>
      <c r="D327" t="s">
        <v>210</v>
      </c>
      <c r="E327" t="s">
        <v>192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10824</v>
      </c>
      <c r="P327">
        <v>3779.3897798471098</v>
      </c>
      <c r="Q327">
        <v>7</v>
      </c>
      <c r="R327">
        <v>4</v>
      </c>
      <c r="S327">
        <v>11</v>
      </c>
      <c r="T327">
        <v>0.14499999999999999</v>
      </c>
      <c r="U327">
        <v>0.13700000000000001</v>
      </c>
      <c r="V327">
        <v>0.155</v>
      </c>
      <c r="W327">
        <v>0.14299999999999999</v>
      </c>
      <c r="X327">
        <v>0.20599999999999999</v>
      </c>
      <c r="Y327">
        <v>0.14000000000000001</v>
      </c>
      <c r="Z327">
        <v>0.121</v>
      </c>
      <c r="AA327">
        <v>7.5999999999999998E-2</v>
      </c>
      <c r="AB327">
        <v>0.121</v>
      </c>
      <c r="AC327">
        <v>0.16600000000000001</v>
      </c>
      <c r="AD327">
        <v>0.185</v>
      </c>
      <c r="CB327">
        <f t="shared" si="51"/>
        <v>3.512899545454546E-2</v>
      </c>
      <c r="CC327">
        <f t="shared" si="50"/>
        <v>132.7661663972047</v>
      </c>
      <c r="CD327">
        <v>3.0486249999999999E-2</v>
      </c>
      <c r="CE327">
        <v>2.5713529999999998E-2</v>
      </c>
      <c r="CF327">
        <v>3.7238750000000001E-2</v>
      </c>
      <c r="CG327">
        <v>2.9242069999999998E-2</v>
      </c>
      <c r="CH327">
        <v>8.7418159999999995E-2</v>
      </c>
      <c r="CI327">
        <v>2.7439999999999999E-2</v>
      </c>
      <c r="CJ327">
        <v>1.771561E-2</v>
      </c>
      <c r="CK327">
        <v>4.3897600000000004E-3</v>
      </c>
      <c r="CL327">
        <v>1.771561E-2</v>
      </c>
      <c r="CM327">
        <v>4.5742959999999999E-2</v>
      </c>
      <c r="CN327">
        <v>6.3316250000000004E-2</v>
      </c>
    </row>
    <row r="328" spans="1:101" x14ac:dyDescent="0.25">
      <c r="A328" s="6">
        <v>108</v>
      </c>
      <c r="B328" s="6">
        <v>2</v>
      </c>
      <c r="C328" t="s">
        <v>143</v>
      </c>
      <c r="D328" t="s">
        <v>210</v>
      </c>
      <c r="E328" t="s">
        <v>192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4736</v>
      </c>
      <c r="P328">
        <v>1637.6026841918199</v>
      </c>
      <c r="Q328">
        <v>1</v>
      </c>
      <c r="R328">
        <v>1</v>
      </c>
      <c r="S328">
        <v>2</v>
      </c>
      <c r="T328">
        <v>0.113</v>
      </c>
      <c r="U328">
        <v>0.17499999999999999</v>
      </c>
      <c r="CB328">
        <f t="shared" si="51"/>
        <v>3.4011360000000004E-2</v>
      </c>
      <c r="CC328">
        <f t="shared" si="50"/>
        <v>55.6970944290143</v>
      </c>
      <c r="CD328">
        <v>1.4428969999999999E-2</v>
      </c>
      <c r="CE328">
        <v>5.3593750000000002E-2</v>
      </c>
    </row>
    <row r="329" spans="1:101" x14ac:dyDescent="0.25">
      <c r="A329" s="6">
        <v>124</v>
      </c>
      <c r="B329" s="6">
        <v>2</v>
      </c>
      <c r="C329" t="s">
        <v>144</v>
      </c>
      <c r="D329" t="s">
        <v>210</v>
      </c>
      <c r="E329" t="s">
        <v>192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7168</v>
      </c>
      <c r="P329">
        <v>3003.3997718341602</v>
      </c>
      <c r="Q329">
        <v>4</v>
      </c>
      <c r="R329">
        <v>4</v>
      </c>
      <c r="S329">
        <v>8</v>
      </c>
      <c r="T329">
        <v>0.11799999999999999</v>
      </c>
      <c r="U329">
        <v>0.123</v>
      </c>
      <c r="V329">
        <v>0.10199999999999999</v>
      </c>
      <c r="W329">
        <v>0.16300000000000001</v>
      </c>
      <c r="X329">
        <v>0.154</v>
      </c>
      <c r="Y329">
        <v>0.159</v>
      </c>
      <c r="Z329">
        <v>0.13400000000000001</v>
      </c>
      <c r="AA329">
        <v>0.115</v>
      </c>
      <c r="CB329">
        <f t="shared" si="51"/>
        <v>2.5618470000000001E-2</v>
      </c>
      <c r="CC329">
        <f t="shared" si="50"/>
        <v>76.942506952740274</v>
      </c>
      <c r="CD329">
        <v>1.6430320000000002E-2</v>
      </c>
      <c r="CE329">
        <v>1.8608670000000001E-2</v>
      </c>
      <c r="CF329">
        <v>1.0612079999999999E-2</v>
      </c>
      <c r="CG329">
        <v>4.3307470000000001E-2</v>
      </c>
      <c r="CH329">
        <v>3.6522640000000002E-2</v>
      </c>
      <c r="CI329">
        <v>4.0196790000000003E-2</v>
      </c>
      <c r="CJ329">
        <v>2.4061039999999999E-2</v>
      </c>
      <c r="CK329">
        <v>1.520875E-2</v>
      </c>
    </row>
    <row r="330" spans="1:101" x14ac:dyDescent="0.25">
      <c r="A330" s="6">
        <v>144</v>
      </c>
      <c r="B330" s="6">
        <v>2</v>
      </c>
      <c r="C330" t="s">
        <v>145</v>
      </c>
      <c r="D330" t="s">
        <v>210</v>
      </c>
      <c r="E330" t="s">
        <v>192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16864</v>
      </c>
      <c r="P330">
        <v>6903.5967148661302</v>
      </c>
      <c r="Q330">
        <v>18</v>
      </c>
      <c r="R330">
        <v>13</v>
      </c>
      <c r="S330">
        <v>31</v>
      </c>
      <c r="T330">
        <v>0.13200000000000001</v>
      </c>
      <c r="U330">
        <v>8.4000000000000005E-2</v>
      </c>
      <c r="V330">
        <v>0.14000000000000001</v>
      </c>
      <c r="W330">
        <v>0.17299999999999999</v>
      </c>
      <c r="X330">
        <v>0.1</v>
      </c>
      <c r="Y330">
        <v>0.153</v>
      </c>
      <c r="Z330">
        <v>9.1999999999999998E-2</v>
      </c>
      <c r="AA330">
        <v>9.8000000000000004E-2</v>
      </c>
      <c r="AB330">
        <v>0.154</v>
      </c>
      <c r="AC330">
        <v>0.14000000000000001</v>
      </c>
      <c r="AD330">
        <v>0.16200000000000001</v>
      </c>
      <c r="AE330">
        <v>0.11700000000000001</v>
      </c>
      <c r="AF330">
        <v>0.13500000000000001</v>
      </c>
      <c r="AG330">
        <v>0.16300000000000001</v>
      </c>
      <c r="AH330">
        <v>0.105</v>
      </c>
      <c r="AI330">
        <v>0.13700000000000001</v>
      </c>
      <c r="AJ330">
        <v>0.16700000000000001</v>
      </c>
      <c r="AK330">
        <v>0.16500000000000001</v>
      </c>
      <c r="AL330">
        <v>0.13200000000000001</v>
      </c>
      <c r="AM330">
        <v>0.14199999999999999</v>
      </c>
      <c r="CB330">
        <f t="shared" si="51"/>
        <v>2.7099097499999995E-2</v>
      </c>
      <c r="CC330">
        <f t="shared" si="50"/>
        <v>187.08124047683694</v>
      </c>
      <c r="CD330">
        <v>2.2999680000000002E-2</v>
      </c>
      <c r="CE330">
        <v>5.9270399999999997E-3</v>
      </c>
      <c r="CF330">
        <v>2.7439999999999999E-2</v>
      </c>
      <c r="CG330">
        <v>5.1777169999999997E-2</v>
      </c>
      <c r="CH330">
        <v>0.01</v>
      </c>
      <c r="CI330">
        <v>3.5815769999999997E-2</v>
      </c>
      <c r="CJ330">
        <v>7.7868800000000004E-3</v>
      </c>
      <c r="CK330">
        <v>9.4119200000000007E-3</v>
      </c>
      <c r="CL330">
        <v>3.6522640000000002E-2</v>
      </c>
      <c r="CM330">
        <v>2.7439999999999999E-2</v>
      </c>
      <c r="CN330">
        <v>4.2515280000000003E-2</v>
      </c>
      <c r="CO330">
        <v>1.601613E-2</v>
      </c>
      <c r="CP330">
        <v>2.4603750000000001E-2</v>
      </c>
      <c r="CQ330">
        <v>4.3307470000000001E-2</v>
      </c>
      <c r="CR330">
        <v>1.157625E-2</v>
      </c>
      <c r="CS330">
        <v>2.5713529999999998E-2</v>
      </c>
      <c r="CT330">
        <v>4.6574629999999999E-2</v>
      </c>
      <c r="CU330">
        <v>4.4921250000000003E-2</v>
      </c>
      <c r="CV330">
        <v>2.2999680000000002E-2</v>
      </c>
      <c r="CW330">
        <v>2.8632879999999999E-2</v>
      </c>
    </row>
    <row r="331" spans="1:101" x14ac:dyDescent="0.25">
      <c r="A331" s="6">
        <v>53</v>
      </c>
      <c r="B331" s="6">
        <v>2</v>
      </c>
      <c r="C331" t="s">
        <v>146</v>
      </c>
      <c r="D331" t="s">
        <v>210</v>
      </c>
      <c r="E331" t="s">
        <v>192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7360</v>
      </c>
      <c r="P331">
        <v>2621.2707830070399</v>
      </c>
      <c r="Q331">
        <v>3</v>
      </c>
      <c r="R331">
        <v>2</v>
      </c>
      <c r="S331">
        <v>5</v>
      </c>
      <c r="T331">
        <v>0.17399999999999999</v>
      </c>
      <c r="U331">
        <v>0.16</v>
      </c>
      <c r="V331">
        <v>8.7999999999999995E-2</v>
      </c>
      <c r="W331">
        <v>0.183</v>
      </c>
      <c r="X331">
        <v>0.124</v>
      </c>
      <c r="CB331">
        <f t="shared" si="51"/>
        <v>3.6161214000000004E-2</v>
      </c>
      <c r="CC331">
        <f t="shared" si="50"/>
        <v>94.788333736265145</v>
      </c>
      <c r="CD331">
        <v>5.2680240000000003E-2</v>
      </c>
      <c r="CE331">
        <v>4.0960000000000003E-2</v>
      </c>
      <c r="CF331">
        <v>6.8147199999999998E-3</v>
      </c>
      <c r="CG331">
        <v>6.1284869999999998E-2</v>
      </c>
      <c r="CH331">
        <v>1.9066240000000002E-2</v>
      </c>
    </row>
    <row r="332" spans="1:101" x14ac:dyDescent="0.25">
      <c r="A332" s="6">
        <v>71</v>
      </c>
      <c r="B332" s="6">
        <v>2</v>
      </c>
      <c r="C332" t="s">
        <v>148</v>
      </c>
      <c r="D332" t="s">
        <v>210</v>
      </c>
      <c r="E332" t="s">
        <v>192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1856</v>
      </c>
      <c r="P332">
        <v>590.19295580127505</v>
      </c>
      <c r="Q332">
        <v>0</v>
      </c>
      <c r="R332">
        <v>1</v>
      </c>
      <c r="S332">
        <v>1</v>
      </c>
      <c r="T332">
        <v>0.16200000000000001</v>
      </c>
      <c r="CB332">
        <f t="shared" si="51"/>
        <v>4.2515280000000003E-2</v>
      </c>
      <c r="CC332">
        <f t="shared" si="50"/>
        <v>25.092218769918833</v>
      </c>
      <c r="CD332">
        <v>4.2515280000000003E-2</v>
      </c>
    </row>
    <row r="333" spans="1:101" x14ac:dyDescent="0.25">
      <c r="A333" s="6">
        <v>236</v>
      </c>
      <c r="B333" s="6">
        <v>2</v>
      </c>
      <c r="C333" t="s">
        <v>150</v>
      </c>
      <c r="D333" t="s">
        <v>210</v>
      </c>
      <c r="E333" t="s">
        <v>192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4352</v>
      </c>
      <c r="P333">
        <v>1549.9688108215601</v>
      </c>
      <c r="Q333">
        <v>5</v>
      </c>
      <c r="R333">
        <v>3</v>
      </c>
      <c r="S333">
        <v>8</v>
      </c>
      <c r="T333">
        <v>0.152</v>
      </c>
      <c r="U333">
        <v>0.115</v>
      </c>
      <c r="V333">
        <v>0.14099999999999999</v>
      </c>
      <c r="W333">
        <v>0.14399999999999999</v>
      </c>
      <c r="X333">
        <v>0.13500000000000001</v>
      </c>
      <c r="Y333">
        <v>0.16300000000000001</v>
      </c>
      <c r="Z333">
        <v>0.17499999999999999</v>
      </c>
      <c r="AA333">
        <v>0.16600000000000001</v>
      </c>
      <c r="CB333">
        <f t="shared" si="51"/>
        <v>3.4433351250000001E-2</v>
      </c>
      <c r="CC333">
        <f t="shared" si="50"/>
        <v>53.370620489563578</v>
      </c>
      <c r="CD333">
        <v>3.5118080000000003E-2</v>
      </c>
      <c r="CE333">
        <v>1.520875E-2</v>
      </c>
      <c r="CF333">
        <v>2.8032209999999998E-2</v>
      </c>
      <c r="CG333">
        <v>2.9859839999999999E-2</v>
      </c>
      <c r="CH333">
        <v>2.4603750000000001E-2</v>
      </c>
      <c r="CI333">
        <v>4.3307470000000001E-2</v>
      </c>
      <c r="CJ333">
        <v>5.3593750000000002E-2</v>
      </c>
      <c r="CK333">
        <v>4.5742959999999999E-2</v>
      </c>
    </row>
    <row r="334" spans="1:101" x14ac:dyDescent="0.25">
      <c r="A334" s="6">
        <v>18</v>
      </c>
      <c r="B334" s="6">
        <v>2</v>
      </c>
      <c r="C334" t="s">
        <v>151</v>
      </c>
      <c r="D334" t="s">
        <v>210</v>
      </c>
      <c r="E334" t="s">
        <v>192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19760</v>
      </c>
      <c r="P334">
        <v>7997.2070578401699</v>
      </c>
      <c r="Q334">
        <v>11</v>
      </c>
      <c r="R334">
        <v>8</v>
      </c>
      <c r="S334">
        <v>19</v>
      </c>
      <c r="T334">
        <v>0.152</v>
      </c>
      <c r="U334">
        <v>0.11799999999999999</v>
      </c>
      <c r="V334">
        <v>8.4000000000000005E-2</v>
      </c>
      <c r="W334">
        <v>0.107</v>
      </c>
      <c r="X334">
        <v>0.115</v>
      </c>
      <c r="Y334">
        <v>0.108</v>
      </c>
      <c r="Z334">
        <v>0.11700000000000001</v>
      </c>
      <c r="AA334">
        <v>0.104</v>
      </c>
      <c r="AB334">
        <v>8.5000000000000006E-2</v>
      </c>
      <c r="AC334">
        <v>9.8000000000000004E-2</v>
      </c>
      <c r="AD334">
        <v>0.106</v>
      </c>
      <c r="AE334">
        <v>0.121</v>
      </c>
      <c r="AF334">
        <v>8.6999999999999994E-2</v>
      </c>
      <c r="AG334">
        <v>0.191</v>
      </c>
      <c r="AH334">
        <v>9.6000000000000002E-2</v>
      </c>
      <c r="AI334">
        <v>0.09</v>
      </c>
      <c r="AJ334">
        <v>0.10199999999999999</v>
      </c>
      <c r="AK334">
        <v>0.17799999999999999</v>
      </c>
      <c r="AL334">
        <v>9.1999999999999998E-2</v>
      </c>
      <c r="CB334">
        <f t="shared" si="51"/>
        <v>1.7745948947368424E-2</v>
      </c>
      <c r="CC334">
        <f t="shared" si="50"/>
        <v>141.91802816996611</v>
      </c>
      <c r="CD334">
        <v>3.5118080000000003E-2</v>
      </c>
      <c r="CE334">
        <v>1.6430320000000002E-2</v>
      </c>
      <c r="CF334">
        <v>5.9270399999999997E-3</v>
      </c>
      <c r="CG334">
        <v>1.225043E-2</v>
      </c>
      <c r="CH334">
        <v>1.520875E-2</v>
      </c>
      <c r="CI334">
        <v>1.259712E-2</v>
      </c>
      <c r="CJ334">
        <v>1.601613E-2</v>
      </c>
      <c r="CK334">
        <v>1.1248640000000001E-2</v>
      </c>
      <c r="CL334">
        <v>6.14125E-3</v>
      </c>
      <c r="CM334">
        <v>9.4119200000000007E-3</v>
      </c>
      <c r="CN334">
        <v>1.1910159999999999E-2</v>
      </c>
      <c r="CO334">
        <v>1.771561E-2</v>
      </c>
      <c r="CP334">
        <v>6.5850300000000004E-3</v>
      </c>
      <c r="CQ334">
        <v>6.9678710000000005E-2</v>
      </c>
      <c r="CR334">
        <v>8.8473600000000003E-3</v>
      </c>
      <c r="CS334">
        <v>7.2899999999999996E-3</v>
      </c>
      <c r="CT334">
        <v>1.0612079999999999E-2</v>
      </c>
      <c r="CU334">
        <v>5.639752E-2</v>
      </c>
      <c r="CV334">
        <v>7.7868800000000004E-3</v>
      </c>
    </row>
    <row r="335" spans="1:101" x14ac:dyDescent="0.25">
      <c r="A335" s="6">
        <v>34</v>
      </c>
      <c r="B335" s="6">
        <v>2</v>
      </c>
      <c r="C335" t="s">
        <v>152</v>
      </c>
      <c r="D335" t="s">
        <v>210</v>
      </c>
      <c r="E335" t="s">
        <v>192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6720</v>
      </c>
      <c r="P335">
        <v>3572.1405868363299</v>
      </c>
      <c r="Q335">
        <v>19</v>
      </c>
      <c r="R335">
        <v>21</v>
      </c>
      <c r="S335">
        <v>40</v>
      </c>
      <c r="T335">
        <v>0.105</v>
      </c>
      <c r="U335">
        <v>0.16500000000000001</v>
      </c>
      <c r="V335">
        <v>0.113</v>
      </c>
      <c r="W335">
        <v>0.122</v>
      </c>
      <c r="X335">
        <v>0.18099999999999999</v>
      </c>
      <c r="Y335">
        <v>0.109</v>
      </c>
      <c r="Z335">
        <v>0.129</v>
      </c>
      <c r="AA335">
        <v>9.9000000000000005E-2</v>
      </c>
      <c r="AB335">
        <v>0.13900000000000001</v>
      </c>
      <c r="AC335">
        <v>9.6000000000000002E-2</v>
      </c>
      <c r="AD335">
        <v>0.11</v>
      </c>
      <c r="AE335">
        <v>0.105</v>
      </c>
      <c r="AF335">
        <v>0.123</v>
      </c>
      <c r="AG335">
        <v>0.115</v>
      </c>
      <c r="AH335">
        <v>0.108</v>
      </c>
      <c r="AI335">
        <v>0.11600000000000001</v>
      </c>
      <c r="AJ335">
        <v>0.10299999999999999</v>
      </c>
      <c r="AK335">
        <v>9.4E-2</v>
      </c>
      <c r="AL335">
        <v>0.192</v>
      </c>
      <c r="AM335">
        <v>0.11799999999999999</v>
      </c>
      <c r="CB335">
        <f t="shared" si="51"/>
        <v>2.1077907E-2</v>
      </c>
      <c r="CC335">
        <f t="shared" si="50"/>
        <v>75.29324708026158</v>
      </c>
      <c r="CD335">
        <v>1.157625E-2</v>
      </c>
      <c r="CE335">
        <v>4.4921250000000003E-2</v>
      </c>
      <c r="CF335">
        <v>1.4428969999999999E-2</v>
      </c>
      <c r="CG335">
        <v>1.8158480000000001E-2</v>
      </c>
      <c r="CH335">
        <v>5.9297410000000002E-2</v>
      </c>
      <c r="CI335">
        <v>1.295029E-2</v>
      </c>
      <c r="CJ335">
        <v>2.1466889999999999E-2</v>
      </c>
      <c r="CK335">
        <v>9.7029899999999999E-3</v>
      </c>
      <c r="CL335">
        <v>2.6856189999999999E-2</v>
      </c>
      <c r="CM335">
        <v>8.8473600000000003E-3</v>
      </c>
      <c r="CN335">
        <v>1.3310000000000001E-2</v>
      </c>
      <c r="CO335">
        <v>1.157625E-2</v>
      </c>
      <c r="CP335">
        <v>1.8608670000000001E-2</v>
      </c>
      <c r="CQ335">
        <v>1.520875E-2</v>
      </c>
      <c r="CR335">
        <v>1.259712E-2</v>
      </c>
      <c r="CS335">
        <v>1.560896E-2</v>
      </c>
      <c r="CT335">
        <v>1.0927269999999999E-2</v>
      </c>
      <c r="CU335">
        <v>8.3058400000000001E-3</v>
      </c>
      <c r="CV335">
        <v>7.0778880000000002E-2</v>
      </c>
      <c r="CW335">
        <v>1.6430320000000002E-2</v>
      </c>
    </row>
    <row r="336" spans="1:101" x14ac:dyDescent="0.25">
      <c r="A336" s="6">
        <v>204</v>
      </c>
      <c r="B336" s="6">
        <v>2</v>
      </c>
      <c r="C336" t="s">
        <v>132</v>
      </c>
      <c r="D336" t="s">
        <v>215</v>
      </c>
      <c r="E336" t="s">
        <v>192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784</v>
      </c>
      <c r="P336">
        <v>320.94519831920297</v>
      </c>
      <c r="Q336">
        <v>0</v>
      </c>
      <c r="R336">
        <v>1</v>
      </c>
      <c r="S336">
        <v>1</v>
      </c>
      <c r="T336">
        <v>0.36099999999999999</v>
      </c>
      <c r="BH336">
        <v>9.2564102564102593E-2</v>
      </c>
      <c r="CB336">
        <f t="shared" si="51"/>
        <v>0.16180566251623901</v>
      </c>
      <c r="CC336">
        <f t="shared" si="50"/>
        <v>51.930750445444353</v>
      </c>
      <c r="CD336">
        <v>0.16180566251623901</v>
      </c>
    </row>
    <row r="337" spans="1:101" x14ac:dyDescent="0.25">
      <c r="A337" s="6">
        <v>221</v>
      </c>
      <c r="B337" s="6">
        <v>2</v>
      </c>
      <c r="C337" t="s">
        <v>135</v>
      </c>
      <c r="D337" t="s">
        <v>215</v>
      </c>
      <c r="E337" t="s">
        <v>192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976</v>
      </c>
      <c r="P337">
        <v>365.89820998496498</v>
      </c>
      <c r="Q337">
        <v>1</v>
      </c>
      <c r="R337">
        <v>0</v>
      </c>
      <c r="S337">
        <v>1</v>
      </c>
      <c r="T337">
        <v>0.26100000000000001</v>
      </c>
      <c r="BH337">
        <v>6.0999999999999999E-2</v>
      </c>
      <c r="CB337">
        <f t="shared" si="51"/>
        <v>5.0804420471999998E-2</v>
      </c>
      <c r="CC337">
        <f t="shared" si="50"/>
        <v>18.58924651002831</v>
      </c>
      <c r="CD337">
        <v>5.0804420471999998E-2</v>
      </c>
    </row>
    <row r="338" spans="1:101" x14ac:dyDescent="0.25">
      <c r="A338" s="6">
        <v>165</v>
      </c>
      <c r="B338" s="6">
        <v>2</v>
      </c>
      <c r="C338" t="s">
        <v>136</v>
      </c>
      <c r="D338" t="s">
        <v>215</v>
      </c>
      <c r="E338" t="s">
        <v>192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3840</v>
      </c>
      <c r="P338">
        <v>2205.8379660648302</v>
      </c>
      <c r="Q338">
        <v>1</v>
      </c>
      <c r="R338">
        <v>5</v>
      </c>
      <c r="S338">
        <v>6</v>
      </c>
      <c r="T338">
        <v>0.34200000000000003</v>
      </c>
      <c r="U338">
        <v>0.1</v>
      </c>
      <c r="V338">
        <v>0.14299999999999999</v>
      </c>
      <c r="W338">
        <v>0.151</v>
      </c>
      <c r="X338">
        <v>8.5000000000000006E-2</v>
      </c>
      <c r="Y338">
        <v>9.9000000000000005E-2</v>
      </c>
      <c r="BH338">
        <v>8.7692307692307694E-2</v>
      </c>
      <c r="BI338">
        <v>3.9E-2</v>
      </c>
      <c r="BJ338">
        <v>5.8999999999999997E-2</v>
      </c>
      <c r="BK338">
        <v>5.8999999999999997E-2</v>
      </c>
      <c r="BL338">
        <v>2.7E-2</v>
      </c>
      <c r="BM338">
        <v>3.4000000000000002E-2</v>
      </c>
      <c r="CB338">
        <f t="shared" si="51"/>
        <v>3.4716708519077003E-2</v>
      </c>
      <c r="CC338">
        <f t="shared" si="50"/>
        <v>76.579433708186372</v>
      </c>
      <c r="CD338">
        <v>0.13757845513846201</v>
      </c>
      <c r="CE338">
        <v>7.9566551999999992E-3</v>
      </c>
      <c r="CF338">
        <v>2.6040024296000001E-2</v>
      </c>
      <c r="CG338">
        <v>2.7496808872000001E-2</v>
      </c>
      <c r="CH338">
        <v>3.2415130799999998E-3</v>
      </c>
      <c r="CI338">
        <v>5.9867945279999998E-3</v>
      </c>
    </row>
    <row r="339" spans="1:101" x14ac:dyDescent="0.25">
      <c r="A339" s="6">
        <v>182</v>
      </c>
      <c r="B339" s="6">
        <v>2</v>
      </c>
      <c r="C339" t="s">
        <v>138</v>
      </c>
      <c r="D339" t="s">
        <v>215</v>
      </c>
      <c r="E339" t="s">
        <v>192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60016</v>
      </c>
      <c r="P339">
        <v>42749.507421997499</v>
      </c>
      <c r="Q339">
        <v>17</v>
      </c>
      <c r="R339">
        <v>14</v>
      </c>
      <c r="S339">
        <v>31</v>
      </c>
      <c r="T339">
        <v>0.316</v>
      </c>
      <c r="U339">
        <v>0.38</v>
      </c>
      <c r="V339">
        <v>0.33300000000000002</v>
      </c>
      <c r="W339">
        <v>0.41699999999999998</v>
      </c>
      <c r="X339">
        <v>0.32900000000000001</v>
      </c>
      <c r="Y339">
        <v>0.30299999999999999</v>
      </c>
      <c r="Z339">
        <v>0.35299999999999998</v>
      </c>
      <c r="AA339">
        <v>0.24299999999999999</v>
      </c>
      <c r="AB339">
        <v>0.40200000000000002</v>
      </c>
      <c r="AC339">
        <v>0.33100000000000002</v>
      </c>
      <c r="AD339">
        <v>0.38100000000000001</v>
      </c>
      <c r="AE339">
        <v>0.28599999999999998</v>
      </c>
      <c r="AF339">
        <v>0.38900000000000001</v>
      </c>
      <c r="AG339">
        <v>0.374</v>
      </c>
      <c r="AH339">
        <v>0.32800000000000001</v>
      </c>
      <c r="AI339">
        <v>0.32300000000000001</v>
      </c>
      <c r="AJ339">
        <v>0.252</v>
      </c>
      <c r="AK339">
        <v>0.39600000000000002</v>
      </c>
      <c r="AL339">
        <v>0.41199999999999998</v>
      </c>
      <c r="AM339">
        <v>0.25700000000000001</v>
      </c>
      <c r="BH339">
        <v>0.10100000000000001</v>
      </c>
      <c r="BI339">
        <v>7.6999999999999999E-2</v>
      </c>
      <c r="BJ339">
        <v>8.5999999999999993E-2</v>
      </c>
      <c r="BK339">
        <v>0.08</v>
      </c>
      <c r="BL339">
        <v>7.0999999999999994E-2</v>
      </c>
      <c r="BM339">
        <v>7.0999999999999994E-2</v>
      </c>
      <c r="BN339">
        <v>6.8000000000000005E-2</v>
      </c>
      <c r="BO339">
        <v>7.2999999999999995E-2</v>
      </c>
      <c r="BP339">
        <v>0.09</v>
      </c>
      <c r="BQ339">
        <v>8.1000000000000003E-2</v>
      </c>
      <c r="BR339">
        <v>8.5000000000000006E-2</v>
      </c>
      <c r="BS339">
        <v>0.11600000000000001</v>
      </c>
      <c r="BT339">
        <v>8.7999999999999995E-2</v>
      </c>
      <c r="BU339">
        <v>8.6999999999999994E-2</v>
      </c>
      <c r="BV339">
        <v>7.5999999999999998E-2</v>
      </c>
      <c r="BW339">
        <v>7.0000000000000007E-2</v>
      </c>
      <c r="BX339">
        <v>6.9000000000000006E-2</v>
      </c>
      <c r="BY339">
        <v>8.4000000000000005E-2</v>
      </c>
      <c r="BZ339">
        <v>8.2000000000000003E-2</v>
      </c>
      <c r="CA339">
        <v>7.9000000000000001E-2</v>
      </c>
      <c r="CB339">
        <f t="shared" si="51"/>
        <v>0.121465822244</v>
      </c>
      <c r="CC339">
        <f t="shared" si="50"/>
        <v>5192.6040695389074</v>
      </c>
      <c r="CD339">
        <v>0.16862856899199999</v>
      </c>
      <c r="CE339">
        <v>0.11785998223999999</v>
      </c>
      <c r="CF339">
        <v>0.12883755081600001</v>
      </c>
      <c r="CG339">
        <v>0.13961026560000001</v>
      </c>
      <c r="CH339">
        <v>8.6758876568000007E-2</v>
      </c>
      <c r="CI339">
        <v>7.9902551976000005E-2</v>
      </c>
      <c r="CJ339">
        <v>8.5387412864000006E-2</v>
      </c>
      <c r="CK339">
        <v>6.7741267463999999E-2</v>
      </c>
      <c r="CL339">
        <v>0.17033833440000001</v>
      </c>
      <c r="CM339">
        <v>0.113605499592</v>
      </c>
      <c r="CN339">
        <v>0.14400055019999999</v>
      </c>
      <c r="CO339">
        <v>0.20131833779200001</v>
      </c>
      <c r="CP339">
        <v>0.15758550579200001</v>
      </c>
      <c r="CQ339">
        <v>0.14808512347200001</v>
      </c>
      <c r="CR339">
        <v>9.9106548736E-2</v>
      </c>
      <c r="CS339">
        <v>8.2794202400000003E-2</v>
      </c>
      <c r="CT339">
        <v>6.2762472863999996E-2</v>
      </c>
      <c r="CU339">
        <v>0.146168934912</v>
      </c>
      <c r="CV339">
        <v>0.14491930585599999</v>
      </c>
      <c r="CW339">
        <v>8.3905152344000006E-2</v>
      </c>
    </row>
    <row r="340" spans="1:101" x14ac:dyDescent="0.25">
      <c r="A340" s="6">
        <v>125</v>
      </c>
      <c r="B340" s="6">
        <v>2</v>
      </c>
      <c r="C340" t="s">
        <v>144</v>
      </c>
      <c r="D340" t="s">
        <v>215</v>
      </c>
      <c r="E340" t="s">
        <v>192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1792</v>
      </c>
      <c r="P340">
        <v>750.84994295853903</v>
      </c>
      <c r="Q340">
        <v>0</v>
      </c>
      <c r="R340">
        <v>2</v>
      </c>
      <c r="S340">
        <v>2</v>
      </c>
      <c r="T340">
        <v>0.28000000000000003</v>
      </c>
      <c r="U340">
        <v>0.252</v>
      </c>
      <c r="BH340">
        <v>6.2E-2</v>
      </c>
      <c r="BI340">
        <v>8.1000000000000003E-2</v>
      </c>
      <c r="CB340">
        <f t="shared" si="51"/>
        <v>7.1397823952000006E-2</v>
      </c>
      <c r="CC340">
        <f t="shared" si="50"/>
        <v>53.609052041723018</v>
      </c>
      <c r="CD340">
        <v>5.6304451839999999E-2</v>
      </c>
      <c r="CE340">
        <v>8.6491196064000006E-2</v>
      </c>
    </row>
    <row r="341" spans="1:101" x14ac:dyDescent="0.25">
      <c r="A341" s="6">
        <v>145</v>
      </c>
      <c r="B341" s="6">
        <v>2</v>
      </c>
      <c r="C341" t="s">
        <v>145</v>
      </c>
      <c r="D341" t="s">
        <v>215</v>
      </c>
      <c r="E341" t="s">
        <v>192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12512</v>
      </c>
      <c r="P341">
        <v>5122.0233690942196</v>
      </c>
      <c r="Q341">
        <v>10</v>
      </c>
      <c r="R341">
        <v>13</v>
      </c>
      <c r="S341">
        <v>23</v>
      </c>
      <c r="T341">
        <v>0.32400000000000001</v>
      </c>
      <c r="U341">
        <v>0.25900000000000001</v>
      </c>
      <c r="V341">
        <v>0.191</v>
      </c>
      <c r="W341">
        <v>0.34899999999999998</v>
      </c>
      <c r="X341">
        <v>0.27</v>
      </c>
      <c r="Y341">
        <v>0.32500000000000001</v>
      </c>
      <c r="Z341">
        <v>0.22900000000000001</v>
      </c>
      <c r="AA341">
        <v>0.33500000000000002</v>
      </c>
      <c r="AB341">
        <v>0.28899999999999998</v>
      </c>
      <c r="AC341">
        <v>0.38</v>
      </c>
      <c r="AD341">
        <v>0.311</v>
      </c>
      <c r="AE341">
        <v>0.38900000000000001</v>
      </c>
      <c r="AF341">
        <v>0.35699999999999998</v>
      </c>
      <c r="AG341">
        <v>0.24399999999999999</v>
      </c>
      <c r="AH341">
        <v>0.224</v>
      </c>
      <c r="AI341">
        <v>0.27400000000000002</v>
      </c>
      <c r="AJ341">
        <v>0.318</v>
      </c>
      <c r="AK341">
        <v>0.25700000000000001</v>
      </c>
      <c r="AL341">
        <v>0.34100000000000003</v>
      </c>
      <c r="AM341">
        <v>0.216</v>
      </c>
      <c r="BH341">
        <v>7.9000000000000001E-2</v>
      </c>
      <c r="BI341">
        <v>7.0999999999999994E-2</v>
      </c>
      <c r="BJ341">
        <v>7.2999999999999995E-2</v>
      </c>
      <c r="BK341">
        <v>8.5000000000000006E-2</v>
      </c>
      <c r="BL341">
        <v>7.2999999999999995E-2</v>
      </c>
      <c r="BM341">
        <v>7.8E-2</v>
      </c>
      <c r="BN341">
        <v>9.0999999999999998E-2</v>
      </c>
      <c r="BO341">
        <v>8.2000000000000003E-2</v>
      </c>
      <c r="BP341">
        <v>8.5000000000000006E-2</v>
      </c>
      <c r="BQ341">
        <v>9.0999999999999998E-2</v>
      </c>
      <c r="BR341">
        <v>7.6999999999999999E-2</v>
      </c>
      <c r="BS341">
        <v>6.6000000000000003E-2</v>
      </c>
      <c r="BT341">
        <v>7.6999999999999999E-2</v>
      </c>
      <c r="BU341">
        <v>6.4000000000000001E-2</v>
      </c>
      <c r="BV341">
        <v>0.11899999999999999</v>
      </c>
      <c r="BW341">
        <v>0.06</v>
      </c>
      <c r="BX341">
        <v>7.0999999999999994E-2</v>
      </c>
      <c r="BY341">
        <v>6.3E-2</v>
      </c>
      <c r="BZ341">
        <v>8.2000000000000003E-2</v>
      </c>
      <c r="CA341">
        <v>7.6999999999999999E-2</v>
      </c>
      <c r="CB341">
        <f t="shared" si="51"/>
        <v>9.5930933082399986E-2</v>
      </c>
      <c r="CC341">
        <f t="shared" si="50"/>
        <v>491.36048106706647</v>
      </c>
      <c r="CD341">
        <v>0.10577925820799999</v>
      </c>
      <c r="CE341">
        <v>6.8299541128000005E-2</v>
      </c>
      <c r="CF341">
        <v>5.3245193768E-2</v>
      </c>
      <c r="CG341">
        <v>0.1319060158</v>
      </c>
      <c r="CH341">
        <v>7.526807496E-2</v>
      </c>
      <c r="CI341">
        <v>0.1034365176</v>
      </c>
      <c r="CJ341">
        <v>9.9201808887999995E-2</v>
      </c>
      <c r="CK341">
        <v>0.11783487248000001</v>
      </c>
      <c r="CL341">
        <v>0.1092287638</v>
      </c>
      <c r="CM341">
        <v>0.16461435535999999</v>
      </c>
      <c r="CN341">
        <v>9.6459090728000005E-2</v>
      </c>
      <c r="CO341">
        <v>8.8641847007999999E-2</v>
      </c>
      <c r="CP341">
        <v>0.110726351736</v>
      </c>
      <c r="CQ341">
        <v>5.2281868288000001E-2</v>
      </c>
      <c r="CR341">
        <v>0.16593701196800001</v>
      </c>
      <c r="CS341">
        <v>5.1600556800000003E-2</v>
      </c>
      <c r="CT341">
        <v>8.3858123856E-2</v>
      </c>
      <c r="CU341">
        <v>5.3359966295999997E-2</v>
      </c>
      <c r="CV341">
        <v>0.11994534780799999</v>
      </c>
      <c r="CW341">
        <v>6.6994095168000006E-2</v>
      </c>
    </row>
    <row r="342" spans="1:101" x14ac:dyDescent="0.25">
      <c r="A342" s="6">
        <v>54</v>
      </c>
      <c r="B342" s="6">
        <v>2</v>
      </c>
      <c r="C342" t="s">
        <v>146</v>
      </c>
      <c r="D342" t="s">
        <v>215</v>
      </c>
      <c r="E342" t="s">
        <v>192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5888</v>
      </c>
      <c r="P342">
        <v>2097.0166264056402</v>
      </c>
      <c r="Q342">
        <v>2</v>
      </c>
      <c r="R342">
        <v>2</v>
      </c>
      <c r="S342">
        <v>4</v>
      </c>
      <c r="T342">
        <v>0.39900000000000002</v>
      </c>
      <c r="U342">
        <v>0.36199999999999999</v>
      </c>
      <c r="V342">
        <v>8.7999999999999995E-2</v>
      </c>
      <c r="W342">
        <v>0.36299999999999999</v>
      </c>
      <c r="BH342">
        <v>9.7000000000000003E-2</v>
      </c>
      <c r="BI342">
        <v>6.8000000000000005E-2</v>
      </c>
      <c r="BJ342">
        <v>3.2000000000000001E-2</v>
      </c>
      <c r="BK342">
        <v>7.8E-2</v>
      </c>
      <c r="CB342">
        <f t="shared" si="51"/>
        <v>0.101049560274</v>
      </c>
      <c r="CC342">
        <f t="shared" si="50"/>
        <v>211.90260798555687</v>
      </c>
      <c r="CD342">
        <v>0.196389239592</v>
      </c>
      <c r="CE342">
        <v>8.7564429055999995E-2</v>
      </c>
      <c r="CF342">
        <v>4.7139389439999997E-3</v>
      </c>
      <c r="CG342">
        <v>0.115530633504</v>
      </c>
    </row>
    <row r="343" spans="1:101" x14ac:dyDescent="0.25">
      <c r="A343" s="6">
        <v>237</v>
      </c>
      <c r="B343" s="6">
        <v>2</v>
      </c>
      <c r="C343" t="s">
        <v>150</v>
      </c>
      <c r="D343" t="s">
        <v>215</v>
      </c>
      <c r="E343" t="s">
        <v>192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544</v>
      </c>
      <c r="P343">
        <v>193.74610135269501</v>
      </c>
      <c r="Q343">
        <v>0</v>
      </c>
      <c r="R343">
        <v>1</v>
      </c>
      <c r="S343">
        <v>1</v>
      </c>
      <c r="T343">
        <v>0.33900000000000002</v>
      </c>
      <c r="BH343">
        <v>8.6923076923076895E-2</v>
      </c>
      <c r="CB343">
        <f t="shared" si="51"/>
        <v>0.13398963526153901</v>
      </c>
      <c r="CC343">
        <f t="shared" si="50"/>
        <v>25.959969453592773</v>
      </c>
      <c r="CD343">
        <v>0.13398963526153901</v>
      </c>
    </row>
    <row r="344" spans="1:101" x14ac:dyDescent="0.25">
      <c r="A344" s="6">
        <v>205</v>
      </c>
      <c r="B344" s="6">
        <v>2</v>
      </c>
      <c r="C344" t="s">
        <v>132</v>
      </c>
      <c r="D344" t="s">
        <v>211</v>
      </c>
      <c r="E344" t="s">
        <v>192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27440</v>
      </c>
      <c r="P344">
        <v>11233.0819411721</v>
      </c>
      <c r="Q344">
        <v>22</v>
      </c>
      <c r="R344">
        <v>13</v>
      </c>
      <c r="S344">
        <v>35</v>
      </c>
      <c r="T344">
        <v>0.32300000000000001</v>
      </c>
      <c r="U344">
        <v>0.20799999999999999</v>
      </c>
      <c r="V344">
        <v>0.193</v>
      </c>
      <c r="W344">
        <v>0.36199999999999999</v>
      </c>
      <c r="X344">
        <v>0.311</v>
      </c>
      <c r="Y344">
        <v>0.43</v>
      </c>
      <c r="Z344">
        <v>0.39</v>
      </c>
      <c r="AA344">
        <v>0.27900000000000003</v>
      </c>
      <c r="AB344">
        <v>0.32</v>
      </c>
      <c r="AC344">
        <v>0.26200000000000001</v>
      </c>
      <c r="AD344">
        <v>0.23499999999999999</v>
      </c>
      <c r="AE344">
        <v>0.35599999999999998</v>
      </c>
      <c r="AF344">
        <v>0.39300000000000002</v>
      </c>
      <c r="AG344">
        <v>0.42599999999999999</v>
      </c>
      <c r="AH344">
        <v>0.19900000000000001</v>
      </c>
      <c r="AI344">
        <v>0.34699999999999998</v>
      </c>
      <c r="AJ344">
        <v>0.34399999999999997</v>
      </c>
      <c r="AK344">
        <v>0.32800000000000001</v>
      </c>
      <c r="AL344">
        <v>0.24199999999999999</v>
      </c>
      <c r="AM344">
        <v>0.33600000000000002</v>
      </c>
      <c r="BH344">
        <v>7.0000000000000007E-2</v>
      </c>
      <c r="BI344">
        <v>9.0999999999999998E-2</v>
      </c>
      <c r="BJ344">
        <v>0.108</v>
      </c>
      <c r="BK344">
        <v>7.9000000000000001E-2</v>
      </c>
      <c r="BL344">
        <v>6.5000000000000002E-2</v>
      </c>
      <c r="BM344">
        <v>8.5999999999999993E-2</v>
      </c>
      <c r="BN344">
        <v>8.8999999999999996E-2</v>
      </c>
      <c r="BO344">
        <v>7.1999999999999995E-2</v>
      </c>
      <c r="BP344">
        <v>9.6000000000000002E-2</v>
      </c>
      <c r="BQ344">
        <v>0.06</v>
      </c>
      <c r="BR344">
        <v>0.10199999999999999</v>
      </c>
      <c r="BS344">
        <v>0.09</v>
      </c>
      <c r="BT344">
        <v>8.5999999999999993E-2</v>
      </c>
      <c r="BU344">
        <v>8.8999999999999996E-2</v>
      </c>
      <c r="BV344">
        <v>9.5000000000000001E-2</v>
      </c>
      <c r="BW344">
        <v>0.08</v>
      </c>
      <c r="BX344">
        <v>6.7000000000000004E-2</v>
      </c>
      <c r="BY344">
        <v>9.2999999999999999E-2</v>
      </c>
      <c r="BZ344">
        <v>6.9000000000000006E-2</v>
      </c>
      <c r="CA344">
        <v>0.08</v>
      </c>
      <c r="CB344">
        <f t="shared" si="51"/>
        <v>0.1152108554792</v>
      </c>
      <c r="CC344">
        <f t="shared" si="50"/>
        <v>1294.1729801103902</v>
      </c>
      <c r="CD344">
        <v>8.2794202400000003E-2</v>
      </c>
      <c r="CE344">
        <v>9.0104699775999997E-2</v>
      </c>
      <c r="CF344">
        <v>0.11776226342399999</v>
      </c>
      <c r="CG344">
        <v>0.118185467504</v>
      </c>
      <c r="CH344">
        <v>6.8736660199999994E-2</v>
      </c>
      <c r="CI344">
        <v>0.16636680736000001</v>
      </c>
      <c r="CJ344">
        <v>0.16160170728000001</v>
      </c>
      <c r="CK344">
        <v>7.5660728831999993E-2</v>
      </c>
      <c r="CL344">
        <v>0.15427436544000001</v>
      </c>
      <c r="CM344">
        <v>4.9340678399999997E-2</v>
      </c>
      <c r="CN344">
        <v>0.12789970128</v>
      </c>
      <c r="CO344">
        <v>0.1508468832</v>
      </c>
      <c r="CP344">
        <v>0.15205152393599999</v>
      </c>
      <c r="CQ344">
        <v>0.17651878795199999</v>
      </c>
      <c r="CR344">
        <v>9.39510442E-2</v>
      </c>
      <c r="CS344">
        <v>0.1161744896</v>
      </c>
      <c r="CT344">
        <v>8.0781027391999993E-2</v>
      </c>
      <c r="CU344">
        <v>0.14840244806399999</v>
      </c>
      <c r="CV344">
        <v>6.0271898544000002E-2</v>
      </c>
      <c r="CW344">
        <v>0.1124917248</v>
      </c>
    </row>
    <row r="345" spans="1:101" x14ac:dyDescent="0.25">
      <c r="A345" s="6">
        <v>222</v>
      </c>
      <c r="B345" s="6">
        <v>2</v>
      </c>
      <c r="C345" t="s">
        <v>135</v>
      </c>
      <c r="D345" t="s">
        <v>211</v>
      </c>
      <c r="E345" t="s">
        <v>192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10736</v>
      </c>
      <c r="P345">
        <v>4024.8803098346102</v>
      </c>
      <c r="Q345">
        <v>5</v>
      </c>
      <c r="R345">
        <v>6</v>
      </c>
      <c r="S345">
        <v>11</v>
      </c>
      <c r="T345">
        <v>0.188</v>
      </c>
      <c r="U345">
        <v>0.17499999999999999</v>
      </c>
      <c r="V345">
        <v>0.16</v>
      </c>
      <c r="W345">
        <v>0.189</v>
      </c>
      <c r="X345">
        <v>0.17599999999999999</v>
      </c>
      <c r="Y345">
        <v>0.16800000000000001</v>
      </c>
      <c r="Z345">
        <v>0.17899999999999999</v>
      </c>
      <c r="AA345">
        <v>0.17499999999999999</v>
      </c>
      <c r="AB345">
        <v>0.16200000000000001</v>
      </c>
      <c r="AC345">
        <v>0.16</v>
      </c>
      <c r="AD345">
        <v>0.17299999999999999</v>
      </c>
      <c r="BH345">
        <v>0.09</v>
      </c>
      <c r="BI345">
        <v>9.2999999999999999E-2</v>
      </c>
      <c r="BJ345">
        <v>0.10299999999999999</v>
      </c>
      <c r="BK345">
        <v>8.2000000000000003E-2</v>
      </c>
      <c r="BL345">
        <v>0.09</v>
      </c>
      <c r="BM345">
        <v>9.2999999999999999E-2</v>
      </c>
      <c r="BN345">
        <v>8.7999999999999995E-2</v>
      </c>
      <c r="BO345">
        <v>9.1999999999999998E-2</v>
      </c>
      <c r="BP345">
        <v>0.09</v>
      </c>
      <c r="BQ345">
        <v>9.9000000000000005E-2</v>
      </c>
      <c r="BR345">
        <v>8.7999999999999995E-2</v>
      </c>
      <c r="CB345">
        <f t="shared" si="51"/>
        <v>7.5950989097454555E-2</v>
      </c>
      <c r="CC345">
        <f t="shared" si="50"/>
        <v>305.69364053080801</v>
      </c>
      <c r="CD345">
        <v>7.9660713600000002E-2</v>
      </c>
      <c r="CE345">
        <v>7.9178135400000002E-2</v>
      </c>
      <c r="CF345">
        <v>8.8796481280000006E-2</v>
      </c>
      <c r="CG345">
        <v>6.6479972831999995E-2</v>
      </c>
      <c r="CH345">
        <v>7.4575987199999999E-2</v>
      </c>
      <c r="CI345">
        <v>7.6011009983999997E-2</v>
      </c>
      <c r="CJ345">
        <v>7.2513638911999995E-2</v>
      </c>
      <c r="CK345">
        <v>7.7484534399999999E-2</v>
      </c>
      <c r="CL345">
        <v>6.8643806399999993E-2</v>
      </c>
      <c r="CM345">
        <v>8.2033585919999999E-2</v>
      </c>
      <c r="CN345">
        <v>7.0083014144000005E-2</v>
      </c>
    </row>
    <row r="346" spans="1:101" x14ac:dyDescent="0.25">
      <c r="A346" s="6">
        <v>166</v>
      </c>
      <c r="B346" s="6">
        <v>2</v>
      </c>
      <c r="C346" t="s">
        <v>136</v>
      </c>
      <c r="D346" t="s">
        <v>211</v>
      </c>
      <c r="E346" t="s">
        <v>192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1920</v>
      </c>
      <c r="P346">
        <v>1102.9189830324201</v>
      </c>
      <c r="Q346">
        <v>2</v>
      </c>
      <c r="R346">
        <v>1</v>
      </c>
      <c r="S346">
        <v>3</v>
      </c>
      <c r="T346">
        <v>0.16200000000000001</v>
      </c>
      <c r="U346">
        <v>0.192</v>
      </c>
      <c r="V346">
        <v>0.19900000000000001</v>
      </c>
      <c r="BH346">
        <v>0.11</v>
      </c>
      <c r="BI346">
        <v>0.107</v>
      </c>
      <c r="BJ346">
        <v>0.156</v>
      </c>
      <c r="CB346">
        <f t="shared" si="51"/>
        <v>0.15695818028799999</v>
      </c>
      <c r="CC346">
        <f t="shared" si="50"/>
        <v>173.11215658186021</v>
      </c>
      <c r="CD346">
        <v>0.1025419824</v>
      </c>
      <c r="CE346">
        <v>0.114992656896</v>
      </c>
      <c r="CF346">
        <v>0.25333990156800001</v>
      </c>
    </row>
    <row r="347" spans="1:101" x14ac:dyDescent="0.25">
      <c r="A347" s="6">
        <v>91</v>
      </c>
      <c r="B347" s="6">
        <v>2</v>
      </c>
      <c r="C347" t="s">
        <v>141</v>
      </c>
      <c r="D347" t="s">
        <v>211</v>
      </c>
      <c r="E347" t="s">
        <v>192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36408</v>
      </c>
      <c r="P347">
        <v>12712.4928958494</v>
      </c>
      <c r="Q347">
        <v>23</v>
      </c>
      <c r="R347">
        <v>14</v>
      </c>
      <c r="S347">
        <v>37</v>
      </c>
      <c r="T347">
        <v>0.371</v>
      </c>
      <c r="U347">
        <v>0.317</v>
      </c>
      <c r="V347">
        <v>0.35699999999999998</v>
      </c>
      <c r="W347">
        <v>0.248</v>
      </c>
      <c r="X347">
        <v>0.32600000000000001</v>
      </c>
      <c r="Y347">
        <v>0.33200000000000002</v>
      </c>
      <c r="Z347">
        <v>0.36799999999999999</v>
      </c>
      <c r="AA347">
        <v>0.26900000000000002</v>
      </c>
      <c r="AB347">
        <v>0.29299999999999998</v>
      </c>
      <c r="AC347">
        <v>0.245</v>
      </c>
      <c r="AD347">
        <v>0.35</v>
      </c>
      <c r="AE347">
        <v>0.33600000000000002</v>
      </c>
      <c r="AF347">
        <v>0.29199999999999998</v>
      </c>
      <c r="AG347">
        <v>0.34300000000000003</v>
      </c>
      <c r="AH347">
        <v>0.307</v>
      </c>
      <c r="AI347">
        <v>0.24199999999999999</v>
      </c>
      <c r="AJ347">
        <v>0.26200000000000001</v>
      </c>
      <c r="AK347">
        <v>0.191</v>
      </c>
      <c r="AL347">
        <v>0.189</v>
      </c>
      <c r="AM347">
        <v>0.36899999999999999</v>
      </c>
      <c r="BH347">
        <v>7.6999999999999999E-2</v>
      </c>
      <c r="BI347">
        <v>8.7999999999999995E-2</v>
      </c>
      <c r="BJ347">
        <v>8.8999999999999996E-2</v>
      </c>
      <c r="BK347">
        <v>8.2000000000000003E-2</v>
      </c>
      <c r="BL347">
        <v>8.1000000000000003E-2</v>
      </c>
      <c r="BM347">
        <v>8.2000000000000003E-2</v>
      </c>
      <c r="BN347">
        <v>8.3000000000000004E-2</v>
      </c>
      <c r="BO347">
        <v>7.9000000000000001E-2</v>
      </c>
      <c r="BP347">
        <v>7.5999999999999998E-2</v>
      </c>
      <c r="BQ347">
        <v>0.104</v>
      </c>
      <c r="BR347">
        <v>8.5000000000000006E-2</v>
      </c>
      <c r="BS347">
        <v>9.0999999999999998E-2</v>
      </c>
      <c r="BT347">
        <v>7.4999999999999997E-2</v>
      </c>
      <c r="BU347">
        <v>7.5999999999999998E-2</v>
      </c>
      <c r="BV347">
        <v>7.8E-2</v>
      </c>
      <c r="BW347">
        <v>7.6999999999999999E-2</v>
      </c>
      <c r="BX347">
        <v>6.7000000000000004E-2</v>
      </c>
      <c r="BY347">
        <v>7.8E-2</v>
      </c>
      <c r="BZ347">
        <v>7.3999999999999996E-2</v>
      </c>
      <c r="CA347">
        <v>9.2999999999999999E-2</v>
      </c>
      <c r="CB347">
        <f t="shared" si="51"/>
        <v>0.1069242266456</v>
      </c>
      <c r="CC347">
        <f t="shared" si="50"/>
        <v>1359.2734716263813</v>
      </c>
      <c r="CD347">
        <v>0.115068561608</v>
      </c>
      <c r="CE347">
        <v>0.128418008576</v>
      </c>
      <c r="CF347">
        <v>0.14792771666400001</v>
      </c>
      <c r="CG347">
        <v>8.7232980224000001E-2</v>
      </c>
      <c r="CH347">
        <v>0.111889404432</v>
      </c>
      <c r="CI347">
        <v>0.116779634816</v>
      </c>
      <c r="CJ347">
        <v>0.132618871424</v>
      </c>
      <c r="CK347">
        <v>8.7822902647999995E-2</v>
      </c>
      <c r="CL347">
        <v>8.8531154816000004E-2</v>
      </c>
      <c r="CM347">
        <v>0.13862261504000001</v>
      </c>
      <c r="CN347">
        <v>0.13228397</v>
      </c>
      <c r="CO347">
        <v>0.14555374579200001</v>
      </c>
      <c r="CP347">
        <v>8.5922460000000006E-2</v>
      </c>
      <c r="CQ347">
        <v>0.103638860416</v>
      </c>
      <c r="CR347">
        <v>9.7707725856000002E-2</v>
      </c>
      <c r="CS347">
        <v>7.5058199216000002E-2</v>
      </c>
      <c r="CT347">
        <v>6.1525084815999997E-2</v>
      </c>
      <c r="CU347">
        <v>6.0788845728000002E-2</v>
      </c>
      <c r="CV347">
        <v>5.4141036768E-2</v>
      </c>
      <c r="CW347">
        <v>0.166952754072</v>
      </c>
    </row>
    <row r="348" spans="1:101" x14ac:dyDescent="0.25">
      <c r="A348" s="6">
        <v>109</v>
      </c>
      <c r="B348" s="6">
        <v>2</v>
      </c>
      <c r="C348" t="s">
        <v>143</v>
      </c>
      <c r="D348" t="s">
        <v>211</v>
      </c>
      <c r="E348" t="s">
        <v>192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9472</v>
      </c>
      <c r="P348">
        <v>3275.2053683836398</v>
      </c>
      <c r="Q348">
        <v>2</v>
      </c>
      <c r="R348">
        <v>2</v>
      </c>
      <c r="S348">
        <v>4</v>
      </c>
      <c r="T348">
        <v>0.17</v>
      </c>
      <c r="U348">
        <v>0.19700000000000001</v>
      </c>
      <c r="V348">
        <v>0.30299999999999999</v>
      </c>
      <c r="W348">
        <v>0.34899999999999998</v>
      </c>
      <c r="BH348">
        <v>5.8620689655172399E-2</v>
      </c>
      <c r="BI348">
        <v>8.6999999999999994E-2</v>
      </c>
      <c r="BJ348">
        <v>0.10448275862068999</v>
      </c>
      <c r="BK348">
        <v>0.120344827586207</v>
      </c>
      <c r="CB348">
        <f t="shared" si="51"/>
        <v>0.13650223633818531</v>
      </c>
      <c r="CC348">
        <f t="shared" si="50"/>
        <v>447.07285725119687</v>
      </c>
      <c r="CD348">
        <v>3.05599115338882E-2</v>
      </c>
      <c r="CE348">
        <v>7.8002057016000007E-2</v>
      </c>
      <c r="CF348">
        <v>0.17303470387919101</v>
      </c>
      <c r="CG348">
        <v>0.26441227292366198</v>
      </c>
    </row>
    <row r="349" spans="1:101" x14ac:dyDescent="0.25">
      <c r="A349" s="6">
        <v>146</v>
      </c>
      <c r="B349" s="6">
        <v>2</v>
      </c>
      <c r="C349" t="s">
        <v>145</v>
      </c>
      <c r="D349" t="s">
        <v>211</v>
      </c>
      <c r="E349" t="s">
        <v>192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2720</v>
      </c>
      <c r="P349">
        <v>1113.4833411074401</v>
      </c>
      <c r="Q349">
        <v>5</v>
      </c>
      <c r="R349">
        <v>0</v>
      </c>
      <c r="S349">
        <v>5</v>
      </c>
      <c r="T349">
        <v>0.185</v>
      </c>
      <c r="U349">
        <v>0.20200000000000001</v>
      </c>
      <c r="V349">
        <v>0.17</v>
      </c>
      <c r="W349">
        <v>0.18</v>
      </c>
      <c r="X349">
        <v>0.189</v>
      </c>
      <c r="BH349">
        <v>9.4E-2</v>
      </c>
      <c r="BI349">
        <v>0.108</v>
      </c>
      <c r="BJ349">
        <v>0.10199999999999999</v>
      </c>
      <c r="BK349">
        <v>8.6999999999999994E-2</v>
      </c>
      <c r="BL349">
        <v>9.2999999999999999E-2</v>
      </c>
      <c r="CB349">
        <f t="shared" si="51"/>
        <v>9.1614518257600003E-2</v>
      </c>
      <c r="CC349">
        <f t="shared" si="50"/>
        <v>102.01123988342103</v>
      </c>
      <c r="CD349">
        <v>8.5512333920000003E-2</v>
      </c>
      <c r="CE349">
        <v>0.123253767936</v>
      </c>
      <c r="CF349">
        <v>9.2523188160000006E-2</v>
      </c>
      <c r="CG349">
        <v>7.1270915039999994E-2</v>
      </c>
      <c r="CH349">
        <v>8.5512386231999998E-2</v>
      </c>
    </row>
    <row r="350" spans="1:101" x14ac:dyDescent="0.25">
      <c r="A350" s="6">
        <v>55</v>
      </c>
      <c r="B350" s="6">
        <v>2</v>
      </c>
      <c r="C350" t="s">
        <v>146</v>
      </c>
      <c r="D350" t="s">
        <v>211</v>
      </c>
      <c r="E350" t="s">
        <v>192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22080</v>
      </c>
      <c r="P350">
        <v>7863.8123490211301</v>
      </c>
      <c r="Q350">
        <v>9</v>
      </c>
      <c r="R350">
        <v>6</v>
      </c>
      <c r="S350">
        <v>15</v>
      </c>
      <c r="T350">
        <v>0.193</v>
      </c>
      <c r="U350">
        <v>0.20699999999999999</v>
      </c>
      <c r="V350">
        <v>0.19</v>
      </c>
      <c r="W350">
        <v>0.17399999999999999</v>
      </c>
      <c r="X350">
        <v>0.182</v>
      </c>
      <c r="Y350">
        <v>0.16700000000000001</v>
      </c>
      <c r="Z350">
        <v>0.153</v>
      </c>
      <c r="AA350">
        <v>0.189</v>
      </c>
      <c r="AB350">
        <v>0.13100000000000001</v>
      </c>
      <c r="AC350">
        <v>0.128</v>
      </c>
      <c r="AD350">
        <v>0.156</v>
      </c>
      <c r="AE350">
        <v>0.21099999999999999</v>
      </c>
      <c r="AF350">
        <v>0.128</v>
      </c>
      <c r="AG350">
        <v>0.189</v>
      </c>
      <c r="AH350">
        <v>0.14000000000000001</v>
      </c>
      <c r="BH350">
        <v>8.5000000000000006E-2</v>
      </c>
      <c r="BI350">
        <v>9.4E-2</v>
      </c>
      <c r="BJ350">
        <v>8.5999999999999993E-2</v>
      </c>
      <c r="BK350">
        <v>9.7000000000000003E-2</v>
      </c>
      <c r="BL350">
        <v>0.09</v>
      </c>
      <c r="BM350">
        <v>8.2000000000000003E-2</v>
      </c>
      <c r="BN350">
        <v>0.1</v>
      </c>
      <c r="BO350">
        <v>7.5999999999999998E-2</v>
      </c>
      <c r="BP350">
        <v>4.5172413793103501E-2</v>
      </c>
      <c r="BQ350">
        <v>0.107</v>
      </c>
      <c r="BR350">
        <v>0.11600000000000001</v>
      </c>
      <c r="BS350">
        <v>8.8999999999999996E-2</v>
      </c>
      <c r="BT350">
        <v>0.106</v>
      </c>
      <c r="BU350">
        <v>0.11</v>
      </c>
      <c r="BV350">
        <v>0.115</v>
      </c>
      <c r="CB350">
        <f t="shared" si="51"/>
        <v>7.8692989213664993E-2</v>
      </c>
      <c r="CC350">
        <f t="shared" si="50"/>
        <v>618.82690035980534</v>
      </c>
      <c r="CD350">
        <v>7.2945160600000003E-2</v>
      </c>
      <c r="CE350">
        <v>9.5681368224000002E-2</v>
      </c>
      <c r="CF350">
        <v>7.351091488E-2</v>
      </c>
      <c r="CG350">
        <v>8.5643427792000001E-2</v>
      </c>
      <c r="CH350">
        <v>7.7118350399999994E-2</v>
      </c>
      <c r="CI350">
        <v>5.8741563295999999E-2</v>
      </c>
      <c r="CJ350">
        <v>8.0037360000000002E-2</v>
      </c>
      <c r="CK350">
        <v>5.7107127168000003E-2</v>
      </c>
      <c r="CL350">
        <v>1.3983607180974999E-2</v>
      </c>
      <c r="CM350">
        <v>7.6661771264000006E-2</v>
      </c>
      <c r="CN350">
        <v>0.109810002432</v>
      </c>
      <c r="CO350">
        <v>8.7430667271999996E-2</v>
      </c>
      <c r="CP350">
        <v>7.5235536896000002E-2</v>
      </c>
      <c r="CQ350">
        <v>0.1196323128</v>
      </c>
      <c r="CR350">
        <v>9.6855668000000006E-2</v>
      </c>
    </row>
    <row r="351" spans="1:101" x14ac:dyDescent="0.25">
      <c r="A351" s="6">
        <v>19</v>
      </c>
      <c r="B351" s="6">
        <v>2</v>
      </c>
      <c r="C351" t="s">
        <v>151</v>
      </c>
      <c r="D351" t="s">
        <v>211</v>
      </c>
      <c r="E351" t="s">
        <v>192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1040</v>
      </c>
      <c r="P351">
        <v>420.90563462316697</v>
      </c>
      <c r="Q351">
        <v>0</v>
      </c>
      <c r="R351">
        <v>1</v>
      </c>
      <c r="S351">
        <v>1</v>
      </c>
      <c r="T351">
        <v>0.151</v>
      </c>
      <c r="BH351">
        <v>5.2068965517241397E-2</v>
      </c>
      <c r="CB351">
        <f t="shared" si="51"/>
        <v>2.1415892117954801E-2</v>
      </c>
      <c r="CC351">
        <f t="shared" si="50"/>
        <v>9.0140696629290442</v>
      </c>
      <c r="CD351">
        <v>2.1415892117954801E-2</v>
      </c>
    </row>
    <row r="352" spans="1:101" x14ac:dyDescent="0.25">
      <c r="A352" s="6">
        <v>35</v>
      </c>
      <c r="B352" s="6">
        <v>2</v>
      </c>
      <c r="C352" t="s">
        <v>152</v>
      </c>
      <c r="D352" t="s">
        <v>211</v>
      </c>
      <c r="E352" t="s">
        <v>192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168</v>
      </c>
      <c r="P352">
        <v>89.303514670908399</v>
      </c>
      <c r="Q352">
        <v>0</v>
      </c>
      <c r="R352">
        <v>1</v>
      </c>
      <c r="S352">
        <v>1</v>
      </c>
      <c r="T352">
        <v>0.35499999999999998</v>
      </c>
      <c r="BH352">
        <v>0.12241379310344799</v>
      </c>
      <c r="CB352">
        <f t="shared" si="51"/>
        <v>0.27828537800237801</v>
      </c>
      <c r="CC352">
        <f t="shared" si="50"/>
        <v>24.851862337134655</v>
      </c>
      <c r="CD352">
        <v>0.27828537800237801</v>
      </c>
    </row>
    <row r="353" spans="1:90" x14ac:dyDescent="0.25">
      <c r="A353" s="6">
        <v>110</v>
      </c>
      <c r="B353" s="6">
        <v>2</v>
      </c>
      <c r="C353" t="s">
        <v>143</v>
      </c>
      <c r="D353" t="s">
        <v>214</v>
      </c>
      <c r="E353" t="s">
        <v>192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2368</v>
      </c>
      <c r="P353">
        <v>818.80134209591097</v>
      </c>
      <c r="Q353">
        <v>0</v>
      </c>
      <c r="R353">
        <v>1</v>
      </c>
      <c r="S353">
        <v>1</v>
      </c>
      <c r="T353">
        <v>0.13</v>
      </c>
      <c r="BH353">
        <v>3.8235294117647103E-2</v>
      </c>
      <c r="CB353">
        <f t="shared" si="51"/>
        <v>9.9419951557093503E-3</v>
      </c>
      <c r="CC353">
        <f t="shared" si="50"/>
        <v>8.1405189766058612</v>
      </c>
      <c r="CD353">
        <v>9.9419951557093503E-3</v>
      </c>
    </row>
    <row r="354" spans="1:90" x14ac:dyDescent="0.25">
      <c r="A354" s="6">
        <v>126</v>
      </c>
      <c r="B354" s="6">
        <v>2</v>
      </c>
      <c r="C354" t="s">
        <v>144</v>
      </c>
      <c r="D354" t="s">
        <v>214</v>
      </c>
      <c r="E354" t="s">
        <v>192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1792</v>
      </c>
      <c r="P354">
        <v>750.84994295853903</v>
      </c>
      <c r="Q354">
        <v>0</v>
      </c>
      <c r="R354">
        <v>2</v>
      </c>
      <c r="S354">
        <v>2</v>
      </c>
      <c r="T354">
        <v>0.17199999999999999</v>
      </c>
      <c r="U354">
        <v>0.14399999999999999</v>
      </c>
      <c r="BH354">
        <v>5.0588235294117601E-2</v>
      </c>
      <c r="BI354">
        <v>4.23529411764706E-2</v>
      </c>
      <c r="CB354">
        <f t="shared" si="51"/>
        <v>1.826945012041525E-2</v>
      </c>
      <c r="CC354">
        <f t="shared" si="50"/>
        <v>13.717615580797665</v>
      </c>
      <c r="CD354">
        <v>2.3026547731487899E-2</v>
      </c>
      <c r="CE354">
        <v>1.3512352509342599E-2</v>
      </c>
    </row>
    <row r="355" spans="1:90" x14ac:dyDescent="0.25">
      <c r="A355" s="6">
        <v>72</v>
      </c>
      <c r="B355" s="6">
        <v>2</v>
      </c>
      <c r="C355" t="s">
        <v>148</v>
      </c>
      <c r="D355" t="s">
        <v>214</v>
      </c>
      <c r="E355" t="s">
        <v>192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9280</v>
      </c>
      <c r="P355">
        <v>2950.96477900638</v>
      </c>
      <c r="Q355">
        <v>2</v>
      </c>
      <c r="R355">
        <v>3</v>
      </c>
      <c r="S355">
        <v>5</v>
      </c>
      <c r="T355">
        <v>0.19600000000000001</v>
      </c>
      <c r="U355">
        <v>0.16400000000000001</v>
      </c>
      <c r="V355">
        <v>0.14499999999999999</v>
      </c>
      <c r="W355">
        <v>0.16800000000000001</v>
      </c>
      <c r="X355">
        <v>0.15</v>
      </c>
      <c r="BH355">
        <v>5.7647058823529398E-2</v>
      </c>
      <c r="BI355">
        <v>4.8235294117647098E-2</v>
      </c>
      <c r="BJ355">
        <v>4.2647058823529399E-2</v>
      </c>
      <c r="BK355">
        <v>4.9411764705882398E-2</v>
      </c>
      <c r="BL355">
        <v>4.4117647058823498E-2</v>
      </c>
      <c r="CB355">
        <f t="shared" si="51"/>
        <v>2.0911891244705862E-2</v>
      </c>
      <c r="CC355">
        <f t="shared" si="50"/>
        <v>61.710254525538886</v>
      </c>
      <c r="CD355">
        <v>3.4073104431833902E-2</v>
      </c>
      <c r="CE355">
        <v>1.9960666308650499E-2</v>
      </c>
      <c r="CF355">
        <v>1.37958192906574E-2</v>
      </c>
      <c r="CG355">
        <v>2.1457115327335598E-2</v>
      </c>
      <c r="CH355">
        <v>1.52727508650519E-2</v>
      </c>
    </row>
    <row r="356" spans="1:90" x14ac:dyDescent="0.25">
      <c r="A356" s="6">
        <v>238</v>
      </c>
      <c r="B356" s="6">
        <v>2</v>
      </c>
      <c r="C356" t="s">
        <v>150</v>
      </c>
      <c r="D356" t="s">
        <v>214</v>
      </c>
      <c r="E356" t="s">
        <v>192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4896</v>
      </c>
      <c r="P356">
        <v>1743.71491217425</v>
      </c>
      <c r="Q356">
        <v>6</v>
      </c>
      <c r="R356">
        <v>3</v>
      </c>
      <c r="S356">
        <v>9</v>
      </c>
      <c r="T356">
        <v>0.182</v>
      </c>
      <c r="U356">
        <v>0.17399999999999999</v>
      </c>
      <c r="V356">
        <v>0.17100000000000001</v>
      </c>
      <c r="W356">
        <v>0.15</v>
      </c>
      <c r="X356">
        <v>0.17</v>
      </c>
      <c r="Y356">
        <v>0.17299999999999999</v>
      </c>
      <c r="Z356">
        <v>0.16300000000000001</v>
      </c>
      <c r="AA356">
        <v>0.20599999999999999</v>
      </c>
      <c r="AB356">
        <v>0.13900000000000001</v>
      </c>
      <c r="BH356">
        <v>5.3529411764705902E-2</v>
      </c>
      <c r="BI356">
        <v>5.1176470588235302E-2</v>
      </c>
      <c r="BJ356">
        <v>5.0294117647058802E-2</v>
      </c>
      <c r="BK356">
        <v>4.4117647058823498E-2</v>
      </c>
      <c r="BL356">
        <v>0.05</v>
      </c>
      <c r="BM356">
        <v>5.0882352941176497E-2</v>
      </c>
      <c r="BN356">
        <v>4.7941176470588202E-2</v>
      </c>
      <c r="BO356">
        <v>6.0588235294117603E-2</v>
      </c>
      <c r="BP356">
        <v>4.0882352941176502E-2</v>
      </c>
      <c r="CB356">
        <f t="shared" si="51"/>
        <v>2.2888109986774326E-2</v>
      </c>
      <c r="CC356">
        <f t="shared" si="50"/>
        <v>39.910338695422766</v>
      </c>
      <c r="CD356">
        <v>2.7280834707266399E-2</v>
      </c>
      <c r="CE356">
        <v>2.3839175734256101E-2</v>
      </c>
      <c r="CF356">
        <v>2.26272524076125E-2</v>
      </c>
      <c r="CG356">
        <v>1.52727508650519E-2</v>
      </c>
      <c r="CH356">
        <v>2.2232600000000002E-2</v>
      </c>
      <c r="CI356">
        <v>2.3430513123183401E-2</v>
      </c>
      <c r="CJ356">
        <v>1.95977540712803E-2</v>
      </c>
      <c r="CK356">
        <v>3.9558986037370202E-2</v>
      </c>
      <c r="CL356">
        <v>1.21531229349481E-2</v>
      </c>
    </row>
    <row r="357" spans="1:90" x14ac:dyDescent="0.25">
      <c r="A357" s="6">
        <v>36</v>
      </c>
      <c r="B357" s="6">
        <v>2</v>
      </c>
      <c r="C357" t="s">
        <v>152</v>
      </c>
      <c r="D357" t="s">
        <v>214</v>
      </c>
      <c r="E357" t="s">
        <v>192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336</v>
      </c>
      <c r="P357">
        <v>178.607029341817</v>
      </c>
      <c r="Q357">
        <v>2</v>
      </c>
      <c r="R357">
        <v>0</v>
      </c>
      <c r="S357">
        <v>2</v>
      </c>
      <c r="T357">
        <v>0.16700000000000001</v>
      </c>
      <c r="U357">
        <v>0.30199999999999999</v>
      </c>
      <c r="BH357">
        <v>4.9117647058823502E-2</v>
      </c>
      <c r="BI357">
        <v>8.8823529411764704E-2</v>
      </c>
      <c r="CB357">
        <f t="shared" si="51"/>
        <v>7.2859101477162805E-2</v>
      </c>
      <c r="CC357">
        <f t="shared" si="50"/>
        <v>13.013147675350039</v>
      </c>
      <c r="CD357">
        <v>2.1076228759169601E-2</v>
      </c>
      <c r="CE357">
        <v>0.12464197419515601</v>
      </c>
    </row>
    <row r="358" spans="1:90" x14ac:dyDescent="0.25">
      <c r="A358" s="6">
        <v>264</v>
      </c>
      <c r="B358" s="6">
        <v>2</v>
      </c>
      <c r="C358" t="s">
        <v>127</v>
      </c>
      <c r="D358" t="s">
        <v>229</v>
      </c>
      <c r="E358" t="s">
        <v>192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1</v>
      </c>
      <c r="P358">
        <v>0.51237003812276805</v>
      </c>
      <c r="Q358">
        <v>1</v>
      </c>
      <c r="R358">
        <v>-1</v>
      </c>
      <c r="S358">
        <v>1</v>
      </c>
      <c r="T358">
        <v>0.19800000000000001</v>
      </c>
      <c r="CB358">
        <f t="shared" si="51"/>
        <v>2.7168372E-2</v>
      </c>
      <c r="CC358">
        <f t="shared" si="50"/>
        <v>1.3920259797373543E-2</v>
      </c>
      <c r="CD358">
        <v>2.7168372E-2</v>
      </c>
    </row>
  </sheetData>
  <sortState xmlns:xlrd2="http://schemas.microsoft.com/office/spreadsheetml/2017/richdata2" ref="A2:CX360">
    <sortCondition ref="D2:D360"/>
    <sortCondition ref="C2:C3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21DE-FB63-9D49-83C9-9C57F6A8B7EA}">
  <dimension ref="A1:CX253"/>
  <sheetViews>
    <sheetView workbookViewId="0">
      <selection activeCell="G19" sqref="G19"/>
    </sheetView>
  </sheetViews>
  <sheetFormatPr defaultColWidth="11" defaultRowHeight="15.75" x14ac:dyDescent="0.25"/>
  <cols>
    <col min="1" max="2" width="10.875" style="6"/>
  </cols>
  <sheetData>
    <row r="1" spans="1:102" x14ac:dyDescent="0.25">
      <c r="A1" s="6" t="s">
        <v>237</v>
      </c>
      <c r="B1" s="6" t="s">
        <v>238</v>
      </c>
      <c r="C1" s="3" t="s">
        <v>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  <c r="BC1" s="3" t="s">
        <v>63</v>
      </c>
      <c r="BD1" s="3" t="s">
        <v>64</v>
      </c>
      <c r="BE1" s="3" t="s">
        <v>65</v>
      </c>
      <c r="BF1" s="3" t="s">
        <v>66</v>
      </c>
      <c r="BG1" s="3" t="s">
        <v>67</v>
      </c>
      <c r="BH1" s="3" t="s">
        <v>68</v>
      </c>
      <c r="BI1" s="3" t="s">
        <v>69</v>
      </c>
      <c r="BJ1" s="3" t="s">
        <v>70</v>
      </c>
      <c r="BK1" s="3" t="s">
        <v>71</v>
      </c>
      <c r="BL1" s="3" t="s">
        <v>72</v>
      </c>
      <c r="BM1" s="3" t="s">
        <v>73</v>
      </c>
      <c r="BN1" s="3" t="s">
        <v>74</v>
      </c>
      <c r="BO1" s="3" t="s">
        <v>75</v>
      </c>
      <c r="BP1" s="3" t="s">
        <v>76</v>
      </c>
      <c r="BQ1" s="3" t="s">
        <v>77</v>
      </c>
      <c r="BR1" s="3" t="s">
        <v>78</v>
      </c>
      <c r="BS1" s="3" t="s">
        <v>79</v>
      </c>
      <c r="BT1" s="3" t="s">
        <v>80</v>
      </c>
      <c r="BU1" s="3" t="s">
        <v>81</v>
      </c>
      <c r="BV1" s="3" t="s">
        <v>82</v>
      </c>
      <c r="BW1" s="3" t="s">
        <v>83</v>
      </c>
      <c r="BX1" s="3" t="s">
        <v>84</v>
      </c>
      <c r="BY1" s="3" t="s">
        <v>85</v>
      </c>
      <c r="BZ1" s="3" t="s">
        <v>86</v>
      </c>
      <c r="CA1" s="3" t="s">
        <v>87</v>
      </c>
      <c r="CB1" s="3" t="s">
        <v>88</v>
      </c>
      <c r="CC1" s="3" t="s">
        <v>89</v>
      </c>
      <c r="CD1" s="3" t="s">
        <v>90</v>
      </c>
      <c r="CE1" s="3" t="s">
        <v>91</v>
      </c>
      <c r="CF1" s="3" t="s">
        <v>92</v>
      </c>
      <c r="CG1" s="3" t="s">
        <v>93</v>
      </c>
      <c r="CH1" s="3" t="s">
        <v>94</v>
      </c>
      <c r="CI1" s="3" t="s">
        <v>95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103</v>
      </c>
      <c r="CR1" s="3" t="s">
        <v>104</v>
      </c>
      <c r="CS1" s="3" t="s">
        <v>105</v>
      </c>
      <c r="CT1" s="3" t="s">
        <v>106</v>
      </c>
      <c r="CU1" s="3" t="s">
        <v>107</v>
      </c>
      <c r="CV1" s="3" t="s">
        <v>108</v>
      </c>
      <c r="CW1" s="3" t="s">
        <v>109</v>
      </c>
      <c r="CX1" s="3" t="s">
        <v>110</v>
      </c>
    </row>
    <row r="2" spans="1:102" x14ac:dyDescent="0.25">
      <c r="A2" s="6">
        <v>1</v>
      </c>
      <c r="B2" s="6">
        <v>1</v>
      </c>
      <c r="C2" t="s">
        <v>132</v>
      </c>
      <c r="D2" t="s">
        <v>153</v>
      </c>
      <c r="E2" t="s">
        <v>154</v>
      </c>
      <c r="F2">
        <v>-1</v>
      </c>
      <c r="G2">
        <v>1</v>
      </c>
      <c r="H2">
        <v>0</v>
      </c>
      <c r="I2">
        <v>-1</v>
      </c>
      <c r="J2">
        <v>-1</v>
      </c>
      <c r="K2">
        <v>0</v>
      </c>
      <c r="L2">
        <v>1</v>
      </c>
      <c r="M2">
        <v>-1</v>
      </c>
      <c r="N2">
        <v>-1</v>
      </c>
      <c r="O2">
        <v>170.666666666667</v>
      </c>
      <c r="P2">
        <v>69.865621402819798</v>
      </c>
      <c r="Q2">
        <v>-1</v>
      </c>
      <c r="R2">
        <v>-1</v>
      </c>
      <c r="S2">
        <v>-1</v>
      </c>
      <c r="T2">
        <v>1.0609999999999999</v>
      </c>
      <c r="U2">
        <v>1.143</v>
      </c>
      <c r="AN2" t="s">
        <v>155</v>
      </c>
      <c r="AO2" t="s">
        <v>156</v>
      </c>
      <c r="CB2">
        <v>6.3243307688165649</v>
      </c>
      <c r="CC2">
        <v>441.8532991203424</v>
      </c>
      <c r="CD2">
        <v>5.7165113555332301</v>
      </c>
      <c r="CE2">
        <v>6.9321501820998996</v>
      </c>
    </row>
    <row r="3" spans="1:102" x14ac:dyDescent="0.25">
      <c r="A3" s="6">
        <v>2</v>
      </c>
      <c r="B3" s="6">
        <v>1</v>
      </c>
      <c r="C3" t="s">
        <v>132</v>
      </c>
      <c r="D3" t="s">
        <v>157</v>
      </c>
      <c r="E3" t="s">
        <v>158</v>
      </c>
      <c r="F3">
        <v>40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40</v>
      </c>
      <c r="P3">
        <v>16.374755016285899</v>
      </c>
      <c r="Q3">
        <v>-1</v>
      </c>
      <c r="R3">
        <v>-1</v>
      </c>
      <c r="S3">
        <v>-1</v>
      </c>
      <c r="T3">
        <v>2.044</v>
      </c>
      <c r="U3">
        <v>2.585</v>
      </c>
      <c r="V3">
        <v>2.8359999999999999</v>
      </c>
      <c r="W3">
        <v>2.77</v>
      </c>
      <c r="X3">
        <v>2.8820000000000001</v>
      </c>
      <c r="Y3">
        <v>1.5960000000000001</v>
      </c>
      <c r="Z3">
        <v>2.286</v>
      </c>
      <c r="AA3">
        <v>2.3519999999999999</v>
      </c>
      <c r="AB3">
        <v>2.2959999999999998</v>
      </c>
      <c r="AC3">
        <v>1.444</v>
      </c>
      <c r="AD3">
        <v>2.7949999999999999</v>
      </c>
      <c r="AE3">
        <v>1.7430000000000001</v>
      </c>
      <c r="AF3">
        <v>3.5590000000000002</v>
      </c>
      <c r="AG3">
        <v>2.67</v>
      </c>
      <c r="AH3">
        <v>2.5289999999999999</v>
      </c>
      <c r="AI3">
        <v>3.48</v>
      </c>
      <c r="AJ3">
        <v>2.5499999999999998</v>
      </c>
      <c r="AK3">
        <v>3.2290000000000001</v>
      </c>
      <c r="AL3">
        <v>2.2589999999999999</v>
      </c>
      <c r="AM3">
        <v>1.8839999999999999</v>
      </c>
      <c r="AN3" t="s">
        <v>159</v>
      </c>
      <c r="AO3" t="s">
        <v>159</v>
      </c>
      <c r="AP3" t="s">
        <v>159</v>
      </c>
      <c r="AQ3" t="s">
        <v>159</v>
      </c>
      <c r="AR3" t="s">
        <v>159</v>
      </c>
      <c r="AS3" t="s">
        <v>159</v>
      </c>
      <c r="AT3" t="s">
        <v>159</v>
      </c>
      <c r="AU3" t="s">
        <v>159</v>
      </c>
      <c r="AV3" t="s">
        <v>159</v>
      </c>
      <c r="AW3" t="s">
        <v>159</v>
      </c>
      <c r="AX3" t="s">
        <v>159</v>
      </c>
      <c r="AY3" t="s">
        <v>159</v>
      </c>
      <c r="AZ3" t="s">
        <v>159</v>
      </c>
      <c r="BA3" t="s">
        <v>159</v>
      </c>
      <c r="BB3" t="s">
        <v>159</v>
      </c>
      <c r="BC3" t="s">
        <v>159</v>
      </c>
      <c r="BD3" t="s">
        <v>159</v>
      </c>
      <c r="BE3" t="s">
        <v>159</v>
      </c>
      <c r="BF3" t="s">
        <v>159</v>
      </c>
      <c r="BG3" t="s">
        <v>159</v>
      </c>
      <c r="CB3">
        <v>120.62837151823551</v>
      </c>
      <c r="CC3">
        <v>1975.260031624626</v>
      </c>
      <c r="CD3">
        <v>75.501998431317503</v>
      </c>
      <c r="CE3">
        <v>123.337723420402</v>
      </c>
      <c r="CF3">
        <v>149.69572473301201</v>
      </c>
      <c r="CG3">
        <v>142.50696835022299</v>
      </c>
      <c r="CH3">
        <v>154.815270036394</v>
      </c>
      <c r="CI3">
        <v>45.018613742504101</v>
      </c>
      <c r="CJ3">
        <v>95.394359467605497</v>
      </c>
      <c r="CK3">
        <v>101.241221680485</v>
      </c>
      <c r="CL3">
        <v>96.268592175712797</v>
      </c>
      <c r="CM3">
        <v>36.521517760990498</v>
      </c>
      <c r="CN3">
        <v>145.208276696588</v>
      </c>
      <c r="CO3">
        <v>54.120889131880901</v>
      </c>
      <c r="CP3">
        <v>240.61842443460401</v>
      </c>
      <c r="CQ3">
        <v>131.96595957762599</v>
      </c>
      <c r="CR3">
        <v>117.819299724068</v>
      </c>
      <c r="CS3">
        <v>229.59054746342599</v>
      </c>
      <c r="CT3">
        <v>119.873272309505</v>
      </c>
      <c r="CU3">
        <v>196.33855838821799</v>
      </c>
      <c r="CV3">
        <v>93.054698516203203</v>
      </c>
      <c r="CW3">
        <v>63.675514323944398</v>
      </c>
    </row>
    <row r="4" spans="1:102" x14ac:dyDescent="0.25">
      <c r="A4" s="6">
        <v>3</v>
      </c>
      <c r="B4" s="6">
        <v>1</v>
      </c>
      <c r="C4" t="s">
        <v>132</v>
      </c>
      <c r="D4" t="s">
        <v>160</v>
      </c>
      <c r="E4" t="s">
        <v>154</v>
      </c>
      <c r="F4">
        <v>-1</v>
      </c>
      <c r="G4">
        <v>0</v>
      </c>
      <c r="H4">
        <v>0</v>
      </c>
      <c r="I4">
        <v>-1</v>
      </c>
      <c r="J4">
        <v>-1</v>
      </c>
      <c r="K4">
        <v>0</v>
      </c>
      <c r="L4">
        <v>1</v>
      </c>
      <c r="M4">
        <v>-1</v>
      </c>
      <c r="N4">
        <v>-1</v>
      </c>
      <c r="O4">
        <v>85.3333333333333</v>
      </c>
      <c r="P4">
        <v>34.932810701409899</v>
      </c>
      <c r="Q4">
        <v>-1</v>
      </c>
      <c r="R4">
        <v>-1</v>
      </c>
      <c r="S4">
        <v>-1</v>
      </c>
      <c r="T4">
        <v>1.734</v>
      </c>
      <c r="AN4" t="s">
        <v>156</v>
      </c>
      <c r="CB4">
        <v>20.401653978644799</v>
      </c>
      <c r="CC4">
        <v>712.68711643166489</v>
      </c>
      <c r="CD4">
        <v>20.401653978644799</v>
      </c>
    </row>
    <row r="5" spans="1:102" x14ac:dyDescent="0.25">
      <c r="A5" s="6">
        <v>4</v>
      </c>
      <c r="B5" s="6">
        <v>1</v>
      </c>
      <c r="C5" t="s">
        <v>132</v>
      </c>
      <c r="D5" t="s">
        <v>161</v>
      </c>
      <c r="E5" t="s">
        <v>154</v>
      </c>
      <c r="F5">
        <v>-1</v>
      </c>
      <c r="G5">
        <v>3</v>
      </c>
      <c r="H5">
        <v>1</v>
      </c>
      <c r="I5">
        <v>-1</v>
      </c>
      <c r="J5">
        <v>-1</v>
      </c>
      <c r="K5">
        <v>3</v>
      </c>
      <c r="L5">
        <v>5</v>
      </c>
      <c r="M5">
        <v>-1</v>
      </c>
      <c r="N5">
        <v>-1</v>
      </c>
      <c r="O5">
        <v>1024</v>
      </c>
      <c r="P5">
        <v>419.19372841691899</v>
      </c>
      <c r="Q5">
        <v>-1</v>
      </c>
      <c r="R5">
        <v>-1</v>
      </c>
      <c r="S5">
        <v>-1</v>
      </c>
      <c r="T5">
        <v>0.92100000000000004</v>
      </c>
      <c r="U5">
        <v>0.95799999999999996</v>
      </c>
      <c r="V5">
        <v>0.83599999999999997</v>
      </c>
      <c r="W5">
        <v>0.997</v>
      </c>
      <c r="X5">
        <v>0.86299999999999999</v>
      </c>
      <c r="Y5">
        <v>0.98199999999999998</v>
      </c>
      <c r="Z5">
        <v>0.877</v>
      </c>
      <c r="AA5">
        <v>0.98599999999999999</v>
      </c>
      <c r="AB5">
        <v>0.70499999999999996</v>
      </c>
      <c r="AC5">
        <v>0.81499999999999995</v>
      </c>
      <c r="AD5">
        <v>0.94899999999999995</v>
      </c>
      <c r="AE5">
        <v>0.96599999999999997</v>
      </c>
      <c r="AN5" t="s">
        <v>156</v>
      </c>
      <c r="AO5" t="s">
        <v>155</v>
      </c>
      <c r="AP5" t="s">
        <v>155</v>
      </c>
      <c r="AQ5" t="s">
        <v>155</v>
      </c>
      <c r="AR5" t="s">
        <v>156</v>
      </c>
      <c r="AS5" t="s">
        <v>155</v>
      </c>
      <c r="AT5" t="s">
        <v>156</v>
      </c>
      <c r="AU5" t="s">
        <v>155</v>
      </c>
      <c r="AV5" t="s">
        <v>156</v>
      </c>
      <c r="AW5" t="s">
        <v>156</v>
      </c>
      <c r="AX5" t="s">
        <v>156</v>
      </c>
      <c r="AY5" t="s">
        <v>155</v>
      </c>
      <c r="CB5">
        <v>3.8483385792023745</v>
      </c>
      <c r="CC5">
        <v>1613.199397226512</v>
      </c>
      <c r="CD5">
        <v>3.9624214724845399</v>
      </c>
      <c r="CE5">
        <v>4.3879825795333298</v>
      </c>
      <c r="CF5">
        <v>3.0834895774059801</v>
      </c>
      <c r="CG5">
        <v>4.8657376190996899</v>
      </c>
      <c r="CH5">
        <v>3.34808277936955</v>
      </c>
      <c r="CI5">
        <v>4.6783959996939899</v>
      </c>
      <c r="CJ5">
        <v>3.4905766007422701</v>
      </c>
      <c r="CK5">
        <v>4.7279125600101404</v>
      </c>
      <c r="CL5">
        <v>1.9830699757172801</v>
      </c>
      <c r="CM5">
        <v>2.8868647184920002</v>
      </c>
      <c r="CN5">
        <v>4.2820103867250596</v>
      </c>
      <c r="CO5">
        <v>4.4835186811546599</v>
      </c>
    </row>
    <row r="6" spans="1:102" x14ac:dyDescent="0.25">
      <c r="A6" s="6">
        <v>5</v>
      </c>
      <c r="B6" s="6">
        <v>1</v>
      </c>
      <c r="C6" t="s">
        <v>132</v>
      </c>
      <c r="D6" t="s">
        <v>162</v>
      </c>
      <c r="E6" t="s">
        <v>154</v>
      </c>
      <c r="F6">
        <v>-1</v>
      </c>
      <c r="G6">
        <v>0</v>
      </c>
      <c r="H6">
        <v>0</v>
      </c>
      <c r="I6">
        <v>-1</v>
      </c>
      <c r="J6">
        <v>-1</v>
      </c>
      <c r="K6">
        <v>1</v>
      </c>
      <c r="L6">
        <v>0</v>
      </c>
      <c r="M6">
        <v>-1</v>
      </c>
      <c r="N6">
        <v>-1</v>
      </c>
      <c r="O6">
        <v>85.3333333333333</v>
      </c>
      <c r="P6">
        <v>34.932810701409899</v>
      </c>
      <c r="Q6">
        <v>-1</v>
      </c>
      <c r="R6">
        <v>-1</v>
      </c>
      <c r="S6">
        <v>-1</v>
      </c>
      <c r="T6">
        <v>0.98099999999999998</v>
      </c>
      <c r="AN6" t="s">
        <v>155</v>
      </c>
      <c r="CB6">
        <v>4.6660668367820897</v>
      </c>
      <c r="CC6">
        <v>162.99882952943523</v>
      </c>
      <c r="CD6">
        <v>4.6660668367820897</v>
      </c>
    </row>
    <row r="7" spans="1:102" x14ac:dyDescent="0.25">
      <c r="A7" s="6">
        <v>6</v>
      </c>
      <c r="B7" s="6">
        <v>1</v>
      </c>
      <c r="C7" t="s">
        <v>132</v>
      </c>
      <c r="D7" t="s">
        <v>163</v>
      </c>
      <c r="E7" t="s">
        <v>158</v>
      </c>
      <c r="F7">
        <v>-1</v>
      </c>
      <c r="G7">
        <v>42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10752</v>
      </c>
      <c r="P7">
        <v>4401.5341483776401</v>
      </c>
      <c r="Q7">
        <v>-1</v>
      </c>
      <c r="R7">
        <v>-1</v>
      </c>
      <c r="S7">
        <v>-1</v>
      </c>
      <c r="T7">
        <v>0.55000000000000004</v>
      </c>
      <c r="U7">
        <v>0.60199999999999998</v>
      </c>
      <c r="V7">
        <v>0.69799999999999995</v>
      </c>
      <c r="W7">
        <v>0.94699999999999995</v>
      </c>
      <c r="X7">
        <v>0.72499999999999998</v>
      </c>
      <c r="Y7">
        <v>0.63200000000000001</v>
      </c>
      <c r="Z7">
        <v>0.35499999999999998</v>
      </c>
      <c r="AA7">
        <v>0.79100000000000004</v>
      </c>
      <c r="AB7">
        <v>0.78400000000000003</v>
      </c>
      <c r="AC7">
        <v>0.92100000000000004</v>
      </c>
      <c r="AD7">
        <v>0.90500000000000003</v>
      </c>
      <c r="AE7">
        <v>0.39800000000000002</v>
      </c>
      <c r="AF7">
        <v>0.93400000000000005</v>
      </c>
      <c r="AG7">
        <v>0.93400000000000005</v>
      </c>
      <c r="AH7">
        <v>0.53700000000000003</v>
      </c>
      <c r="AI7">
        <v>0.81899999999999995</v>
      </c>
      <c r="AJ7">
        <v>0.68100000000000005</v>
      </c>
      <c r="AK7">
        <v>0.51300000000000001</v>
      </c>
      <c r="AL7">
        <v>0.53700000000000003</v>
      </c>
      <c r="AM7">
        <v>1.0209999999999999</v>
      </c>
      <c r="AN7" t="s">
        <v>159</v>
      </c>
      <c r="AO7" t="s">
        <v>159</v>
      </c>
      <c r="AP7" t="s">
        <v>159</v>
      </c>
      <c r="AQ7" t="s">
        <v>159</v>
      </c>
      <c r="AR7" t="s">
        <v>159</v>
      </c>
      <c r="AS7" t="s">
        <v>159</v>
      </c>
      <c r="AT7" t="s">
        <v>159</v>
      </c>
      <c r="AU7" t="s">
        <v>159</v>
      </c>
      <c r="AV7" t="s">
        <v>159</v>
      </c>
      <c r="AW7" t="s">
        <v>159</v>
      </c>
      <c r="AX7" t="s">
        <v>159</v>
      </c>
      <c r="AY7" t="s">
        <v>159</v>
      </c>
      <c r="AZ7" t="s">
        <v>159</v>
      </c>
      <c r="BA7" t="s">
        <v>159</v>
      </c>
      <c r="BB7" t="s">
        <v>159</v>
      </c>
      <c r="BC7" t="s">
        <v>159</v>
      </c>
      <c r="BD7" t="s">
        <v>159</v>
      </c>
      <c r="BE7" t="s">
        <v>159</v>
      </c>
      <c r="BF7" t="s">
        <v>159</v>
      </c>
      <c r="BG7" t="s">
        <v>159</v>
      </c>
      <c r="CB7">
        <v>3.3813002000171033</v>
      </c>
      <c r="CC7">
        <v>14882.908296291425</v>
      </c>
      <c r="CD7">
        <v>1.1804550120567201</v>
      </c>
      <c r="CE7">
        <v>1.5747269789959999</v>
      </c>
      <c r="CF7">
        <v>2.5245923341201002</v>
      </c>
      <c r="CG7">
        <v>6.6811141817191801</v>
      </c>
      <c r="CH7">
        <v>2.8495133890924502</v>
      </c>
      <c r="CI7">
        <v>1.8389924265598701</v>
      </c>
      <c r="CJ7">
        <v>0.292092837229733</v>
      </c>
      <c r="CK7">
        <v>3.7624907711662199</v>
      </c>
      <c r="CL7">
        <v>3.6573009681156399</v>
      </c>
      <c r="CM7">
        <v>6.1133699984118399</v>
      </c>
      <c r="CN7">
        <v>5.7809794910683099</v>
      </c>
      <c r="CO7">
        <v>0.42064861265217102</v>
      </c>
      <c r="CP7">
        <v>6.3929159723181002</v>
      </c>
      <c r="CQ7">
        <v>6.3929159723181002</v>
      </c>
      <c r="CR7">
        <v>1.0937307751508401</v>
      </c>
      <c r="CS7">
        <v>4.2040522750620903</v>
      </c>
      <c r="CT7">
        <v>2.3336286499990502</v>
      </c>
      <c r="CU7">
        <v>0.945293900653432</v>
      </c>
      <c r="CV7">
        <v>1.0937307751508401</v>
      </c>
      <c r="CW7">
        <v>8.4934586785013799</v>
      </c>
    </row>
    <row r="8" spans="1:102" x14ac:dyDescent="0.25">
      <c r="A8" s="6">
        <v>7</v>
      </c>
      <c r="B8" s="6">
        <v>1</v>
      </c>
      <c r="C8" t="s">
        <v>132</v>
      </c>
      <c r="D8" t="s">
        <v>164</v>
      </c>
      <c r="E8" t="s">
        <v>158</v>
      </c>
      <c r="F8">
        <v>-1</v>
      </c>
      <c r="G8">
        <v>0</v>
      </c>
      <c r="H8">
        <v>-1</v>
      </c>
      <c r="I8">
        <v>-1</v>
      </c>
      <c r="J8">
        <v>-1</v>
      </c>
      <c r="K8">
        <v>1</v>
      </c>
      <c r="L8">
        <v>-1</v>
      </c>
      <c r="M8">
        <v>-1</v>
      </c>
      <c r="N8">
        <v>-1</v>
      </c>
      <c r="O8">
        <v>85.3333333333333</v>
      </c>
      <c r="P8">
        <v>34.932810701409899</v>
      </c>
      <c r="Q8">
        <v>-1</v>
      </c>
      <c r="R8">
        <v>-1</v>
      </c>
      <c r="S8">
        <v>-1</v>
      </c>
      <c r="T8">
        <v>0.317</v>
      </c>
      <c r="AN8" t="s">
        <v>159</v>
      </c>
      <c r="CB8">
        <v>0.82316437806424703</v>
      </c>
      <c r="CC8">
        <v>28.755445395062154</v>
      </c>
      <c r="CD8">
        <v>0.82316437806424703</v>
      </c>
    </row>
    <row r="9" spans="1:102" x14ac:dyDescent="0.25">
      <c r="A9" s="6">
        <v>8</v>
      </c>
      <c r="B9" s="6">
        <v>1</v>
      </c>
      <c r="C9" t="s">
        <v>132</v>
      </c>
      <c r="D9" t="s">
        <v>165</v>
      </c>
      <c r="E9" t="s">
        <v>158</v>
      </c>
      <c r="F9">
        <v>-1</v>
      </c>
      <c r="G9">
        <v>2</v>
      </c>
      <c r="H9">
        <v>-1</v>
      </c>
      <c r="I9">
        <v>-1</v>
      </c>
      <c r="J9">
        <v>-1</v>
      </c>
      <c r="K9">
        <v>4</v>
      </c>
      <c r="L9">
        <v>-1</v>
      </c>
      <c r="M9">
        <v>4</v>
      </c>
      <c r="N9">
        <v>-1</v>
      </c>
      <c r="O9">
        <v>365.71428571428601</v>
      </c>
      <c r="P9">
        <v>149.71204586318501</v>
      </c>
      <c r="Q9">
        <v>-1</v>
      </c>
      <c r="R9">
        <v>-1</v>
      </c>
      <c r="S9">
        <v>-1</v>
      </c>
      <c r="T9">
        <v>2.5150000000000001</v>
      </c>
      <c r="U9">
        <v>1.2370000000000001</v>
      </c>
      <c r="V9">
        <v>3.1269999999999998</v>
      </c>
      <c r="W9">
        <v>1.9490000000000001</v>
      </c>
      <c r="X9">
        <v>1.3280000000000001</v>
      </c>
      <c r="Y9">
        <v>0.98899999999999999</v>
      </c>
      <c r="Z9">
        <v>4.38</v>
      </c>
      <c r="AA9">
        <v>3.0030000000000001</v>
      </c>
      <c r="AB9">
        <v>4.617</v>
      </c>
      <c r="AC9">
        <v>1.921</v>
      </c>
      <c r="AN9" t="s">
        <v>159</v>
      </c>
      <c r="AO9" t="s">
        <v>159</v>
      </c>
      <c r="AP9" t="s">
        <v>159</v>
      </c>
      <c r="AQ9" t="s">
        <v>159</v>
      </c>
      <c r="AR9" t="s">
        <v>159</v>
      </c>
      <c r="AS9" t="s">
        <v>159</v>
      </c>
      <c r="AT9" t="s">
        <v>159</v>
      </c>
      <c r="AU9" t="s">
        <v>159</v>
      </c>
      <c r="AV9" t="s">
        <v>159</v>
      </c>
      <c r="AW9" t="s">
        <v>159</v>
      </c>
      <c r="CB9">
        <v>7.8725197222822798</v>
      </c>
      <c r="CC9">
        <v>1178.6110337211533</v>
      </c>
      <c r="CD9">
        <v>5.1575846843684801</v>
      </c>
      <c r="CE9">
        <v>0.77559863108215998</v>
      </c>
      <c r="CF9">
        <v>9.2257435613076204</v>
      </c>
      <c r="CG9">
        <v>2.6110040551104099</v>
      </c>
      <c r="CH9">
        <v>0.93745147386755201</v>
      </c>
      <c r="CI9">
        <v>0.42676032229320499</v>
      </c>
      <c r="CJ9">
        <v>22.685367068977001</v>
      </c>
      <c r="CK9">
        <v>8.2809978683186891</v>
      </c>
      <c r="CL9">
        <v>26.112641173139</v>
      </c>
      <c r="CM9">
        <v>2.5120483843586801</v>
      </c>
    </row>
    <row r="10" spans="1:102" x14ac:dyDescent="0.25">
      <c r="A10" s="6">
        <v>9</v>
      </c>
      <c r="B10" s="6">
        <v>1</v>
      </c>
      <c r="C10" t="s">
        <v>132</v>
      </c>
      <c r="D10" t="s">
        <v>166</v>
      </c>
      <c r="E10" t="s">
        <v>154</v>
      </c>
      <c r="F10">
        <v>-1</v>
      </c>
      <c r="G10">
        <v>1</v>
      </c>
      <c r="H10">
        <v>2</v>
      </c>
      <c r="I10">
        <v>-1</v>
      </c>
      <c r="J10">
        <v>-1</v>
      </c>
      <c r="K10">
        <v>2</v>
      </c>
      <c r="L10">
        <v>3</v>
      </c>
      <c r="M10">
        <v>-1</v>
      </c>
      <c r="N10">
        <v>-1</v>
      </c>
      <c r="O10">
        <v>682.66666666666697</v>
      </c>
      <c r="P10">
        <v>279.46248561127902</v>
      </c>
      <c r="Q10">
        <v>-1</v>
      </c>
      <c r="R10">
        <v>-1</v>
      </c>
      <c r="S10">
        <v>-1</v>
      </c>
      <c r="T10">
        <v>0.73</v>
      </c>
      <c r="U10">
        <v>0.95599999999999996</v>
      </c>
      <c r="V10">
        <v>0.86399999999999999</v>
      </c>
      <c r="W10">
        <v>0.96299999999999997</v>
      </c>
      <c r="X10">
        <v>0.85</v>
      </c>
      <c r="Y10">
        <v>0.83499999999999996</v>
      </c>
      <c r="Z10">
        <v>0.83499999999999996</v>
      </c>
      <c r="AA10">
        <v>0.90900000000000003</v>
      </c>
      <c r="AN10" t="s">
        <v>156</v>
      </c>
      <c r="AO10" t="s">
        <v>155</v>
      </c>
      <c r="AP10" t="s">
        <v>156</v>
      </c>
      <c r="AQ10" t="s">
        <v>155</v>
      </c>
      <c r="AR10" t="s">
        <v>155</v>
      </c>
      <c r="AS10" t="s">
        <v>156</v>
      </c>
      <c r="AT10" t="s">
        <v>156</v>
      </c>
      <c r="AU10" t="s">
        <v>156</v>
      </c>
      <c r="CB10">
        <v>3.109928906021358</v>
      </c>
      <c r="CC10">
        <v>869.1084621510945</v>
      </c>
      <c r="CD10">
        <v>1.50771964875133</v>
      </c>
      <c r="CE10">
        <v>4.3989261629137397</v>
      </c>
      <c r="CF10">
        <v>2.9436650911415101</v>
      </c>
      <c r="CG10">
        <v>4.5281958238365698</v>
      </c>
      <c r="CH10">
        <v>2.7588111657657999</v>
      </c>
      <c r="CI10">
        <v>2.5705387058146498</v>
      </c>
      <c r="CJ10">
        <v>2.5705387058146498</v>
      </c>
      <c r="CK10">
        <v>3.6010359441326201</v>
      </c>
    </row>
    <row r="11" spans="1:102" x14ac:dyDescent="0.25">
      <c r="A11" s="6">
        <v>10</v>
      </c>
      <c r="B11" s="6">
        <v>1</v>
      </c>
      <c r="C11" t="s">
        <v>132</v>
      </c>
      <c r="D11" t="s">
        <v>167</v>
      </c>
      <c r="E11" t="s">
        <v>168</v>
      </c>
      <c r="F11">
        <v>-1</v>
      </c>
      <c r="G11">
        <v>6</v>
      </c>
      <c r="H11">
        <v>-1</v>
      </c>
      <c r="I11">
        <v>-1</v>
      </c>
      <c r="J11">
        <v>-1</v>
      </c>
      <c r="K11">
        <v>20</v>
      </c>
      <c r="L11">
        <v>-1</v>
      </c>
      <c r="M11">
        <v>-1</v>
      </c>
      <c r="N11">
        <v>-1</v>
      </c>
      <c r="O11">
        <v>2218.6666666666702</v>
      </c>
      <c r="P11">
        <v>908.25307823665696</v>
      </c>
      <c r="Q11">
        <v>-1</v>
      </c>
      <c r="R11">
        <v>-1</v>
      </c>
      <c r="S11">
        <v>-1</v>
      </c>
      <c r="T11">
        <v>0.77600000000000002</v>
      </c>
      <c r="U11">
        <v>0.88300000000000001</v>
      </c>
      <c r="V11">
        <v>0.60699999999999998</v>
      </c>
      <c r="W11">
        <v>0.66900000000000004</v>
      </c>
      <c r="X11">
        <v>0.84799999999999998</v>
      </c>
      <c r="Y11">
        <v>0.67500000000000004</v>
      </c>
      <c r="Z11">
        <v>0.70699999999999996</v>
      </c>
      <c r="AA11">
        <v>0.83899999999999997</v>
      </c>
      <c r="AB11">
        <v>0.79400000000000004</v>
      </c>
      <c r="AC11">
        <v>0.94</v>
      </c>
      <c r="AD11">
        <v>0.79600000000000004</v>
      </c>
      <c r="AE11">
        <v>0.624</v>
      </c>
      <c r="AF11">
        <v>0.62</v>
      </c>
      <c r="AG11">
        <v>0.48</v>
      </c>
      <c r="AH11">
        <v>0.66</v>
      </c>
      <c r="AI11">
        <v>0.747</v>
      </c>
      <c r="AJ11">
        <v>0.84899999999999998</v>
      </c>
      <c r="AK11">
        <v>0.39300000000000002</v>
      </c>
      <c r="AL11">
        <v>0.51700000000000002</v>
      </c>
      <c r="AM11">
        <v>0.83899999999999997</v>
      </c>
      <c r="AN11" t="s">
        <v>169</v>
      </c>
      <c r="AO11" t="s">
        <v>169</v>
      </c>
      <c r="AP11" t="s">
        <v>169</v>
      </c>
      <c r="AQ11" t="s">
        <v>169</v>
      </c>
      <c r="AR11" t="s">
        <v>169</v>
      </c>
      <c r="AS11" t="s">
        <v>169</v>
      </c>
      <c r="AT11" t="s">
        <v>169</v>
      </c>
      <c r="AU11" t="s">
        <v>169</v>
      </c>
      <c r="AV11" t="s">
        <v>169</v>
      </c>
      <c r="AW11" t="s">
        <v>169</v>
      </c>
      <c r="AX11" t="s">
        <v>169</v>
      </c>
      <c r="AY11" t="s">
        <v>169</v>
      </c>
      <c r="AZ11" t="s">
        <v>169</v>
      </c>
      <c r="BA11" t="s">
        <v>169</v>
      </c>
      <c r="BB11" t="s">
        <v>169</v>
      </c>
      <c r="BC11" t="s">
        <v>169</v>
      </c>
      <c r="BD11" t="s">
        <v>169</v>
      </c>
      <c r="BE11" t="s">
        <v>169</v>
      </c>
      <c r="BF11" t="s">
        <v>169</v>
      </c>
      <c r="BG11" t="s">
        <v>169</v>
      </c>
      <c r="CB11">
        <v>2.2033371240340873</v>
      </c>
      <c r="CC11">
        <v>2001.1877252970626</v>
      </c>
      <c r="CD11">
        <v>2.54255340773173</v>
      </c>
      <c r="CE11">
        <v>3.5527647279936199</v>
      </c>
      <c r="CF11">
        <v>1.3458198702219399</v>
      </c>
      <c r="CG11">
        <v>1.7313380401354801</v>
      </c>
      <c r="CH11">
        <v>3.1994364154962902</v>
      </c>
      <c r="CI11">
        <v>1.7718420236969601</v>
      </c>
      <c r="CJ11">
        <v>1.9976734973008801</v>
      </c>
      <c r="CK11">
        <v>3.1122301436175701</v>
      </c>
      <c r="CL11">
        <v>2.6981328373596001</v>
      </c>
      <c r="CM11">
        <v>4.1776241691879799</v>
      </c>
      <c r="CN11">
        <v>2.7157705323466002</v>
      </c>
      <c r="CO11">
        <v>1.44562720820763</v>
      </c>
      <c r="CP11">
        <v>1.4217482489067601</v>
      </c>
      <c r="CQ11">
        <v>0.73272841052326898</v>
      </c>
      <c r="CR11">
        <v>1.6716564150242299</v>
      </c>
      <c r="CS11">
        <v>2.3037141238155701</v>
      </c>
      <c r="CT11">
        <v>3.2092174423231201</v>
      </c>
      <c r="CU11">
        <v>0.43652078919172599</v>
      </c>
      <c r="CV11">
        <v>0.88811403398322497</v>
      </c>
      <c r="CW11">
        <v>3.1122301436175701</v>
      </c>
    </row>
    <row r="12" spans="1:102" x14ac:dyDescent="0.25">
      <c r="A12" s="6">
        <v>11</v>
      </c>
      <c r="B12" s="6">
        <v>1</v>
      </c>
      <c r="C12" t="s">
        <v>132</v>
      </c>
      <c r="D12" t="s">
        <v>170</v>
      </c>
      <c r="E12" t="s">
        <v>158</v>
      </c>
      <c r="F12">
        <v>-1</v>
      </c>
      <c r="G12">
        <v>9</v>
      </c>
      <c r="H12">
        <v>-1</v>
      </c>
      <c r="I12">
        <v>-1</v>
      </c>
      <c r="J12">
        <v>-1</v>
      </c>
      <c r="K12">
        <v>14</v>
      </c>
      <c r="L12">
        <v>-1</v>
      </c>
      <c r="M12">
        <v>-1</v>
      </c>
      <c r="N12">
        <v>-1</v>
      </c>
      <c r="O12">
        <v>1962.6666666666699</v>
      </c>
      <c r="P12">
        <v>803.454646132427</v>
      </c>
      <c r="Q12">
        <v>-1</v>
      </c>
      <c r="R12">
        <v>-1</v>
      </c>
      <c r="S12">
        <v>-1</v>
      </c>
      <c r="T12">
        <v>0.877</v>
      </c>
      <c r="U12">
        <v>0.66400000000000003</v>
      </c>
      <c r="V12">
        <v>0.82399999999999995</v>
      </c>
      <c r="W12">
        <v>0.55400000000000005</v>
      </c>
      <c r="X12">
        <v>0.57199999999999995</v>
      </c>
      <c r="Y12">
        <v>1.0609999999999999</v>
      </c>
      <c r="Z12">
        <v>0.71899999999999997</v>
      </c>
      <c r="AA12">
        <v>0.93899999999999995</v>
      </c>
      <c r="AB12">
        <v>0.59799999999999998</v>
      </c>
      <c r="AC12">
        <v>1.1000000000000001</v>
      </c>
      <c r="AD12">
        <v>0.56299999999999994</v>
      </c>
      <c r="AE12">
        <v>1.0940000000000001</v>
      </c>
      <c r="AF12">
        <v>0.93799999999999994</v>
      </c>
      <c r="AG12">
        <v>0.90600000000000003</v>
      </c>
      <c r="AH12">
        <v>0.52</v>
      </c>
      <c r="AI12">
        <v>0.85</v>
      </c>
      <c r="AJ12">
        <v>0.58399999999999996</v>
      </c>
      <c r="AK12">
        <v>0.97699999999999998</v>
      </c>
      <c r="AL12">
        <v>0.9</v>
      </c>
      <c r="AM12">
        <v>0.64900000000000002</v>
      </c>
      <c r="AN12" t="s">
        <v>159</v>
      </c>
      <c r="AO12" t="s">
        <v>159</v>
      </c>
      <c r="AP12" t="s">
        <v>159</v>
      </c>
      <c r="AQ12" t="s">
        <v>159</v>
      </c>
      <c r="AR12" t="s">
        <v>159</v>
      </c>
      <c r="AS12" t="s">
        <v>159</v>
      </c>
      <c r="AT12" t="s">
        <v>159</v>
      </c>
      <c r="AU12" t="s">
        <v>159</v>
      </c>
      <c r="AV12" t="s">
        <v>159</v>
      </c>
      <c r="AW12" t="s">
        <v>159</v>
      </c>
      <c r="AX12" t="s">
        <v>159</v>
      </c>
      <c r="AY12" t="s">
        <v>159</v>
      </c>
      <c r="AZ12" t="s">
        <v>159</v>
      </c>
      <c r="BA12" t="s">
        <v>159</v>
      </c>
      <c r="BB12" t="s">
        <v>159</v>
      </c>
      <c r="BC12" t="s">
        <v>159</v>
      </c>
      <c r="BD12" t="s">
        <v>159</v>
      </c>
      <c r="BE12" t="s">
        <v>159</v>
      </c>
      <c r="BF12" t="s">
        <v>159</v>
      </c>
      <c r="BG12" t="s">
        <v>159</v>
      </c>
      <c r="CB12">
        <v>2.9742453992151194</v>
      </c>
      <c r="CC12">
        <v>2389.6712847373828</v>
      </c>
      <c r="CD12">
        <v>3.42210160259686</v>
      </c>
      <c r="CE12">
        <v>1.5528567703671301</v>
      </c>
      <c r="CF12">
        <v>2.86686561462442</v>
      </c>
      <c r="CG12">
        <v>0.92841422564320197</v>
      </c>
      <c r="CH12">
        <v>1.0166671152792099</v>
      </c>
      <c r="CI12">
        <v>5.8776773851703696</v>
      </c>
      <c r="CJ12">
        <v>1.9466330975585899</v>
      </c>
      <c r="CK12">
        <v>4.1547446429381996</v>
      </c>
      <c r="CL12">
        <v>1.15346764510043</v>
      </c>
      <c r="CM12">
        <v>6.51222324784628</v>
      </c>
      <c r="CN12">
        <v>0.97189175062572097</v>
      </c>
      <c r="CO12">
        <v>6.4118484516837198</v>
      </c>
      <c r="CP12">
        <v>4.1421909501665102</v>
      </c>
      <c r="CQ12">
        <v>3.75334197655441</v>
      </c>
      <c r="CR12">
        <v>0.77557455156891797</v>
      </c>
      <c r="CS12">
        <v>3.1312936949424701</v>
      </c>
      <c r="CT12">
        <v>1.0784165403532</v>
      </c>
      <c r="CU12">
        <v>4.6502319472870104</v>
      </c>
      <c r="CV12">
        <v>3.68317862271895</v>
      </c>
      <c r="CW12">
        <v>1.4552881512767999</v>
      </c>
    </row>
    <row r="13" spans="1:102" x14ac:dyDescent="0.25">
      <c r="A13" s="6">
        <v>12</v>
      </c>
      <c r="B13" s="6">
        <v>1</v>
      </c>
      <c r="C13" t="s">
        <v>132</v>
      </c>
      <c r="D13" t="s">
        <v>171</v>
      </c>
      <c r="E13" t="s">
        <v>158</v>
      </c>
      <c r="F13">
        <v>459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459</v>
      </c>
      <c r="P13">
        <v>187.90031381188001</v>
      </c>
      <c r="Q13">
        <v>-1</v>
      </c>
      <c r="R13">
        <v>-1</v>
      </c>
      <c r="S13">
        <v>-1</v>
      </c>
      <c r="T13">
        <v>1.4259999999999999</v>
      </c>
      <c r="U13">
        <v>1.387</v>
      </c>
      <c r="V13">
        <v>1.0669999999999999</v>
      </c>
      <c r="W13">
        <v>0.68400000000000005</v>
      </c>
      <c r="X13">
        <v>1.234</v>
      </c>
      <c r="Y13">
        <v>1.3779999999999999</v>
      </c>
      <c r="Z13">
        <v>1.3120000000000001</v>
      </c>
      <c r="AA13">
        <v>0.59299999999999997</v>
      </c>
      <c r="AB13">
        <v>1.0369999999999999</v>
      </c>
      <c r="AC13">
        <v>1.47</v>
      </c>
      <c r="AD13">
        <v>0.97199999999999998</v>
      </c>
      <c r="AE13">
        <v>1.444</v>
      </c>
      <c r="AF13">
        <v>1.1479999999999999</v>
      </c>
      <c r="AG13">
        <v>1.661</v>
      </c>
      <c r="AH13">
        <v>0.96399999999999997</v>
      </c>
      <c r="AI13">
        <v>1.1950000000000001</v>
      </c>
      <c r="AJ13">
        <v>1.3089999999999999</v>
      </c>
      <c r="AK13">
        <v>0.88100000000000001</v>
      </c>
      <c r="AL13">
        <v>1.1819999999999999</v>
      </c>
      <c r="AM13">
        <v>1.306</v>
      </c>
      <c r="AN13" t="s">
        <v>159</v>
      </c>
      <c r="AO13" t="s">
        <v>159</v>
      </c>
      <c r="AP13" t="s">
        <v>159</v>
      </c>
      <c r="AQ13" t="s">
        <v>159</v>
      </c>
      <c r="AR13" t="s">
        <v>159</v>
      </c>
      <c r="AS13" t="s">
        <v>159</v>
      </c>
      <c r="AT13" t="s">
        <v>159</v>
      </c>
      <c r="AU13" t="s">
        <v>159</v>
      </c>
      <c r="AV13" t="s">
        <v>159</v>
      </c>
      <c r="AW13" t="s">
        <v>159</v>
      </c>
      <c r="AX13" t="s">
        <v>159</v>
      </c>
      <c r="AY13" t="s">
        <v>159</v>
      </c>
      <c r="AZ13" t="s">
        <v>159</v>
      </c>
      <c r="BA13" t="s">
        <v>159</v>
      </c>
      <c r="BB13" t="s">
        <v>159</v>
      </c>
      <c r="BC13" t="s">
        <v>159</v>
      </c>
      <c r="BD13" t="s">
        <v>159</v>
      </c>
      <c r="BE13" t="s">
        <v>159</v>
      </c>
      <c r="BF13" t="s">
        <v>159</v>
      </c>
      <c r="BG13" t="s">
        <v>159</v>
      </c>
      <c r="CB13">
        <v>3.0616468537910766</v>
      </c>
      <c r="CC13">
        <v>575.28440460849845</v>
      </c>
      <c r="CD13">
        <v>4.6904217300572304</v>
      </c>
      <c r="CE13">
        <v>4.3184069003329402</v>
      </c>
      <c r="CF13">
        <v>1.9763582776936399</v>
      </c>
      <c r="CG13">
        <v>0.52529454435217504</v>
      </c>
      <c r="CH13">
        <v>3.04828018538926</v>
      </c>
      <c r="CI13">
        <v>4.2354384562310399</v>
      </c>
      <c r="CJ13">
        <v>3.65913586747932</v>
      </c>
      <c r="CK13">
        <v>0.34327224743325202</v>
      </c>
      <c r="CL13">
        <v>1.81533341243424</v>
      </c>
      <c r="CM13">
        <v>5.1350108398711498</v>
      </c>
      <c r="CN13">
        <v>1.49685997789921</v>
      </c>
      <c r="CO13">
        <v>4.8690691568551099</v>
      </c>
      <c r="CP13">
        <v>2.4578905147374801</v>
      </c>
      <c r="CQ13">
        <v>7.3898770337933302</v>
      </c>
      <c r="CR13">
        <v>1.46044520851107</v>
      </c>
      <c r="CS13">
        <v>2.77007842602471</v>
      </c>
      <c r="CT13">
        <v>3.6342588265879598</v>
      </c>
      <c r="CU13">
        <v>1.11677045086478</v>
      </c>
      <c r="CV13">
        <v>2.6812406019077102</v>
      </c>
      <c r="CW13">
        <v>3.60949441736593</v>
      </c>
    </row>
    <row r="14" spans="1:102" x14ac:dyDescent="0.25">
      <c r="A14" s="6">
        <v>13</v>
      </c>
      <c r="B14" s="6">
        <v>1</v>
      </c>
      <c r="C14" t="s">
        <v>132</v>
      </c>
      <c r="D14" t="s">
        <v>172</v>
      </c>
      <c r="E14" t="s">
        <v>158</v>
      </c>
      <c r="F14">
        <v>-1</v>
      </c>
      <c r="G14">
        <v>96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24576</v>
      </c>
      <c r="P14">
        <v>10060.649482006</v>
      </c>
      <c r="Q14">
        <v>-1</v>
      </c>
      <c r="R14">
        <v>-1</v>
      </c>
      <c r="S14">
        <v>-1</v>
      </c>
      <c r="T14">
        <v>0.26400000000000001</v>
      </c>
      <c r="U14">
        <v>0.23499999999999999</v>
      </c>
      <c r="V14">
        <v>0.27200000000000002</v>
      </c>
      <c r="W14">
        <v>0.42099999999999999</v>
      </c>
      <c r="X14">
        <v>0.38500000000000001</v>
      </c>
      <c r="Y14">
        <v>0.372</v>
      </c>
      <c r="Z14">
        <v>0.32300000000000001</v>
      </c>
      <c r="AA14">
        <v>0.36899999999999999</v>
      </c>
      <c r="AB14">
        <v>0.36599999999999999</v>
      </c>
      <c r="AC14">
        <v>0.224</v>
      </c>
      <c r="AD14">
        <v>0.21099999999999999</v>
      </c>
      <c r="AE14">
        <v>0.41899999999999998</v>
      </c>
      <c r="AF14">
        <v>0.223</v>
      </c>
      <c r="AG14">
        <v>0.19900000000000001</v>
      </c>
      <c r="AH14">
        <v>0.27200000000000002</v>
      </c>
      <c r="AI14">
        <v>0.40899999999999997</v>
      </c>
      <c r="AJ14">
        <v>0.20300000000000001</v>
      </c>
      <c r="AK14">
        <v>0.39</v>
      </c>
      <c r="AL14">
        <v>0.38200000000000001</v>
      </c>
      <c r="AM14">
        <v>0.192</v>
      </c>
      <c r="AN14" t="s">
        <v>159</v>
      </c>
      <c r="AO14" t="s">
        <v>159</v>
      </c>
      <c r="AP14" t="s">
        <v>159</v>
      </c>
      <c r="AQ14" t="s">
        <v>159</v>
      </c>
      <c r="AR14" t="s">
        <v>159</v>
      </c>
      <c r="AS14" t="s">
        <v>159</v>
      </c>
      <c r="AT14" t="s">
        <v>159</v>
      </c>
      <c r="AU14" t="s">
        <v>159</v>
      </c>
      <c r="AV14" t="s">
        <v>159</v>
      </c>
      <c r="AW14" t="s">
        <v>159</v>
      </c>
      <c r="AX14" t="s">
        <v>159</v>
      </c>
      <c r="AY14" t="s">
        <v>159</v>
      </c>
      <c r="AZ14" t="s">
        <v>159</v>
      </c>
      <c r="BA14" t="s">
        <v>159</v>
      </c>
      <c r="BB14" t="s">
        <v>159</v>
      </c>
      <c r="BC14" t="s">
        <v>159</v>
      </c>
      <c r="BD14" t="s">
        <v>159</v>
      </c>
      <c r="BE14" t="s">
        <v>159</v>
      </c>
      <c r="BF14" t="s">
        <v>159</v>
      </c>
      <c r="BG14" t="s">
        <v>159</v>
      </c>
      <c r="CB14">
        <v>0.86083139891620974</v>
      </c>
      <c r="CC14">
        <v>8660.5229676008657</v>
      </c>
      <c r="CD14">
        <v>0.51816081830112104</v>
      </c>
      <c r="CE14">
        <v>0.386018684580413</v>
      </c>
      <c r="CF14">
        <v>0.55881230686921801</v>
      </c>
      <c r="CG14">
        <v>1.68748661754875</v>
      </c>
      <c r="CH14">
        <v>1.3459294024027</v>
      </c>
      <c r="CI14">
        <v>1.2339008767651101</v>
      </c>
      <c r="CJ14">
        <v>0.86315544877939998</v>
      </c>
      <c r="CK14">
        <v>1.2088804140104701</v>
      </c>
      <c r="CL14">
        <v>1.1841692544995399</v>
      </c>
      <c r="CM14">
        <v>0.34192757114307298</v>
      </c>
      <c r="CN14">
        <v>0.29392819442305601</v>
      </c>
      <c r="CO14">
        <v>1.66727835857633</v>
      </c>
      <c r="CP14">
        <v>0.33807880018450098</v>
      </c>
      <c r="CQ14">
        <v>0.25345736657856999</v>
      </c>
      <c r="CR14">
        <v>0.55881230686921801</v>
      </c>
      <c r="CS14">
        <v>1.5684352855189601</v>
      </c>
      <c r="CT14">
        <v>0.26654565710005401</v>
      </c>
      <c r="CU14">
        <v>1.39059316587882</v>
      </c>
      <c r="CV14">
        <v>1.3195533180986501</v>
      </c>
      <c r="CW14">
        <v>0.231504130196241</v>
      </c>
    </row>
    <row r="15" spans="1:102" x14ac:dyDescent="0.25">
      <c r="A15" s="6">
        <v>14</v>
      </c>
      <c r="B15" s="6">
        <v>1</v>
      </c>
      <c r="C15" t="s">
        <v>132</v>
      </c>
      <c r="D15" t="s">
        <v>173</v>
      </c>
      <c r="E15" t="s">
        <v>168</v>
      </c>
      <c r="F15">
        <v>-1</v>
      </c>
      <c r="G15">
        <v>49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12544</v>
      </c>
      <c r="P15">
        <v>5135.1231731072503</v>
      </c>
      <c r="Q15">
        <v>-1</v>
      </c>
      <c r="R15">
        <v>-1</v>
      </c>
      <c r="S15">
        <v>-1</v>
      </c>
      <c r="T15">
        <v>0.41099999999999998</v>
      </c>
      <c r="U15">
        <v>0.66900000000000004</v>
      </c>
      <c r="V15">
        <v>0.33300000000000002</v>
      </c>
      <c r="W15">
        <v>0.40600000000000003</v>
      </c>
      <c r="X15">
        <v>0.437</v>
      </c>
      <c r="Y15">
        <v>0.65900000000000003</v>
      </c>
      <c r="Z15">
        <v>0.48799999999999999</v>
      </c>
      <c r="AA15">
        <v>0.42599999999999999</v>
      </c>
      <c r="AB15">
        <v>0.36499999999999999</v>
      </c>
      <c r="AC15">
        <v>0.77800000000000002</v>
      </c>
      <c r="AD15">
        <v>0.43099999999999999</v>
      </c>
      <c r="AE15">
        <v>0.53200000000000003</v>
      </c>
      <c r="AF15">
        <v>0.31900000000000001</v>
      </c>
      <c r="AG15">
        <v>0.379</v>
      </c>
      <c r="AH15">
        <v>0.38400000000000001</v>
      </c>
      <c r="AI15">
        <v>0.443</v>
      </c>
      <c r="AJ15">
        <v>0.6</v>
      </c>
      <c r="AK15">
        <v>0.39500000000000002</v>
      </c>
      <c r="AL15">
        <v>0.60299999999999998</v>
      </c>
      <c r="AM15">
        <v>0.73699999999999999</v>
      </c>
      <c r="AN15" t="s">
        <v>169</v>
      </c>
      <c r="AO15" t="s">
        <v>169</v>
      </c>
      <c r="AP15" t="s">
        <v>169</v>
      </c>
      <c r="AQ15" t="s">
        <v>169</v>
      </c>
      <c r="AR15" t="s">
        <v>169</v>
      </c>
      <c r="AS15" t="s">
        <v>169</v>
      </c>
      <c r="AT15" t="s">
        <v>169</v>
      </c>
      <c r="AU15" t="s">
        <v>169</v>
      </c>
      <c r="AV15" t="s">
        <v>169</v>
      </c>
      <c r="AW15" t="s">
        <v>169</v>
      </c>
      <c r="AX15" t="s">
        <v>169</v>
      </c>
      <c r="AY15" t="s">
        <v>169</v>
      </c>
      <c r="AZ15" t="s">
        <v>169</v>
      </c>
      <c r="BA15" t="s">
        <v>169</v>
      </c>
      <c r="BB15" t="s">
        <v>169</v>
      </c>
      <c r="BC15" t="s">
        <v>169</v>
      </c>
      <c r="BD15" t="s">
        <v>169</v>
      </c>
      <c r="BE15" t="s">
        <v>169</v>
      </c>
      <c r="BF15" t="s">
        <v>169</v>
      </c>
      <c r="BG15" t="s">
        <v>169</v>
      </c>
      <c r="CB15">
        <v>0.46798246939821342</v>
      </c>
      <c r="CC15">
        <v>2403.1476232147202</v>
      </c>
      <c r="CD15">
        <v>0.154127762174181</v>
      </c>
      <c r="CE15">
        <v>1.0662781934368299</v>
      </c>
      <c r="CF15">
        <v>6.6839385269880799E-2</v>
      </c>
      <c r="CG15">
        <v>0.14681728655058601</v>
      </c>
      <c r="CH15">
        <v>0.19662563796541799</v>
      </c>
      <c r="CI15">
        <v>1.0043935980898799</v>
      </c>
      <c r="CJ15">
        <v>0.30475829367037099</v>
      </c>
      <c r="CK15">
        <v>0.17769898550503899</v>
      </c>
      <c r="CL15">
        <v>9.6212502721381002E-2</v>
      </c>
      <c r="CM15">
        <v>1.94141258251266</v>
      </c>
      <c r="CN15">
        <v>0.186124525033943</v>
      </c>
      <c r="CO15">
        <v>0.42933670623784598</v>
      </c>
      <c r="CP15">
        <v>5.6360891196638202E-2</v>
      </c>
      <c r="CQ15">
        <v>0.111718862084339</v>
      </c>
      <c r="CR15">
        <v>0.11768572867275399</v>
      </c>
      <c r="CS15">
        <v>0.20756380959176099</v>
      </c>
      <c r="CT15">
        <v>0.69213259783559999</v>
      </c>
      <c r="CU15">
        <v>0.131649528975335</v>
      </c>
      <c r="CV15">
        <v>0.70597377607238399</v>
      </c>
      <c r="CW15">
        <v>1.56593873436744</v>
      </c>
    </row>
    <row r="16" spans="1:102" x14ac:dyDescent="0.25">
      <c r="A16" s="6">
        <v>15</v>
      </c>
      <c r="B16" s="6">
        <v>1</v>
      </c>
      <c r="C16" t="s">
        <v>135</v>
      </c>
      <c r="D16" t="s">
        <v>167</v>
      </c>
      <c r="E16" t="s">
        <v>168</v>
      </c>
      <c r="F16">
        <v>-1</v>
      </c>
      <c r="G16">
        <v>6</v>
      </c>
      <c r="H16">
        <v>-1</v>
      </c>
      <c r="I16">
        <v>-1</v>
      </c>
      <c r="J16">
        <v>-1</v>
      </c>
      <c r="K16">
        <v>3</v>
      </c>
      <c r="L16">
        <v>-1</v>
      </c>
      <c r="M16">
        <v>-1</v>
      </c>
      <c r="N16">
        <v>-1</v>
      </c>
      <c r="O16">
        <v>768</v>
      </c>
      <c r="P16">
        <v>287.91990293898903</v>
      </c>
      <c r="Q16">
        <v>-1</v>
      </c>
      <c r="R16">
        <v>-1</v>
      </c>
      <c r="S16">
        <v>-1</v>
      </c>
      <c r="T16">
        <v>0.97499999999999998</v>
      </c>
      <c r="U16">
        <v>1.0149999999999999</v>
      </c>
      <c r="V16">
        <v>1.0629999999999999</v>
      </c>
      <c r="W16">
        <v>0.94699999999999995</v>
      </c>
      <c r="X16">
        <v>1.139</v>
      </c>
      <c r="Y16">
        <v>1.089</v>
      </c>
      <c r="Z16">
        <v>0.82299999999999995</v>
      </c>
      <c r="AA16">
        <v>1.0309999999999999</v>
      </c>
      <c r="AB16">
        <v>0.92400000000000004</v>
      </c>
      <c r="AN16" t="s">
        <v>169</v>
      </c>
      <c r="AO16" t="s">
        <v>169</v>
      </c>
      <c r="AP16" t="s">
        <v>169</v>
      </c>
      <c r="AQ16" t="s">
        <v>169</v>
      </c>
      <c r="AR16" t="s">
        <v>169</v>
      </c>
      <c r="AS16" t="s">
        <v>169</v>
      </c>
      <c r="AT16" t="s">
        <v>169</v>
      </c>
      <c r="AU16" t="s">
        <v>169</v>
      </c>
      <c r="AV16" t="s">
        <v>169</v>
      </c>
      <c r="CB16">
        <v>4.9934623755215579</v>
      </c>
      <c r="CC16">
        <v>1437.7172024896606</v>
      </c>
      <c r="CD16">
        <v>4.5925107428507701</v>
      </c>
      <c r="CE16">
        <v>5.0965381053095502</v>
      </c>
      <c r="CF16">
        <v>5.7444622704238402</v>
      </c>
      <c r="CG16">
        <v>4.2586767024121999</v>
      </c>
      <c r="CH16">
        <v>6.86949278278757</v>
      </c>
      <c r="CI16">
        <v>6.1154783749413397</v>
      </c>
      <c r="CJ16">
        <v>2.96083222877968</v>
      </c>
      <c r="CK16">
        <v>5.3072331798134504</v>
      </c>
      <c r="CL16">
        <v>3.9959369923756198</v>
      </c>
    </row>
    <row r="17" spans="1:101" x14ac:dyDescent="0.25">
      <c r="A17" s="6">
        <v>16</v>
      </c>
      <c r="B17" s="6">
        <v>1</v>
      </c>
      <c r="C17" t="s">
        <v>135</v>
      </c>
      <c r="D17" t="s">
        <v>170</v>
      </c>
      <c r="E17" t="s">
        <v>158</v>
      </c>
      <c r="F17">
        <v>-1</v>
      </c>
      <c r="G17">
        <v>35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8960</v>
      </c>
      <c r="P17">
        <v>3359.0655342882001</v>
      </c>
      <c r="Q17">
        <v>-1</v>
      </c>
      <c r="R17">
        <v>-1</v>
      </c>
      <c r="S17">
        <v>-1</v>
      </c>
      <c r="T17">
        <v>0.64700000000000002</v>
      </c>
      <c r="U17">
        <v>1.2190000000000001</v>
      </c>
      <c r="V17">
        <v>1.647</v>
      </c>
      <c r="W17">
        <v>0.54700000000000004</v>
      </c>
      <c r="X17">
        <v>0.63100000000000001</v>
      </c>
      <c r="Y17">
        <v>1.2090000000000001</v>
      </c>
      <c r="Z17">
        <v>1.1830000000000001</v>
      </c>
      <c r="AA17">
        <v>0.80600000000000005</v>
      </c>
      <c r="AB17">
        <v>0.66100000000000003</v>
      </c>
      <c r="AC17">
        <v>0.78400000000000003</v>
      </c>
      <c r="AD17">
        <v>1.262</v>
      </c>
      <c r="AE17">
        <v>1.111</v>
      </c>
      <c r="AF17">
        <v>0.54600000000000004</v>
      </c>
      <c r="AG17">
        <v>1.3959999999999999</v>
      </c>
      <c r="AH17">
        <v>0.76400000000000001</v>
      </c>
      <c r="AI17">
        <v>0.754</v>
      </c>
      <c r="AJ17">
        <v>1.381</v>
      </c>
      <c r="AK17">
        <v>0.78200000000000003</v>
      </c>
      <c r="AL17">
        <v>1.351</v>
      </c>
      <c r="AM17">
        <v>0.98599999999999999</v>
      </c>
      <c r="AN17" t="s">
        <v>159</v>
      </c>
      <c r="AO17" t="s">
        <v>159</v>
      </c>
      <c r="AP17" t="s">
        <v>159</v>
      </c>
      <c r="AQ17" t="s">
        <v>159</v>
      </c>
      <c r="AR17" t="s">
        <v>159</v>
      </c>
      <c r="AS17" t="s">
        <v>159</v>
      </c>
      <c r="AT17" t="s">
        <v>159</v>
      </c>
      <c r="AU17" t="s">
        <v>159</v>
      </c>
      <c r="AV17" t="s">
        <v>159</v>
      </c>
      <c r="AW17" t="s">
        <v>159</v>
      </c>
      <c r="AX17" t="s">
        <v>159</v>
      </c>
      <c r="AY17" t="s">
        <v>159</v>
      </c>
      <c r="AZ17" t="s">
        <v>159</v>
      </c>
      <c r="BA17" t="s">
        <v>159</v>
      </c>
      <c r="BB17" t="s">
        <v>159</v>
      </c>
      <c r="BC17" t="s">
        <v>159</v>
      </c>
      <c r="BD17" t="s">
        <v>159</v>
      </c>
      <c r="BE17" t="s">
        <v>159</v>
      </c>
      <c r="BF17" t="s">
        <v>159</v>
      </c>
      <c r="BG17" t="s">
        <v>159</v>
      </c>
      <c r="CB17">
        <v>6.1018741454527339</v>
      </c>
      <c r="CC17">
        <v>20496.595136554541</v>
      </c>
      <c r="CD17">
        <v>1.4425876557042101</v>
      </c>
      <c r="CE17">
        <v>8.7181548470156507</v>
      </c>
      <c r="CF17">
        <v>20.491977772714101</v>
      </c>
      <c r="CG17">
        <v>0.89548447579181201</v>
      </c>
      <c r="CH17">
        <v>1.34356114170409</v>
      </c>
      <c r="CI17">
        <v>8.5165705605018491</v>
      </c>
      <c r="CJ17">
        <v>8.0066478782897192</v>
      </c>
      <c r="CK17">
        <v>2.6925611375715</v>
      </c>
      <c r="CL17">
        <v>1.53301427686458</v>
      </c>
      <c r="CM17">
        <v>2.48903883393093</v>
      </c>
      <c r="CN17">
        <v>9.6201672491981505</v>
      </c>
      <c r="CO17">
        <v>6.6988766641123503</v>
      </c>
      <c r="CP17">
        <v>0.89084297537114898</v>
      </c>
      <c r="CQ17">
        <v>12.8129355738184</v>
      </c>
      <c r="CR17">
        <v>2.3129124446019498</v>
      </c>
      <c r="CS17">
        <v>2.2279666042420398</v>
      </c>
      <c r="CT17">
        <v>12.425792633307401</v>
      </c>
      <c r="CU17">
        <v>2.4710482932831099</v>
      </c>
      <c r="CV17">
        <v>11.6744181785294</v>
      </c>
      <c r="CW17">
        <v>4.7729237125023101</v>
      </c>
    </row>
    <row r="18" spans="1:101" x14ac:dyDescent="0.25">
      <c r="A18" s="6">
        <v>17</v>
      </c>
      <c r="B18" s="6">
        <v>1</v>
      </c>
      <c r="C18" t="s">
        <v>135</v>
      </c>
      <c r="D18" t="s">
        <v>172</v>
      </c>
      <c r="E18" t="s">
        <v>158</v>
      </c>
      <c r="F18">
        <v>-1</v>
      </c>
      <c r="G18">
        <v>96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24576</v>
      </c>
      <c r="P18">
        <v>9213.4368940476397</v>
      </c>
      <c r="Q18">
        <v>-1</v>
      </c>
      <c r="R18">
        <v>-1</v>
      </c>
      <c r="S18">
        <v>-1</v>
      </c>
      <c r="T18">
        <v>0.31</v>
      </c>
      <c r="U18">
        <v>0.42399999999999999</v>
      </c>
      <c r="V18">
        <v>0.32700000000000001</v>
      </c>
      <c r="W18">
        <v>0.52300000000000002</v>
      </c>
      <c r="X18">
        <v>0.42199999999999999</v>
      </c>
      <c r="Y18">
        <v>0.29399999999999998</v>
      </c>
      <c r="Z18">
        <v>0.33800000000000002</v>
      </c>
      <c r="AA18">
        <v>0.21199999999999999</v>
      </c>
      <c r="AB18">
        <v>0.39300000000000002</v>
      </c>
      <c r="AC18">
        <v>0.36899999999999999</v>
      </c>
      <c r="AD18">
        <v>0.27300000000000002</v>
      </c>
      <c r="AE18">
        <v>0.38400000000000001</v>
      </c>
      <c r="AF18">
        <v>0.34799999999999998</v>
      </c>
      <c r="AG18">
        <v>0.373</v>
      </c>
      <c r="AH18">
        <v>0.24199999999999999</v>
      </c>
      <c r="AI18">
        <v>0.32500000000000001</v>
      </c>
      <c r="AJ18">
        <v>0.27</v>
      </c>
      <c r="AK18">
        <v>0.32</v>
      </c>
      <c r="AL18">
        <v>0.40100000000000002</v>
      </c>
      <c r="AM18">
        <v>0.51800000000000002</v>
      </c>
      <c r="AN18" t="s">
        <v>159</v>
      </c>
      <c r="AO18" t="s">
        <v>159</v>
      </c>
      <c r="AP18" t="s">
        <v>159</v>
      </c>
      <c r="AQ18" t="s">
        <v>159</v>
      </c>
      <c r="AR18" t="s">
        <v>159</v>
      </c>
      <c r="AS18" t="s">
        <v>159</v>
      </c>
      <c r="AT18" t="s">
        <v>159</v>
      </c>
      <c r="AU18" t="s">
        <v>159</v>
      </c>
      <c r="AV18" t="s">
        <v>159</v>
      </c>
      <c r="AW18" t="s">
        <v>159</v>
      </c>
      <c r="AX18" t="s">
        <v>159</v>
      </c>
      <c r="AY18" t="s">
        <v>159</v>
      </c>
      <c r="AZ18" t="s">
        <v>159</v>
      </c>
      <c r="BA18" t="s">
        <v>159</v>
      </c>
      <c r="BB18" t="s">
        <v>159</v>
      </c>
      <c r="BC18" t="s">
        <v>159</v>
      </c>
      <c r="BD18" t="s">
        <v>159</v>
      </c>
      <c r="BE18" t="s">
        <v>159</v>
      </c>
      <c r="BF18" t="s">
        <v>159</v>
      </c>
      <c r="BG18" t="s">
        <v>159</v>
      </c>
      <c r="CB18">
        <v>1.1895780218281151</v>
      </c>
      <c r="CC18">
        <v>10960.102034659365</v>
      </c>
      <c r="CD18">
        <v>0.777950063028512</v>
      </c>
      <c r="CE18">
        <v>1.7180755289774701</v>
      </c>
      <c r="CF18">
        <v>0.890455968354951</v>
      </c>
      <c r="CG18">
        <v>2.9215673858965201</v>
      </c>
      <c r="CH18">
        <v>1.6976460052586499</v>
      </c>
      <c r="CI18">
        <v>0.68033902120397705</v>
      </c>
      <c r="CJ18">
        <v>0.96820180203853501</v>
      </c>
      <c r="CK18">
        <v>0.29746533526454799</v>
      </c>
      <c r="CL18">
        <v>1.41781572032128</v>
      </c>
      <c r="CM18">
        <v>1.2088804140104701</v>
      </c>
      <c r="CN18">
        <v>0.56402471134249299</v>
      </c>
      <c r="CO18">
        <v>1.33710228989757</v>
      </c>
      <c r="CP18">
        <v>1.0423225225134201</v>
      </c>
      <c r="CQ18">
        <v>1.2423099951345</v>
      </c>
      <c r="CR18">
        <v>0.41577609007098698</v>
      </c>
      <c r="CS18">
        <v>0.87674144772358598</v>
      </c>
      <c r="CT18">
        <v>0.54847515335258601</v>
      </c>
      <c r="CU18">
        <v>0.84301650990673405</v>
      </c>
      <c r="CV18">
        <v>1.4919762079807299</v>
      </c>
      <c r="CW18">
        <v>2.8514182642847801</v>
      </c>
    </row>
    <row r="19" spans="1:101" x14ac:dyDescent="0.25">
      <c r="A19" s="6">
        <v>18</v>
      </c>
      <c r="B19" s="6">
        <v>1</v>
      </c>
      <c r="C19" t="s">
        <v>135</v>
      </c>
      <c r="D19" t="s">
        <v>173</v>
      </c>
      <c r="E19" t="s">
        <v>168</v>
      </c>
      <c r="F19">
        <v>-1</v>
      </c>
      <c r="G19">
        <v>81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20736</v>
      </c>
      <c r="P19">
        <v>7773.8373793526998</v>
      </c>
      <c r="Q19">
        <v>-1</v>
      </c>
      <c r="R19">
        <v>-1</v>
      </c>
      <c r="S19">
        <v>-1</v>
      </c>
      <c r="T19">
        <v>0.83199999999999996</v>
      </c>
      <c r="U19">
        <v>0.436</v>
      </c>
      <c r="V19">
        <v>0.57399999999999995</v>
      </c>
      <c r="W19">
        <v>0.55700000000000005</v>
      </c>
      <c r="X19">
        <v>0.45900000000000002</v>
      </c>
      <c r="Y19">
        <v>0.40100000000000002</v>
      </c>
      <c r="Z19">
        <v>0.45</v>
      </c>
      <c r="AA19">
        <v>0.51700000000000002</v>
      </c>
      <c r="AB19">
        <v>0.78600000000000003</v>
      </c>
      <c r="AC19">
        <v>0.98699999999999999</v>
      </c>
      <c r="AD19">
        <v>0.39</v>
      </c>
      <c r="AE19">
        <v>0.52900000000000003</v>
      </c>
      <c r="AF19">
        <v>0.44500000000000001</v>
      </c>
      <c r="AG19">
        <v>0.45</v>
      </c>
      <c r="AH19">
        <v>0.36299999999999999</v>
      </c>
      <c r="AI19">
        <v>0.50600000000000001</v>
      </c>
      <c r="AJ19">
        <v>0.69799999999999995</v>
      </c>
      <c r="AK19">
        <v>0.65700000000000003</v>
      </c>
      <c r="AL19">
        <v>0.45900000000000002</v>
      </c>
      <c r="AM19">
        <v>0.79600000000000004</v>
      </c>
      <c r="AN19" t="s">
        <v>169</v>
      </c>
      <c r="AO19" t="s">
        <v>169</v>
      </c>
      <c r="AP19" t="s">
        <v>169</v>
      </c>
      <c r="AQ19" t="s">
        <v>169</v>
      </c>
      <c r="AR19" t="s">
        <v>169</v>
      </c>
      <c r="AS19" t="s">
        <v>169</v>
      </c>
      <c r="AT19" t="s">
        <v>169</v>
      </c>
      <c r="AU19" t="s">
        <v>169</v>
      </c>
      <c r="AV19" t="s">
        <v>169</v>
      </c>
      <c r="AW19" t="s">
        <v>169</v>
      </c>
      <c r="AX19" t="s">
        <v>169</v>
      </c>
      <c r="AY19" t="s">
        <v>169</v>
      </c>
      <c r="AZ19" t="s">
        <v>169</v>
      </c>
      <c r="BA19" t="s">
        <v>169</v>
      </c>
      <c r="BB19" t="s">
        <v>169</v>
      </c>
      <c r="BC19" t="s">
        <v>169</v>
      </c>
      <c r="BD19" t="s">
        <v>169</v>
      </c>
      <c r="BE19" t="s">
        <v>169</v>
      </c>
      <c r="BF19" t="s">
        <v>169</v>
      </c>
      <c r="BG19" t="s">
        <v>169</v>
      </c>
      <c r="CB19">
        <v>0.89324173996391709</v>
      </c>
      <c r="CC19">
        <v>6943.9160269295426</v>
      </c>
      <c r="CD19">
        <v>2.5340690539667698</v>
      </c>
      <c r="CE19">
        <v>0.19484542024759199</v>
      </c>
      <c r="CF19">
        <v>0.580509127664392</v>
      </c>
      <c r="CG19">
        <v>0.51519775844398197</v>
      </c>
      <c r="CH19">
        <v>0.23895999556862099</v>
      </c>
      <c r="CI19">
        <v>0.13976936730923001</v>
      </c>
      <c r="CJ19">
        <v>0.220893287960822</v>
      </c>
      <c r="CK19">
        <v>0.38325364682107199</v>
      </c>
      <c r="CL19">
        <v>2.0218845224020998</v>
      </c>
      <c r="CM19">
        <v>4.9930732352316003</v>
      </c>
      <c r="CN19">
        <v>0.125157053385726</v>
      </c>
      <c r="CO19">
        <v>0.41980524271090103</v>
      </c>
      <c r="CP19">
        <v>0.21130904319982399</v>
      </c>
      <c r="CQ19">
        <v>0.220893287960822</v>
      </c>
      <c r="CR19">
        <v>9.4136520412817296E-2</v>
      </c>
      <c r="CS19">
        <v>0.35188956778591601</v>
      </c>
      <c r="CT19">
        <v>1.2619288457620901</v>
      </c>
      <c r="CU19">
        <v>0.99234653389490202</v>
      </c>
      <c r="CV19">
        <v>0.23895999556862099</v>
      </c>
      <c r="CW19">
        <v>2.1259532929805398</v>
      </c>
    </row>
    <row r="20" spans="1:101" x14ac:dyDescent="0.25">
      <c r="A20" s="6">
        <v>19</v>
      </c>
      <c r="B20" s="6">
        <v>1</v>
      </c>
      <c r="C20" t="s">
        <v>135</v>
      </c>
      <c r="D20" t="s">
        <v>165</v>
      </c>
      <c r="E20" t="s">
        <v>158</v>
      </c>
      <c r="F20">
        <v>-1</v>
      </c>
      <c r="G20">
        <v>0</v>
      </c>
      <c r="H20">
        <v>-1</v>
      </c>
      <c r="I20">
        <v>-1</v>
      </c>
      <c r="J20">
        <v>-1</v>
      </c>
      <c r="K20">
        <v>0</v>
      </c>
      <c r="L20">
        <v>-1</v>
      </c>
      <c r="M20">
        <v>1</v>
      </c>
      <c r="N20">
        <v>-1</v>
      </c>
      <c r="O20">
        <v>36.571428571428598</v>
      </c>
      <c r="P20">
        <v>13.7104715685233</v>
      </c>
      <c r="Q20">
        <v>-1</v>
      </c>
      <c r="R20">
        <v>-1</v>
      </c>
      <c r="S20">
        <v>-1</v>
      </c>
      <c r="T20">
        <v>0.86799999999999999</v>
      </c>
      <c r="AN20" t="s">
        <v>159</v>
      </c>
      <c r="CB20">
        <v>0.30120182718029098</v>
      </c>
      <c r="CC20">
        <v>4.1296190879426478</v>
      </c>
      <c r="CD20">
        <v>0.30120182718029098</v>
      </c>
    </row>
    <row r="21" spans="1:101" x14ac:dyDescent="0.25">
      <c r="A21" s="6">
        <v>20</v>
      </c>
      <c r="B21" s="6">
        <v>1</v>
      </c>
      <c r="C21" t="s">
        <v>135</v>
      </c>
      <c r="D21" t="s">
        <v>153</v>
      </c>
      <c r="E21" t="s">
        <v>154</v>
      </c>
      <c r="F21">
        <v>-1</v>
      </c>
      <c r="G21">
        <v>0</v>
      </c>
      <c r="H21">
        <v>0</v>
      </c>
      <c r="I21">
        <v>-1</v>
      </c>
      <c r="J21">
        <v>-1</v>
      </c>
      <c r="K21">
        <v>0</v>
      </c>
      <c r="L21">
        <v>1</v>
      </c>
      <c r="M21">
        <v>-1</v>
      </c>
      <c r="N21">
        <v>-1</v>
      </c>
      <c r="O21">
        <v>85.3333333333333</v>
      </c>
      <c r="P21">
        <v>31.991100326554299</v>
      </c>
      <c r="Q21">
        <v>-1</v>
      </c>
      <c r="R21">
        <v>-1</v>
      </c>
      <c r="S21">
        <v>-1</v>
      </c>
      <c r="T21">
        <v>1.004</v>
      </c>
      <c r="AN21" t="s">
        <v>156</v>
      </c>
      <c r="CB21">
        <v>4.9547134472881096</v>
      </c>
      <c r="CC21">
        <v>158.50673498152162</v>
      </c>
      <c r="CD21">
        <v>4.9547134472881096</v>
      </c>
    </row>
    <row r="22" spans="1:101" x14ac:dyDescent="0.25">
      <c r="A22" s="6">
        <v>21</v>
      </c>
      <c r="B22" s="6">
        <v>1</v>
      </c>
      <c r="C22" t="s">
        <v>135</v>
      </c>
      <c r="D22" t="s">
        <v>162</v>
      </c>
      <c r="E22" t="s">
        <v>154</v>
      </c>
      <c r="F22">
        <v>-1</v>
      </c>
      <c r="G22">
        <v>0</v>
      </c>
      <c r="H22">
        <v>0</v>
      </c>
      <c r="I22">
        <v>-1</v>
      </c>
      <c r="J22">
        <v>-1</v>
      </c>
      <c r="K22">
        <v>2</v>
      </c>
      <c r="L22">
        <v>0</v>
      </c>
      <c r="M22">
        <v>-1</v>
      </c>
      <c r="N22">
        <v>-1</v>
      </c>
      <c r="O22">
        <v>170.666666666667</v>
      </c>
      <c r="P22">
        <v>63.982200653108599</v>
      </c>
      <c r="Q22">
        <v>-1</v>
      </c>
      <c r="R22">
        <v>-1</v>
      </c>
      <c r="S22">
        <v>-1</v>
      </c>
      <c r="T22">
        <v>0.95</v>
      </c>
      <c r="U22">
        <v>0.95</v>
      </c>
      <c r="AN22" t="s">
        <v>155</v>
      </c>
      <c r="AO22" t="s">
        <v>155</v>
      </c>
      <c r="CB22">
        <v>4.2937065927586904</v>
      </c>
      <c r="CC22">
        <v>274.72079676346175</v>
      </c>
      <c r="CD22">
        <v>4.2937065927586904</v>
      </c>
      <c r="CE22">
        <v>4.2937065927586904</v>
      </c>
    </row>
    <row r="23" spans="1:101" x14ac:dyDescent="0.25">
      <c r="A23" s="6">
        <v>22</v>
      </c>
      <c r="B23" s="6">
        <v>1</v>
      </c>
      <c r="C23" t="s">
        <v>135</v>
      </c>
      <c r="D23" t="s">
        <v>163</v>
      </c>
      <c r="E23" t="s">
        <v>158</v>
      </c>
      <c r="F23">
        <v>-1</v>
      </c>
      <c r="G23">
        <v>7</v>
      </c>
      <c r="H23">
        <v>-1</v>
      </c>
      <c r="I23">
        <v>-1</v>
      </c>
      <c r="J23">
        <v>-1</v>
      </c>
      <c r="K23">
        <v>21</v>
      </c>
      <c r="L23">
        <v>-1</v>
      </c>
      <c r="M23">
        <v>-1</v>
      </c>
      <c r="N23">
        <v>-1</v>
      </c>
      <c r="O23">
        <v>2389.3333333333298</v>
      </c>
      <c r="P23">
        <v>895.750809143521</v>
      </c>
      <c r="Q23">
        <v>-1</v>
      </c>
      <c r="R23">
        <v>-1</v>
      </c>
      <c r="S23">
        <v>-1</v>
      </c>
      <c r="T23">
        <v>0.69499999999999995</v>
      </c>
      <c r="U23">
        <v>0.374</v>
      </c>
      <c r="V23">
        <v>0.74299999999999999</v>
      </c>
      <c r="W23">
        <v>0.437</v>
      </c>
      <c r="X23">
        <v>0.85499999999999998</v>
      </c>
      <c r="Y23">
        <v>0.33500000000000002</v>
      </c>
      <c r="Z23">
        <v>0.50800000000000001</v>
      </c>
      <c r="AA23">
        <v>0.371</v>
      </c>
      <c r="AB23">
        <v>0.58199999999999996</v>
      </c>
      <c r="AC23">
        <v>0.56599999999999995</v>
      </c>
      <c r="AD23">
        <v>0.86799999999999999</v>
      </c>
      <c r="AE23">
        <v>0.99399999999999999</v>
      </c>
      <c r="AF23">
        <v>0.88500000000000001</v>
      </c>
      <c r="AG23">
        <v>0.85799999999999998</v>
      </c>
      <c r="AH23">
        <v>0.94699999999999995</v>
      </c>
      <c r="AI23">
        <v>0.56299999999999994</v>
      </c>
      <c r="AJ23">
        <v>0.72499999999999998</v>
      </c>
      <c r="AK23">
        <v>0.754</v>
      </c>
      <c r="AL23">
        <v>0.61799999999999999</v>
      </c>
      <c r="AM23">
        <v>0.437</v>
      </c>
      <c r="AN23" t="s">
        <v>159</v>
      </c>
      <c r="AO23" t="s">
        <v>159</v>
      </c>
      <c r="AP23" t="s">
        <v>159</v>
      </c>
      <c r="AQ23" t="s">
        <v>159</v>
      </c>
      <c r="AR23" t="s">
        <v>159</v>
      </c>
      <c r="AS23" t="s">
        <v>159</v>
      </c>
      <c r="AT23" t="s">
        <v>159</v>
      </c>
      <c r="AU23" t="s">
        <v>159</v>
      </c>
      <c r="AV23" t="s">
        <v>159</v>
      </c>
      <c r="AW23" t="s">
        <v>159</v>
      </c>
      <c r="AX23" t="s">
        <v>159</v>
      </c>
      <c r="AY23" t="s">
        <v>159</v>
      </c>
      <c r="AZ23" t="s">
        <v>159</v>
      </c>
      <c r="BA23" t="s">
        <v>159</v>
      </c>
      <c r="BB23" t="s">
        <v>159</v>
      </c>
      <c r="BC23" t="s">
        <v>159</v>
      </c>
      <c r="BD23" t="s">
        <v>159</v>
      </c>
      <c r="BE23" t="s">
        <v>159</v>
      </c>
      <c r="BF23" t="s">
        <v>159</v>
      </c>
      <c r="BG23" t="s">
        <v>159</v>
      </c>
      <c r="CB23">
        <v>2.7468215117587027</v>
      </c>
      <c r="CC23">
        <v>2460.4675917306877</v>
      </c>
      <c r="CD23">
        <v>2.49014127894374</v>
      </c>
      <c r="CE23">
        <v>0.34494739694446103</v>
      </c>
      <c r="CF23">
        <v>3.0813907666945601</v>
      </c>
      <c r="CG23">
        <v>0.56679791620190501</v>
      </c>
      <c r="CH23">
        <v>4.8224126178512199</v>
      </c>
      <c r="CI23">
        <v>0.242764620879451</v>
      </c>
      <c r="CJ23">
        <v>0.91621564457091897</v>
      </c>
      <c r="CK23">
        <v>0.33619808291652098</v>
      </c>
      <c r="CL23">
        <v>1.4138286630433901</v>
      </c>
      <c r="CM23">
        <v>1.2935311050018701</v>
      </c>
      <c r="CN23">
        <v>5.0602314826562003</v>
      </c>
      <c r="CO23">
        <v>7.7974936043499001</v>
      </c>
      <c r="CP23">
        <v>5.3832121376778703</v>
      </c>
      <c r="CQ23">
        <v>4.8765974723763996</v>
      </c>
      <c r="CR23">
        <v>6.6811141817191801</v>
      </c>
      <c r="CS23">
        <v>1.2717865876188601</v>
      </c>
      <c r="CT23">
        <v>2.8495133890924502</v>
      </c>
      <c r="CU23">
        <v>3.2292900489624099</v>
      </c>
      <c r="CV23">
        <v>1.7121653214708299</v>
      </c>
      <c r="CW23">
        <v>0.56679791620190501</v>
      </c>
    </row>
    <row r="24" spans="1:101" x14ac:dyDescent="0.25">
      <c r="A24" s="6">
        <v>23</v>
      </c>
      <c r="B24" s="6">
        <v>1</v>
      </c>
      <c r="C24" t="s">
        <v>135</v>
      </c>
      <c r="D24" t="s">
        <v>164</v>
      </c>
      <c r="E24" t="s">
        <v>158</v>
      </c>
      <c r="F24">
        <v>-1</v>
      </c>
      <c r="G24">
        <v>1</v>
      </c>
      <c r="H24">
        <v>-1</v>
      </c>
      <c r="I24">
        <v>-1</v>
      </c>
      <c r="J24">
        <v>-1</v>
      </c>
      <c r="K24">
        <v>1</v>
      </c>
      <c r="L24">
        <v>-1</v>
      </c>
      <c r="M24">
        <v>-1</v>
      </c>
      <c r="N24">
        <v>-1</v>
      </c>
      <c r="O24">
        <v>170.666666666667</v>
      </c>
      <c r="P24">
        <v>63.982200653108599</v>
      </c>
      <c r="Q24">
        <v>-1</v>
      </c>
      <c r="R24">
        <v>-1</v>
      </c>
      <c r="S24">
        <v>-1</v>
      </c>
      <c r="T24">
        <v>0.36799999999999999</v>
      </c>
      <c r="U24">
        <v>0.42099999999999999</v>
      </c>
      <c r="AN24" t="s">
        <v>159</v>
      </c>
      <c r="AO24" t="s">
        <v>159</v>
      </c>
      <c r="CB24">
        <v>1.44404783859943</v>
      </c>
      <c r="CC24">
        <v>92.393358561956504</v>
      </c>
      <c r="CD24">
        <v>1.20060905965011</v>
      </c>
      <c r="CE24">
        <v>1.68748661754875</v>
      </c>
    </row>
    <row r="25" spans="1:101" x14ac:dyDescent="0.25">
      <c r="A25" s="6">
        <v>24</v>
      </c>
      <c r="B25" s="6">
        <v>1</v>
      </c>
      <c r="C25" t="s">
        <v>135</v>
      </c>
      <c r="D25" t="s">
        <v>174</v>
      </c>
      <c r="E25" t="s">
        <v>158</v>
      </c>
      <c r="F25">
        <v>-1</v>
      </c>
      <c r="G25">
        <v>0</v>
      </c>
      <c r="H25">
        <v>-1</v>
      </c>
      <c r="I25">
        <v>-1</v>
      </c>
      <c r="J25">
        <v>-1</v>
      </c>
      <c r="K25">
        <v>1</v>
      </c>
      <c r="L25">
        <v>-1</v>
      </c>
      <c r="M25">
        <v>-1</v>
      </c>
      <c r="N25">
        <v>-1</v>
      </c>
      <c r="O25">
        <v>85.3333333333333</v>
      </c>
      <c r="P25">
        <v>31.991100326554299</v>
      </c>
      <c r="Q25">
        <v>-1</v>
      </c>
      <c r="R25">
        <v>-1</v>
      </c>
      <c r="S25">
        <v>-1</v>
      </c>
      <c r="T25">
        <v>1.3919999999999999</v>
      </c>
      <c r="AN25" t="s">
        <v>159</v>
      </c>
      <c r="CB25">
        <v>9.9190222032036104</v>
      </c>
      <c r="CC25">
        <v>317.32043444400637</v>
      </c>
      <c r="CD25">
        <v>9.9190222032036104</v>
      </c>
    </row>
    <row r="26" spans="1:101" x14ac:dyDescent="0.25">
      <c r="A26" s="6">
        <v>25</v>
      </c>
      <c r="B26" s="6">
        <v>1</v>
      </c>
      <c r="C26" t="s">
        <v>135</v>
      </c>
      <c r="D26" t="s">
        <v>166</v>
      </c>
      <c r="E26" t="s">
        <v>154</v>
      </c>
      <c r="F26">
        <v>-1</v>
      </c>
      <c r="G26">
        <v>15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6400</v>
      </c>
      <c r="P26">
        <v>2399.33252449157</v>
      </c>
      <c r="Q26">
        <v>-1</v>
      </c>
      <c r="R26">
        <v>-1</v>
      </c>
      <c r="S26">
        <v>-1</v>
      </c>
      <c r="T26">
        <v>0.88</v>
      </c>
      <c r="U26">
        <v>0.77200000000000002</v>
      </c>
      <c r="V26">
        <v>0.83499999999999996</v>
      </c>
      <c r="W26">
        <v>1.0129999999999999</v>
      </c>
      <c r="X26">
        <v>0.996</v>
      </c>
      <c r="Y26">
        <v>0.96199999999999997</v>
      </c>
      <c r="Z26">
        <v>0.92500000000000004</v>
      </c>
      <c r="AA26">
        <v>0.79300000000000004</v>
      </c>
      <c r="AB26">
        <v>0.97</v>
      </c>
      <c r="AC26">
        <v>0.92600000000000005</v>
      </c>
      <c r="AD26">
        <v>1.093</v>
      </c>
      <c r="AE26">
        <v>0.95</v>
      </c>
      <c r="AF26">
        <v>1.024</v>
      </c>
      <c r="AG26">
        <v>0.88300000000000001</v>
      </c>
      <c r="AH26">
        <v>1.006</v>
      </c>
      <c r="AI26">
        <v>0.73899999999999999</v>
      </c>
      <c r="AJ26">
        <v>1.0069999999999999</v>
      </c>
      <c r="AK26">
        <v>0.877</v>
      </c>
      <c r="AL26">
        <v>1.1870000000000001</v>
      </c>
      <c r="AM26">
        <v>0.78700000000000003</v>
      </c>
      <c r="AN26" t="s">
        <v>156</v>
      </c>
      <c r="AO26" t="s">
        <v>155</v>
      </c>
      <c r="AP26" t="s">
        <v>156</v>
      </c>
      <c r="AQ26" t="s">
        <v>155</v>
      </c>
      <c r="AR26" t="s">
        <v>155</v>
      </c>
      <c r="AS26" t="s">
        <v>155</v>
      </c>
      <c r="AT26" t="s">
        <v>156</v>
      </c>
      <c r="AU26" t="s">
        <v>156</v>
      </c>
      <c r="AV26" t="s">
        <v>155</v>
      </c>
      <c r="AW26" t="s">
        <v>155</v>
      </c>
      <c r="AX26" t="s">
        <v>155</v>
      </c>
      <c r="AY26" t="s">
        <v>155</v>
      </c>
      <c r="AZ26" t="s">
        <v>155</v>
      </c>
      <c r="BA26" t="s">
        <v>156</v>
      </c>
      <c r="BB26" t="s">
        <v>155</v>
      </c>
      <c r="BC26" t="s">
        <v>156</v>
      </c>
      <c r="BD26" t="s">
        <v>155</v>
      </c>
      <c r="BE26" t="s">
        <v>156</v>
      </c>
      <c r="BF26" t="s">
        <v>155</v>
      </c>
      <c r="BG26" t="s">
        <v>156</v>
      </c>
      <c r="CB26">
        <v>4.3006730929528612</v>
      </c>
      <c r="CC26">
        <v>10318.744829127556</v>
      </c>
      <c r="CD26">
        <v>3.1661030665237901</v>
      </c>
      <c r="CE26">
        <v>1.8826497124193</v>
      </c>
      <c r="CF26">
        <v>2.5705387058146498</v>
      </c>
      <c r="CG26">
        <v>5.5360287650909799</v>
      </c>
      <c r="CH26">
        <v>5.1762877824879796</v>
      </c>
      <c r="CI26">
        <v>4.5095569506553899</v>
      </c>
      <c r="CJ26">
        <v>3.8593264767572899</v>
      </c>
      <c r="CK26">
        <v>2.0943217047443201</v>
      </c>
      <c r="CL26">
        <v>4.6602865901826798</v>
      </c>
      <c r="CM26">
        <v>3.8759168992870001</v>
      </c>
      <c r="CN26">
        <v>7.4860182734945502</v>
      </c>
      <c r="CO26">
        <v>4.2903384443345098</v>
      </c>
      <c r="CP26">
        <v>5.7785605430333904</v>
      </c>
      <c r="CQ26">
        <v>3.2091708090611002</v>
      </c>
      <c r="CR26">
        <v>5.3857082492001904</v>
      </c>
      <c r="CS26">
        <v>1.5828773344521101</v>
      </c>
      <c r="CT26">
        <v>5.4069933825591798</v>
      </c>
      <c r="CU26">
        <v>3.1234691843475599</v>
      </c>
      <c r="CV26">
        <v>10.3871928343221</v>
      </c>
      <c r="CW26">
        <v>2.03211615028916</v>
      </c>
    </row>
    <row r="27" spans="1:101" x14ac:dyDescent="0.25">
      <c r="A27" s="6">
        <v>26</v>
      </c>
      <c r="B27" s="6">
        <v>1</v>
      </c>
      <c r="C27" t="s">
        <v>135</v>
      </c>
      <c r="D27" t="s">
        <v>171</v>
      </c>
      <c r="E27" t="s">
        <v>158</v>
      </c>
      <c r="F27">
        <v>446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446</v>
      </c>
      <c r="P27">
        <v>167.203485300506</v>
      </c>
      <c r="Q27">
        <v>-1</v>
      </c>
      <c r="R27">
        <v>-1</v>
      </c>
      <c r="S27">
        <v>-1</v>
      </c>
      <c r="T27">
        <v>0.76800000000000002</v>
      </c>
      <c r="U27">
        <v>0.95499999999999996</v>
      </c>
      <c r="V27">
        <v>0.54100000000000004</v>
      </c>
      <c r="W27">
        <v>0.997</v>
      </c>
      <c r="X27">
        <v>0.87</v>
      </c>
      <c r="Y27">
        <v>1.0549999999999999</v>
      </c>
      <c r="Z27">
        <v>0.86799999999999999</v>
      </c>
      <c r="AA27">
        <v>1.135</v>
      </c>
      <c r="AB27">
        <v>0.67300000000000004</v>
      </c>
      <c r="AC27">
        <v>0.46300000000000002</v>
      </c>
      <c r="AD27">
        <v>0.66700000000000004</v>
      </c>
      <c r="AE27">
        <v>1.1759999999999999</v>
      </c>
      <c r="AF27">
        <v>0.86599999999999999</v>
      </c>
      <c r="AG27">
        <v>0.95499999999999996</v>
      </c>
      <c r="AH27">
        <v>0.94799999999999995</v>
      </c>
      <c r="AI27">
        <v>0.96199999999999997</v>
      </c>
      <c r="AJ27">
        <v>1.0780000000000001</v>
      </c>
      <c r="AK27">
        <v>0.85899999999999999</v>
      </c>
      <c r="AL27">
        <v>0.874</v>
      </c>
      <c r="AM27">
        <v>1.18</v>
      </c>
      <c r="AN27" t="s">
        <v>159</v>
      </c>
      <c r="AO27" t="s">
        <v>159</v>
      </c>
      <c r="AP27" t="s">
        <v>159</v>
      </c>
      <c r="AQ27" t="s">
        <v>159</v>
      </c>
      <c r="AR27" t="s">
        <v>159</v>
      </c>
      <c r="AS27" t="s">
        <v>159</v>
      </c>
      <c r="AT27" t="s">
        <v>159</v>
      </c>
      <c r="AU27" t="s">
        <v>159</v>
      </c>
      <c r="AV27" t="s">
        <v>159</v>
      </c>
      <c r="AW27" t="s">
        <v>159</v>
      </c>
      <c r="AX27" t="s">
        <v>159</v>
      </c>
      <c r="AY27" t="s">
        <v>159</v>
      </c>
      <c r="AZ27" t="s">
        <v>159</v>
      </c>
      <c r="BA27" t="s">
        <v>159</v>
      </c>
      <c r="BB27" t="s">
        <v>159</v>
      </c>
      <c r="BC27" t="s">
        <v>159</v>
      </c>
      <c r="BD27" t="s">
        <v>159</v>
      </c>
      <c r="BE27" t="s">
        <v>159</v>
      </c>
      <c r="BF27" t="s">
        <v>159</v>
      </c>
      <c r="BG27" t="s">
        <v>159</v>
      </c>
      <c r="CB27">
        <v>1.3207613402751484</v>
      </c>
      <c r="CC27">
        <v>220.83589934417236</v>
      </c>
      <c r="CD27">
        <v>0.74184323880889402</v>
      </c>
      <c r="CE27">
        <v>1.42018772455428</v>
      </c>
      <c r="CF27">
        <v>0.26113408174626401</v>
      </c>
      <c r="CG27">
        <v>1.6145343115624999</v>
      </c>
      <c r="CH27">
        <v>1.0757295035105101</v>
      </c>
      <c r="CI27">
        <v>1.9108563367784599</v>
      </c>
      <c r="CJ27">
        <v>1.0683768972401999</v>
      </c>
      <c r="CK27">
        <v>2.3758738336655898</v>
      </c>
      <c r="CL27">
        <v>0.50051903497825101</v>
      </c>
      <c r="CM27">
        <v>0.16419769658145</v>
      </c>
      <c r="CN27">
        <v>0.48733846634602701</v>
      </c>
      <c r="CO27">
        <v>2.64088521968185</v>
      </c>
      <c r="CP27">
        <v>1.06105775871708</v>
      </c>
      <c r="CQ27">
        <v>1.42018772455428</v>
      </c>
      <c r="CR27">
        <v>1.38939122746246</v>
      </c>
      <c r="CS27">
        <v>1.45143443306665</v>
      </c>
      <c r="CT27">
        <v>2.0376970396029099</v>
      </c>
      <c r="CU27">
        <v>1.03570324126304</v>
      </c>
      <c r="CV27">
        <v>1.0905354215716101</v>
      </c>
      <c r="CW27">
        <v>2.6677436138106598</v>
      </c>
    </row>
    <row r="28" spans="1:101" x14ac:dyDescent="0.25">
      <c r="A28" s="6">
        <v>27</v>
      </c>
      <c r="B28" s="6">
        <v>1</v>
      </c>
      <c r="C28" t="s">
        <v>136</v>
      </c>
      <c r="D28" t="s">
        <v>170</v>
      </c>
      <c r="E28" t="s">
        <v>158</v>
      </c>
      <c r="F28">
        <v>-1</v>
      </c>
      <c r="G28">
        <v>12</v>
      </c>
      <c r="H28">
        <v>-1</v>
      </c>
      <c r="I28">
        <v>-1</v>
      </c>
      <c r="J28">
        <v>-1</v>
      </c>
      <c r="K28">
        <v>41</v>
      </c>
      <c r="L28">
        <v>-1</v>
      </c>
      <c r="M28">
        <v>-1</v>
      </c>
      <c r="N28">
        <v>-1</v>
      </c>
      <c r="O28">
        <v>565.33333333333303</v>
      </c>
      <c r="P28">
        <v>324.748367226212</v>
      </c>
      <c r="Q28">
        <v>-1</v>
      </c>
      <c r="R28">
        <v>-1</v>
      </c>
      <c r="S28">
        <v>-1</v>
      </c>
      <c r="T28">
        <v>0.76200000000000001</v>
      </c>
      <c r="U28">
        <v>0.9</v>
      </c>
      <c r="V28">
        <v>0.78400000000000003</v>
      </c>
      <c r="W28">
        <v>0.90100000000000002</v>
      </c>
      <c r="X28">
        <v>0.53300000000000003</v>
      </c>
      <c r="Y28">
        <v>0.71</v>
      </c>
      <c r="Z28">
        <v>0.69599999999999995</v>
      </c>
      <c r="AA28">
        <v>0.81</v>
      </c>
      <c r="AB28">
        <v>0.59899999999999998</v>
      </c>
      <c r="AC28">
        <v>0.82199999999999995</v>
      </c>
      <c r="AD28">
        <v>0.60799999999999998</v>
      </c>
      <c r="AE28">
        <v>0.88700000000000001</v>
      </c>
      <c r="AF28">
        <v>0.52100000000000002</v>
      </c>
      <c r="AG28">
        <v>0.84499999999999997</v>
      </c>
      <c r="AH28">
        <v>0.71399999999999997</v>
      </c>
      <c r="AI28">
        <v>0.69499999999999995</v>
      </c>
      <c r="AJ28">
        <v>0.73499999999999999</v>
      </c>
      <c r="AK28">
        <v>0.503</v>
      </c>
      <c r="AL28">
        <v>0.877</v>
      </c>
      <c r="AM28">
        <v>0.83199999999999996</v>
      </c>
      <c r="AN28" t="s">
        <v>159</v>
      </c>
      <c r="AO28" t="s">
        <v>159</v>
      </c>
      <c r="AP28" t="s">
        <v>159</v>
      </c>
      <c r="AQ28" t="s">
        <v>159</v>
      </c>
      <c r="AR28" t="s">
        <v>159</v>
      </c>
      <c r="AS28" t="s">
        <v>159</v>
      </c>
      <c r="AT28" t="s">
        <v>159</v>
      </c>
      <c r="AU28" t="s">
        <v>159</v>
      </c>
      <c r="AV28" t="s">
        <v>159</v>
      </c>
      <c r="AW28" t="s">
        <v>159</v>
      </c>
      <c r="AX28" t="s">
        <v>159</v>
      </c>
      <c r="AY28" t="s">
        <v>159</v>
      </c>
      <c r="AZ28" t="s">
        <v>159</v>
      </c>
      <c r="BA28" t="s">
        <v>159</v>
      </c>
      <c r="BB28" t="s">
        <v>159</v>
      </c>
      <c r="BC28" t="s">
        <v>159</v>
      </c>
      <c r="BD28" t="s">
        <v>159</v>
      </c>
      <c r="BE28" t="s">
        <v>159</v>
      </c>
      <c r="BF28" t="s">
        <v>159</v>
      </c>
      <c r="BG28" t="s">
        <v>159</v>
      </c>
      <c r="CB28">
        <v>2.2404846085023968</v>
      </c>
      <c r="CC28">
        <v>727.5937184066122</v>
      </c>
      <c r="CD28">
        <v>2.2957583527097101</v>
      </c>
      <c r="CE28">
        <v>3.68317862271895</v>
      </c>
      <c r="CF28">
        <v>2.48903883393093</v>
      </c>
      <c r="CG28">
        <v>3.6948129819320301</v>
      </c>
      <c r="CH28">
        <v>0.83191571475109205</v>
      </c>
      <c r="CI28">
        <v>1.87822563986407</v>
      </c>
      <c r="CJ28">
        <v>1.77494252663125</v>
      </c>
      <c r="CK28">
        <v>2.73068439266802</v>
      </c>
      <c r="CL28">
        <v>1.1589540836255301</v>
      </c>
      <c r="CM28">
        <v>2.8471478239335002</v>
      </c>
      <c r="CN28">
        <v>1.2090944276053599</v>
      </c>
      <c r="CO28">
        <v>3.5340861725248902</v>
      </c>
      <c r="CP28">
        <v>0.77981788000830898</v>
      </c>
      <c r="CQ28">
        <v>3.0792652994321901</v>
      </c>
      <c r="CR28">
        <v>1.9084332562119299</v>
      </c>
      <c r="CS28">
        <v>1.7677095147327999</v>
      </c>
      <c r="CT28">
        <v>2.0721924999336601</v>
      </c>
      <c r="CU28">
        <v>0.70571139838156305</v>
      </c>
      <c r="CV28">
        <v>3.42210160259686</v>
      </c>
      <c r="CW28">
        <v>2.94662114585529</v>
      </c>
    </row>
    <row r="29" spans="1:101" x14ac:dyDescent="0.25">
      <c r="A29" s="6">
        <v>28</v>
      </c>
      <c r="B29" s="6">
        <v>1</v>
      </c>
      <c r="C29" t="s">
        <v>136</v>
      </c>
      <c r="D29" t="s">
        <v>175</v>
      </c>
      <c r="E29" t="s">
        <v>168</v>
      </c>
      <c r="F29">
        <v>-1</v>
      </c>
      <c r="G29">
        <v>0</v>
      </c>
      <c r="H29">
        <v>-1</v>
      </c>
      <c r="I29">
        <v>-1</v>
      </c>
      <c r="J29">
        <v>-1</v>
      </c>
      <c r="K29">
        <v>1</v>
      </c>
      <c r="L29">
        <v>-1</v>
      </c>
      <c r="M29">
        <v>-1</v>
      </c>
      <c r="N29">
        <v>-1</v>
      </c>
      <c r="O29">
        <v>10.6666666666667</v>
      </c>
      <c r="P29">
        <v>6.12732768351343</v>
      </c>
      <c r="Q29">
        <v>-1</v>
      </c>
      <c r="R29">
        <v>-1</v>
      </c>
      <c r="S29">
        <v>-1</v>
      </c>
      <c r="T29">
        <v>0.47</v>
      </c>
      <c r="AN29" t="s">
        <v>169</v>
      </c>
      <c r="CB29">
        <v>0.69384374627834899</v>
      </c>
      <c r="CC29">
        <v>4.251407994603996</v>
      </c>
      <c r="CD29">
        <v>0.69384374627834899</v>
      </c>
    </row>
    <row r="30" spans="1:101" x14ac:dyDescent="0.25">
      <c r="A30" s="6">
        <v>29</v>
      </c>
      <c r="B30" s="6">
        <v>1</v>
      </c>
      <c r="C30" t="s">
        <v>136</v>
      </c>
      <c r="D30" t="s">
        <v>176</v>
      </c>
      <c r="E30" t="s">
        <v>168</v>
      </c>
      <c r="F30">
        <v>-1</v>
      </c>
      <c r="G30">
        <v>1</v>
      </c>
      <c r="H30">
        <v>-1</v>
      </c>
      <c r="I30">
        <v>-1</v>
      </c>
      <c r="J30">
        <v>-1</v>
      </c>
      <c r="K30">
        <v>0</v>
      </c>
      <c r="L30">
        <v>-1</v>
      </c>
      <c r="M30">
        <v>-1</v>
      </c>
      <c r="N30">
        <v>-1</v>
      </c>
      <c r="O30">
        <v>10.6666666666667</v>
      </c>
      <c r="P30">
        <v>6.12732768351343</v>
      </c>
      <c r="Q30">
        <v>-1</v>
      </c>
      <c r="R30">
        <v>-1</v>
      </c>
      <c r="S30">
        <v>-1</v>
      </c>
      <c r="T30">
        <v>0.79300000000000004</v>
      </c>
      <c r="AN30" t="s">
        <v>169</v>
      </c>
      <c r="CB30">
        <v>2.0943217047443201</v>
      </c>
      <c r="CC30">
        <v>12.832595359662912</v>
      </c>
      <c r="CD30">
        <v>2.0943217047443201</v>
      </c>
    </row>
    <row r="31" spans="1:101" x14ac:dyDescent="0.25">
      <c r="A31" s="6">
        <v>30</v>
      </c>
      <c r="B31" s="6">
        <v>1</v>
      </c>
      <c r="C31" t="s">
        <v>136</v>
      </c>
      <c r="D31" t="s">
        <v>161</v>
      </c>
      <c r="E31" t="s">
        <v>154</v>
      </c>
      <c r="F31">
        <v>-1</v>
      </c>
      <c r="G31">
        <v>0</v>
      </c>
      <c r="H31">
        <v>1</v>
      </c>
      <c r="I31">
        <v>-1</v>
      </c>
      <c r="J31">
        <v>-1</v>
      </c>
      <c r="K31">
        <v>0</v>
      </c>
      <c r="L31">
        <v>0</v>
      </c>
      <c r="M31">
        <v>-1</v>
      </c>
      <c r="N31">
        <v>-1</v>
      </c>
      <c r="O31">
        <v>10.6666666666667</v>
      </c>
      <c r="P31">
        <v>6.12732768351343</v>
      </c>
      <c r="Q31">
        <v>-1</v>
      </c>
      <c r="R31">
        <v>-1</v>
      </c>
      <c r="S31">
        <v>-1</v>
      </c>
      <c r="T31">
        <v>0.84299999999999997</v>
      </c>
      <c r="AN31" t="s">
        <v>156</v>
      </c>
      <c r="CB31">
        <v>3.1508058599075199</v>
      </c>
      <c r="CC31">
        <v>19.306019970787684</v>
      </c>
      <c r="CD31">
        <v>3.1508058599075199</v>
      </c>
    </row>
    <row r="32" spans="1:101" x14ac:dyDescent="0.25">
      <c r="A32" s="6">
        <v>31</v>
      </c>
      <c r="B32" s="6">
        <v>1</v>
      </c>
      <c r="C32" t="s">
        <v>136</v>
      </c>
      <c r="D32" t="s">
        <v>163</v>
      </c>
      <c r="E32" t="s">
        <v>158</v>
      </c>
      <c r="F32">
        <v>-1</v>
      </c>
      <c r="G32">
        <v>45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1440</v>
      </c>
      <c r="P32">
        <v>827.18923727431297</v>
      </c>
      <c r="Q32">
        <v>-1</v>
      </c>
      <c r="R32">
        <v>-1</v>
      </c>
      <c r="S32">
        <v>-1</v>
      </c>
      <c r="T32">
        <v>0.65700000000000003</v>
      </c>
      <c r="U32">
        <v>0.69699999999999995</v>
      </c>
      <c r="V32">
        <v>0.39100000000000001</v>
      </c>
      <c r="W32">
        <v>0.443</v>
      </c>
      <c r="X32">
        <v>0.67400000000000004</v>
      </c>
      <c r="Y32">
        <v>0.63200000000000001</v>
      </c>
      <c r="Z32">
        <v>0.60599999999999998</v>
      </c>
      <c r="AA32">
        <v>0.55300000000000005</v>
      </c>
      <c r="AB32">
        <v>0.51200000000000001</v>
      </c>
      <c r="AC32">
        <v>0.69199999999999995</v>
      </c>
      <c r="AD32">
        <v>0.60699999999999998</v>
      </c>
      <c r="AE32">
        <v>0.57799999999999996</v>
      </c>
      <c r="AF32">
        <v>0.44400000000000001</v>
      </c>
      <c r="AG32">
        <v>0.75800000000000001</v>
      </c>
      <c r="AH32">
        <v>0.48799999999999999</v>
      </c>
      <c r="AI32">
        <v>0.59099999999999997</v>
      </c>
      <c r="AJ32">
        <v>0.57699999999999996</v>
      </c>
      <c r="AK32">
        <v>0.56100000000000005</v>
      </c>
      <c r="AL32">
        <v>0.38600000000000001</v>
      </c>
      <c r="AM32">
        <v>0.55100000000000005</v>
      </c>
      <c r="AN32" t="s">
        <v>159</v>
      </c>
      <c r="AO32" t="s">
        <v>159</v>
      </c>
      <c r="AP32" t="s">
        <v>159</v>
      </c>
      <c r="AQ32" t="s">
        <v>159</v>
      </c>
      <c r="AR32" t="s">
        <v>159</v>
      </c>
      <c r="AS32" t="s">
        <v>159</v>
      </c>
      <c r="AT32" t="s">
        <v>159</v>
      </c>
      <c r="AU32" t="s">
        <v>159</v>
      </c>
      <c r="AV32" t="s">
        <v>159</v>
      </c>
      <c r="AW32" t="s">
        <v>159</v>
      </c>
      <c r="AX32" t="s">
        <v>159</v>
      </c>
      <c r="AY32" t="s">
        <v>159</v>
      </c>
      <c r="AZ32" t="s">
        <v>159</v>
      </c>
      <c r="BA32" t="s">
        <v>159</v>
      </c>
      <c r="BB32" t="s">
        <v>159</v>
      </c>
      <c r="BC32" t="s">
        <v>159</v>
      </c>
      <c r="BD32" t="s">
        <v>159</v>
      </c>
      <c r="BE32" t="s">
        <v>159</v>
      </c>
      <c r="BF32" t="s">
        <v>159</v>
      </c>
      <c r="BG32" t="s">
        <v>159</v>
      </c>
      <c r="CB32">
        <v>1.4629306284059809</v>
      </c>
      <c r="CC32">
        <v>1210.1204706963747</v>
      </c>
      <c r="CD32">
        <v>2.0812583338958701</v>
      </c>
      <c r="CE32">
        <v>2.5130725307792301</v>
      </c>
      <c r="CF32">
        <v>0.39749925321270102</v>
      </c>
      <c r="CG32">
        <v>0.59199814739164403</v>
      </c>
      <c r="CH32">
        <v>2.2579666905227098</v>
      </c>
      <c r="CI32">
        <v>1.8389924265598701</v>
      </c>
      <c r="CJ32">
        <v>1.6083484026593799</v>
      </c>
      <c r="CK32">
        <v>1.20111787409236</v>
      </c>
      <c r="CL32">
        <v>0.939428294508036</v>
      </c>
      <c r="CM32">
        <v>2.4560143631781002</v>
      </c>
      <c r="CN32">
        <v>1.61683009930723</v>
      </c>
      <c r="CO32">
        <v>1.3830639630567301</v>
      </c>
      <c r="CP32">
        <v>0.59627161504180504</v>
      </c>
      <c r="CQ32">
        <v>3.2842577011767902</v>
      </c>
      <c r="CR32">
        <v>0.80603090359482499</v>
      </c>
      <c r="CS32">
        <v>1.48476090947619</v>
      </c>
      <c r="CT32">
        <v>1.3754452408192599</v>
      </c>
      <c r="CU32">
        <v>1.25743049445428</v>
      </c>
      <c r="CV32">
        <v>0.38151003239827502</v>
      </c>
      <c r="CW32">
        <v>1.1873152919943299</v>
      </c>
    </row>
    <row r="33" spans="1:101" x14ac:dyDescent="0.25">
      <c r="A33" s="6">
        <v>32</v>
      </c>
      <c r="B33" s="6">
        <v>1</v>
      </c>
      <c r="C33" t="s">
        <v>136</v>
      </c>
      <c r="D33" t="s">
        <v>177</v>
      </c>
      <c r="E33" t="s">
        <v>168</v>
      </c>
      <c r="F33">
        <v>-1</v>
      </c>
      <c r="G33">
        <v>1</v>
      </c>
      <c r="H33">
        <v>-1</v>
      </c>
      <c r="I33">
        <v>-1</v>
      </c>
      <c r="J33">
        <v>-1</v>
      </c>
      <c r="K33">
        <v>5</v>
      </c>
      <c r="L33">
        <v>-1</v>
      </c>
      <c r="M33">
        <v>-1</v>
      </c>
      <c r="N33">
        <v>-1</v>
      </c>
      <c r="O33">
        <v>64</v>
      </c>
      <c r="P33">
        <v>36.763966101080598</v>
      </c>
      <c r="Q33">
        <v>-1</v>
      </c>
      <c r="R33">
        <v>-1</v>
      </c>
      <c r="S33">
        <v>-1</v>
      </c>
      <c r="T33">
        <v>0.63400000000000001</v>
      </c>
      <c r="U33">
        <v>0.56200000000000006</v>
      </c>
      <c r="V33">
        <v>0.55400000000000005</v>
      </c>
      <c r="W33">
        <v>0.58699999999999997</v>
      </c>
      <c r="X33">
        <v>0.44800000000000001</v>
      </c>
      <c r="Y33">
        <v>0.48199999999999998</v>
      </c>
      <c r="AN33" t="s">
        <v>169</v>
      </c>
      <c r="AO33" t="s">
        <v>169</v>
      </c>
      <c r="AP33" t="s">
        <v>169</v>
      </c>
      <c r="AQ33" t="s">
        <v>169</v>
      </c>
      <c r="AR33" t="s">
        <v>169</v>
      </c>
      <c r="AS33" t="s">
        <v>169</v>
      </c>
      <c r="CB33">
        <v>1.0430818720101194</v>
      </c>
      <c r="CC33">
        <v>38.347826583231722</v>
      </c>
      <c r="CD33">
        <v>1.5063968682999</v>
      </c>
      <c r="CE33">
        <v>1.1024154308237499</v>
      </c>
      <c r="CF33">
        <v>1.0622298876540099</v>
      </c>
      <c r="CG33">
        <v>1.23395950733425</v>
      </c>
      <c r="CH33">
        <v>0.61282755207478401</v>
      </c>
      <c r="CI33">
        <v>0.74066198587402299</v>
      </c>
    </row>
    <row r="34" spans="1:101" x14ac:dyDescent="0.25">
      <c r="A34" s="6">
        <v>33</v>
      </c>
      <c r="B34" s="6">
        <v>1</v>
      </c>
      <c r="C34" t="s">
        <v>136</v>
      </c>
      <c r="D34" t="s">
        <v>164</v>
      </c>
      <c r="E34" t="s">
        <v>158</v>
      </c>
      <c r="F34">
        <v>-1</v>
      </c>
      <c r="G34">
        <v>5</v>
      </c>
      <c r="H34">
        <v>-1</v>
      </c>
      <c r="I34">
        <v>-1</v>
      </c>
      <c r="J34">
        <v>-1</v>
      </c>
      <c r="K34">
        <v>6</v>
      </c>
      <c r="L34">
        <v>-1</v>
      </c>
      <c r="M34">
        <v>-1</v>
      </c>
      <c r="N34">
        <v>-1</v>
      </c>
      <c r="O34">
        <v>117.333333333333</v>
      </c>
      <c r="P34">
        <v>67.400604518647697</v>
      </c>
      <c r="Q34">
        <v>-1</v>
      </c>
      <c r="R34">
        <v>-1</v>
      </c>
      <c r="S34">
        <v>-1</v>
      </c>
      <c r="T34">
        <v>0.43</v>
      </c>
      <c r="U34">
        <v>0.55900000000000005</v>
      </c>
      <c r="V34">
        <v>0.52800000000000002</v>
      </c>
      <c r="W34">
        <v>0.23400000000000001</v>
      </c>
      <c r="X34">
        <v>0.41899999999999998</v>
      </c>
      <c r="Y34">
        <v>0.314</v>
      </c>
      <c r="Z34">
        <v>0.25900000000000001</v>
      </c>
      <c r="AA34">
        <v>0.45400000000000001</v>
      </c>
      <c r="AB34">
        <v>0.59199999999999997</v>
      </c>
      <c r="AC34">
        <v>0.313</v>
      </c>
      <c r="AD34">
        <v>0.39800000000000002</v>
      </c>
      <c r="AN34" t="s">
        <v>159</v>
      </c>
      <c r="AO34" t="s">
        <v>159</v>
      </c>
      <c r="AP34" t="s">
        <v>159</v>
      </c>
      <c r="AQ34" t="s">
        <v>159</v>
      </c>
      <c r="AR34" t="s">
        <v>159</v>
      </c>
      <c r="AS34" t="s">
        <v>159</v>
      </c>
      <c r="AT34" t="s">
        <v>159</v>
      </c>
      <c r="AU34" t="s">
        <v>159</v>
      </c>
      <c r="AV34" t="s">
        <v>159</v>
      </c>
      <c r="AW34" t="s">
        <v>159</v>
      </c>
      <c r="AX34" t="s">
        <v>159</v>
      </c>
      <c r="CB34">
        <v>1.8070783281119789</v>
      </c>
      <c r="CC34">
        <v>121.79817172729457</v>
      </c>
      <c r="CD34">
        <v>1.7802534150118901</v>
      </c>
      <c r="CE34">
        <v>3.4574707036921999</v>
      </c>
      <c r="CF34">
        <v>2.9927501340832601</v>
      </c>
      <c r="CG34">
        <v>0.38187634232599998</v>
      </c>
      <c r="CH34">
        <v>1.66727835857633</v>
      </c>
      <c r="CI34">
        <v>0.80359762501548704</v>
      </c>
      <c r="CJ34">
        <v>0.49369080442565899</v>
      </c>
      <c r="CK34">
        <v>2.0424806115949701</v>
      </c>
      <c r="CL34">
        <v>3.9974271050758898</v>
      </c>
      <c r="CM34">
        <v>0.79713854373790205</v>
      </c>
      <c r="CN34">
        <v>1.46389796569218</v>
      </c>
    </row>
    <row r="35" spans="1:101" x14ac:dyDescent="0.25">
      <c r="A35" s="6">
        <v>34</v>
      </c>
      <c r="B35" s="6">
        <v>1</v>
      </c>
      <c r="C35" t="s">
        <v>136</v>
      </c>
      <c r="D35" t="s">
        <v>178</v>
      </c>
      <c r="E35" t="s">
        <v>158</v>
      </c>
      <c r="F35">
        <v>-1</v>
      </c>
      <c r="G35">
        <v>4</v>
      </c>
      <c r="H35">
        <v>-1</v>
      </c>
      <c r="I35">
        <v>-1</v>
      </c>
      <c r="J35">
        <v>-1</v>
      </c>
      <c r="K35">
        <v>8</v>
      </c>
      <c r="L35">
        <v>-1</v>
      </c>
      <c r="M35">
        <v>5</v>
      </c>
      <c r="N35">
        <v>-1</v>
      </c>
      <c r="O35">
        <v>77.714285714285694</v>
      </c>
      <c r="P35">
        <v>44.641958837026401</v>
      </c>
      <c r="Q35">
        <v>-1</v>
      </c>
      <c r="R35">
        <v>-1</v>
      </c>
      <c r="S35">
        <v>-1</v>
      </c>
      <c r="T35">
        <v>0.79400000000000004</v>
      </c>
      <c r="U35">
        <v>0.98899999999999999</v>
      </c>
      <c r="V35">
        <v>0.71699999999999997</v>
      </c>
      <c r="W35">
        <v>0.38600000000000001</v>
      </c>
      <c r="X35">
        <v>0.53800000000000003</v>
      </c>
      <c r="Y35">
        <v>1.1719999999999999</v>
      </c>
      <c r="Z35">
        <v>0.93</v>
      </c>
      <c r="AA35">
        <v>0.95</v>
      </c>
      <c r="AB35">
        <v>0.79600000000000004</v>
      </c>
      <c r="AC35">
        <v>0.85</v>
      </c>
      <c r="AD35">
        <v>0.68700000000000006</v>
      </c>
      <c r="AE35">
        <v>0.51</v>
      </c>
      <c r="AF35">
        <v>0.82199999999999995</v>
      </c>
      <c r="AG35">
        <v>0.91100000000000003</v>
      </c>
      <c r="AH35">
        <v>0.73799999999999999</v>
      </c>
      <c r="AI35">
        <v>1.014</v>
      </c>
      <c r="AJ35">
        <v>1.1859999999999999</v>
      </c>
      <c r="AN35" t="s">
        <v>159</v>
      </c>
      <c r="AO35" t="s">
        <v>159</v>
      </c>
      <c r="AP35" t="s">
        <v>159</v>
      </c>
      <c r="AQ35" t="s">
        <v>159</v>
      </c>
      <c r="AR35" t="s">
        <v>159</v>
      </c>
      <c r="AS35" t="s">
        <v>159</v>
      </c>
      <c r="AT35" t="s">
        <v>159</v>
      </c>
      <c r="AU35" t="s">
        <v>159</v>
      </c>
      <c r="AV35" t="s">
        <v>159</v>
      </c>
      <c r="AW35" t="s">
        <v>159</v>
      </c>
      <c r="AX35" t="s">
        <v>159</v>
      </c>
      <c r="AY35" t="s">
        <v>159</v>
      </c>
      <c r="AZ35" t="s">
        <v>159</v>
      </c>
      <c r="BA35" t="s">
        <v>159</v>
      </c>
      <c r="BB35" t="s">
        <v>159</v>
      </c>
      <c r="BC35" t="s">
        <v>159</v>
      </c>
      <c r="BD35" t="s">
        <v>159</v>
      </c>
      <c r="CB35">
        <v>11.45408099019914</v>
      </c>
      <c r="CC35">
        <v>511.3326120804366</v>
      </c>
      <c r="CD35">
        <v>9.8065996419042207</v>
      </c>
      <c r="CE35">
        <v>15.724483608768301</v>
      </c>
      <c r="CF35">
        <v>7.8753624376215301</v>
      </c>
      <c r="CG35">
        <v>2.0800178897920301</v>
      </c>
      <c r="CH35">
        <v>4.2470390861919496</v>
      </c>
      <c r="CI35">
        <v>22.651591989764199</v>
      </c>
      <c r="CJ35">
        <v>13.776620798014299</v>
      </c>
      <c r="CK35">
        <v>14.421489449645399</v>
      </c>
      <c r="CL35">
        <v>9.8597853613695694</v>
      </c>
      <c r="CM35">
        <v>11.354161191966201</v>
      </c>
      <c r="CN35">
        <v>7.1839177254708799</v>
      </c>
      <c r="CO35">
        <v>3.7859968110375402</v>
      </c>
      <c r="CP35">
        <v>10.5652255492168</v>
      </c>
      <c r="CQ35">
        <v>13.1785878415961</v>
      </c>
      <c r="CR35">
        <v>8.3796435105287408</v>
      </c>
      <c r="CS35">
        <v>16.591512113210499</v>
      </c>
      <c r="CT35">
        <v>23.2373418272871</v>
      </c>
    </row>
    <row r="36" spans="1:101" x14ac:dyDescent="0.25">
      <c r="A36" s="6">
        <v>35</v>
      </c>
      <c r="B36" s="6">
        <v>1</v>
      </c>
      <c r="C36" t="s">
        <v>136</v>
      </c>
      <c r="D36" t="s">
        <v>179</v>
      </c>
      <c r="E36" t="s">
        <v>158</v>
      </c>
      <c r="F36">
        <v>-1</v>
      </c>
      <c r="G36">
        <v>1</v>
      </c>
      <c r="H36">
        <v>-1</v>
      </c>
      <c r="I36">
        <v>-1</v>
      </c>
      <c r="J36">
        <v>-1</v>
      </c>
      <c r="K36">
        <v>6</v>
      </c>
      <c r="L36">
        <v>-1</v>
      </c>
      <c r="M36">
        <v>-1</v>
      </c>
      <c r="N36">
        <v>-1</v>
      </c>
      <c r="O36">
        <v>74.6666666666667</v>
      </c>
      <c r="P36">
        <v>42.891293784593998</v>
      </c>
      <c r="Q36">
        <v>-1</v>
      </c>
      <c r="R36">
        <v>-1</v>
      </c>
      <c r="S36">
        <v>-1</v>
      </c>
      <c r="T36">
        <v>0.70599999999999996</v>
      </c>
      <c r="U36">
        <v>0.73299999999999998</v>
      </c>
      <c r="V36">
        <v>0.53900000000000003</v>
      </c>
      <c r="W36">
        <v>0.78300000000000003</v>
      </c>
      <c r="X36">
        <v>1.04</v>
      </c>
      <c r="Y36">
        <v>1.101</v>
      </c>
      <c r="Z36">
        <v>0.56299999999999994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CB36">
        <v>2.8996545085717509</v>
      </c>
      <c r="CC36">
        <v>124.36993340097351</v>
      </c>
      <c r="CD36">
        <v>1.84832954432286</v>
      </c>
      <c r="CE36">
        <v>2.0562188799553902</v>
      </c>
      <c r="CF36">
        <v>0.85878835651129404</v>
      </c>
      <c r="CG36">
        <v>2.4800329944562298</v>
      </c>
      <c r="CH36">
        <v>5.5532693442232102</v>
      </c>
      <c r="CI36">
        <v>6.5290506899075504</v>
      </c>
      <c r="CJ36">
        <v>0.97189175062572097</v>
      </c>
    </row>
    <row r="37" spans="1:101" x14ac:dyDescent="0.25">
      <c r="A37" s="6">
        <v>36</v>
      </c>
      <c r="B37" s="6">
        <v>1</v>
      </c>
      <c r="C37" t="s">
        <v>136</v>
      </c>
      <c r="D37" t="s">
        <v>173</v>
      </c>
      <c r="E37" t="s">
        <v>168</v>
      </c>
      <c r="F37">
        <v>-1</v>
      </c>
      <c r="G37">
        <v>2</v>
      </c>
      <c r="H37">
        <v>-1</v>
      </c>
      <c r="I37">
        <v>-1</v>
      </c>
      <c r="J37">
        <v>-1</v>
      </c>
      <c r="K37">
        <v>4</v>
      </c>
      <c r="L37">
        <v>-1</v>
      </c>
      <c r="M37">
        <v>-1</v>
      </c>
      <c r="N37">
        <v>-1</v>
      </c>
      <c r="O37">
        <v>64</v>
      </c>
      <c r="P37">
        <v>36.763966101080598</v>
      </c>
      <c r="Q37">
        <v>-1</v>
      </c>
      <c r="R37">
        <v>-1</v>
      </c>
      <c r="S37">
        <v>-1</v>
      </c>
      <c r="T37">
        <v>0.70299999999999996</v>
      </c>
      <c r="U37">
        <v>0.94699999999999995</v>
      </c>
      <c r="V37">
        <v>0.58499999999999996</v>
      </c>
      <c r="W37">
        <v>0.65700000000000003</v>
      </c>
      <c r="X37">
        <v>0.57799999999999996</v>
      </c>
      <c r="Y37">
        <v>0.41</v>
      </c>
      <c r="AN37" t="s">
        <v>169</v>
      </c>
      <c r="AO37" t="s">
        <v>169</v>
      </c>
      <c r="AP37" t="s">
        <v>169</v>
      </c>
      <c r="AQ37" t="s">
        <v>169</v>
      </c>
      <c r="AR37" t="s">
        <v>169</v>
      </c>
      <c r="AS37" t="s">
        <v>169</v>
      </c>
      <c r="CB37">
        <v>1.3171127729064687</v>
      </c>
      <c r="CC37">
        <v>48.422289334433685</v>
      </c>
      <c r="CD37">
        <v>1.29819962782172</v>
      </c>
      <c r="CE37">
        <v>4.23680286013394</v>
      </c>
      <c r="CF37">
        <v>0.62594709511541402</v>
      </c>
      <c r="CG37">
        <v>0.99234653389490202</v>
      </c>
      <c r="CH37">
        <v>0.59673616441225297</v>
      </c>
      <c r="CI37">
        <v>0.15264435606058199</v>
      </c>
    </row>
    <row r="38" spans="1:101" x14ac:dyDescent="0.25">
      <c r="A38" s="6">
        <v>37</v>
      </c>
      <c r="B38" s="6">
        <v>1</v>
      </c>
      <c r="C38" t="s">
        <v>136</v>
      </c>
      <c r="D38" t="s">
        <v>171</v>
      </c>
      <c r="E38" t="s">
        <v>158</v>
      </c>
      <c r="F38">
        <v>585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585</v>
      </c>
      <c r="P38">
        <v>336.045627642689</v>
      </c>
      <c r="Q38">
        <v>-1</v>
      </c>
      <c r="R38">
        <v>-1</v>
      </c>
      <c r="S38">
        <v>-1</v>
      </c>
      <c r="T38">
        <v>0.71599999999999997</v>
      </c>
      <c r="U38">
        <v>0.59599999999999997</v>
      </c>
      <c r="V38">
        <v>0.76600000000000001</v>
      </c>
      <c r="W38">
        <v>0.73599999999999999</v>
      </c>
      <c r="X38">
        <v>0.752</v>
      </c>
      <c r="Y38">
        <v>0.95099999999999996</v>
      </c>
      <c r="Z38">
        <v>1.0629999999999999</v>
      </c>
      <c r="AA38">
        <v>1.2529999999999999</v>
      </c>
      <c r="AB38">
        <v>0.95599999999999996</v>
      </c>
      <c r="AC38">
        <v>1.0249999999999999</v>
      </c>
      <c r="AD38">
        <v>1.258</v>
      </c>
      <c r="AE38">
        <v>0.71599999999999997</v>
      </c>
      <c r="AF38">
        <v>0.61599999999999999</v>
      </c>
      <c r="AG38">
        <v>1.615</v>
      </c>
      <c r="AH38">
        <v>1.1819999999999999</v>
      </c>
      <c r="AI38">
        <v>1.69</v>
      </c>
      <c r="AJ38">
        <v>1.4830000000000001</v>
      </c>
      <c r="AK38">
        <v>1.1279999999999999</v>
      </c>
      <c r="AL38">
        <v>1.341</v>
      </c>
      <c r="AM38">
        <v>1.042</v>
      </c>
      <c r="AN38" t="s">
        <v>159</v>
      </c>
      <c r="AO38" t="s">
        <v>159</v>
      </c>
      <c r="AP38" t="s">
        <v>159</v>
      </c>
      <c r="AQ38" t="s">
        <v>159</v>
      </c>
      <c r="AR38" t="s">
        <v>159</v>
      </c>
      <c r="AS38" t="s">
        <v>159</v>
      </c>
      <c r="AT38" t="s">
        <v>159</v>
      </c>
      <c r="AU38" t="s">
        <v>159</v>
      </c>
      <c r="AV38" t="s">
        <v>159</v>
      </c>
      <c r="AW38" t="s">
        <v>159</v>
      </c>
      <c r="AX38" t="s">
        <v>159</v>
      </c>
      <c r="AY38" t="s">
        <v>159</v>
      </c>
      <c r="AZ38" t="s">
        <v>159</v>
      </c>
      <c r="BA38" t="s">
        <v>159</v>
      </c>
      <c r="BB38" t="s">
        <v>159</v>
      </c>
      <c r="BC38" t="s">
        <v>159</v>
      </c>
      <c r="BD38" t="s">
        <v>159</v>
      </c>
      <c r="BE38" t="s">
        <v>159</v>
      </c>
      <c r="BF38" t="s">
        <v>159</v>
      </c>
      <c r="BG38" t="s">
        <v>159</v>
      </c>
      <c r="CB38">
        <v>2.3793361274831986</v>
      </c>
      <c r="CC38">
        <v>799.56550233301652</v>
      </c>
      <c r="CD38">
        <v>0.60197230854617201</v>
      </c>
      <c r="CE38">
        <v>0.34847334260601998</v>
      </c>
      <c r="CF38">
        <v>0.73610105584616004</v>
      </c>
      <c r="CG38">
        <v>0.653478936964764</v>
      </c>
      <c r="CH38">
        <v>0.69673057949581496</v>
      </c>
      <c r="CI38">
        <v>1.4025348057186799</v>
      </c>
      <c r="CJ38">
        <v>1.95436121557256</v>
      </c>
      <c r="CK38">
        <v>3.1902880617967901</v>
      </c>
      <c r="CL38">
        <v>1.4246239006638199</v>
      </c>
      <c r="CM38">
        <v>1.7534477375731901</v>
      </c>
      <c r="CN38">
        <v>3.22837531316882</v>
      </c>
      <c r="CO38">
        <v>0.60197230854617201</v>
      </c>
      <c r="CP38">
        <v>0.38449104509911097</v>
      </c>
      <c r="CQ38">
        <v>6.7965706642384802</v>
      </c>
      <c r="CR38">
        <v>2.6812406019077102</v>
      </c>
      <c r="CS38">
        <v>7.7810478656803204</v>
      </c>
      <c r="CT38">
        <v>5.2715258102201901</v>
      </c>
      <c r="CU38">
        <v>2.3324740684044798</v>
      </c>
      <c r="CV38">
        <v>3.9054714303738201</v>
      </c>
      <c r="CW38">
        <v>1.8415414972409001</v>
      </c>
    </row>
    <row r="39" spans="1:101" x14ac:dyDescent="0.25">
      <c r="A39" s="6">
        <v>38</v>
      </c>
      <c r="B39" s="6">
        <v>1</v>
      </c>
      <c r="C39" t="s">
        <v>136</v>
      </c>
      <c r="D39" t="s">
        <v>172</v>
      </c>
      <c r="E39" t="s">
        <v>158</v>
      </c>
      <c r="F39">
        <v>-1</v>
      </c>
      <c r="G39">
        <v>189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6048</v>
      </c>
      <c r="P39">
        <v>3474.1947965521099</v>
      </c>
      <c r="Q39">
        <v>-1</v>
      </c>
      <c r="R39">
        <v>-1</v>
      </c>
      <c r="S39">
        <v>-1</v>
      </c>
      <c r="T39">
        <v>0.27500000000000002</v>
      </c>
      <c r="U39">
        <v>0.39700000000000002</v>
      </c>
      <c r="V39">
        <v>0.248</v>
      </c>
      <c r="W39">
        <v>0.38300000000000001</v>
      </c>
      <c r="X39">
        <v>0.49399999999999999</v>
      </c>
      <c r="Y39">
        <v>0.36299999999999999</v>
      </c>
      <c r="Z39">
        <v>0.29099999999999998</v>
      </c>
      <c r="AA39">
        <v>0.41099999999999998</v>
      </c>
      <c r="AB39">
        <v>0.39500000000000002</v>
      </c>
      <c r="AC39">
        <v>0.33800000000000002</v>
      </c>
      <c r="AD39">
        <v>0.28799999999999998</v>
      </c>
      <c r="AE39">
        <v>0.23</v>
      </c>
      <c r="AF39">
        <v>0.49199999999999999</v>
      </c>
      <c r="AG39">
        <v>0.41499999999999998</v>
      </c>
      <c r="AH39">
        <v>0.26300000000000001</v>
      </c>
      <c r="AI39">
        <v>0.35799999999999998</v>
      </c>
      <c r="AJ39">
        <v>0.375</v>
      </c>
      <c r="AK39">
        <v>0.27100000000000002</v>
      </c>
      <c r="AL39">
        <v>0.32700000000000001</v>
      </c>
      <c r="AM39">
        <v>0.248</v>
      </c>
      <c r="AN39" t="s">
        <v>159</v>
      </c>
      <c r="AO39" t="s">
        <v>159</v>
      </c>
      <c r="AP39" t="s">
        <v>159</v>
      </c>
      <c r="AQ39" t="s">
        <v>159</v>
      </c>
      <c r="AR39" t="s">
        <v>159</v>
      </c>
      <c r="AS39" t="s">
        <v>159</v>
      </c>
      <c r="AT39" t="s">
        <v>159</v>
      </c>
      <c r="AU39" t="s">
        <v>159</v>
      </c>
      <c r="AV39" t="s">
        <v>159</v>
      </c>
      <c r="AW39" t="s">
        <v>159</v>
      </c>
      <c r="AX39" t="s">
        <v>159</v>
      </c>
      <c r="AY39" t="s">
        <v>159</v>
      </c>
      <c r="AZ39" t="s">
        <v>159</v>
      </c>
      <c r="BA39" t="s">
        <v>159</v>
      </c>
      <c r="BB39" t="s">
        <v>159</v>
      </c>
      <c r="BC39" t="s">
        <v>159</v>
      </c>
      <c r="BD39" t="s">
        <v>159</v>
      </c>
      <c r="BE39" t="s">
        <v>159</v>
      </c>
      <c r="BF39" t="s">
        <v>159</v>
      </c>
      <c r="BG39" t="s">
        <v>159</v>
      </c>
      <c r="CB39">
        <v>1.103203073411521</v>
      </c>
      <c r="CC39">
        <v>3832.7423771866015</v>
      </c>
      <c r="CD39">
        <v>0.57453746032460995</v>
      </c>
      <c r="CE39">
        <v>1.45461016125359</v>
      </c>
      <c r="CF39">
        <v>0.44235341806286499</v>
      </c>
      <c r="CG39">
        <v>1.3283102779548199</v>
      </c>
      <c r="CH39">
        <v>2.5289242195816199</v>
      </c>
      <c r="CI39">
        <v>1.1597660628987201</v>
      </c>
      <c r="CJ39">
        <v>0.66291202501819002</v>
      </c>
      <c r="CK39">
        <v>1.58791204950848</v>
      </c>
      <c r="CL39">
        <v>1.4361416809524801</v>
      </c>
      <c r="CM39">
        <v>0.96820180203853501</v>
      </c>
      <c r="CN39">
        <v>0.645757752872818</v>
      </c>
      <c r="CO39">
        <v>0.36557632273868002</v>
      </c>
      <c r="CP39">
        <v>2.5031008340121002</v>
      </c>
      <c r="CQ39">
        <v>1.62730260477958</v>
      </c>
      <c r="CR39">
        <v>0.51320949009263905</v>
      </c>
      <c r="CS39">
        <v>1.1197748068397</v>
      </c>
      <c r="CT39">
        <v>1.2592319730041099</v>
      </c>
      <c r="CU39">
        <v>0.55362913987907103</v>
      </c>
      <c r="CV39">
        <v>0.890455968354951</v>
      </c>
      <c r="CW39">
        <v>0.44235341806286499</v>
      </c>
    </row>
    <row r="40" spans="1:101" x14ac:dyDescent="0.25">
      <c r="A40" s="6">
        <v>39</v>
      </c>
      <c r="B40" s="6">
        <v>1</v>
      </c>
      <c r="C40" t="s">
        <v>136</v>
      </c>
      <c r="D40" t="s">
        <v>180</v>
      </c>
      <c r="E40" t="s">
        <v>158</v>
      </c>
      <c r="F40">
        <v>-1</v>
      </c>
      <c r="G40">
        <v>3</v>
      </c>
      <c r="H40">
        <v>-1</v>
      </c>
      <c r="I40">
        <v>-1</v>
      </c>
      <c r="J40">
        <v>-1</v>
      </c>
      <c r="K40">
        <v>0</v>
      </c>
      <c r="L40">
        <v>-1</v>
      </c>
      <c r="M40">
        <v>-1</v>
      </c>
      <c r="N40">
        <v>-1</v>
      </c>
      <c r="O40">
        <v>32</v>
      </c>
      <c r="P40">
        <v>18.381983050540299</v>
      </c>
      <c r="Q40">
        <v>-1</v>
      </c>
      <c r="R40">
        <v>-1</v>
      </c>
      <c r="S40">
        <v>-1</v>
      </c>
      <c r="T40">
        <v>0.443</v>
      </c>
      <c r="U40">
        <v>0.35599999999999998</v>
      </c>
      <c r="V40">
        <v>0.309</v>
      </c>
      <c r="AN40" t="s">
        <v>159</v>
      </c>
      <c r="AO40" t="s">
        <v>159</v>
      </c>
      <c r="AP40" t="s">
        <v>159</v>
      </c>
      <c r="CB40">
        <v>0.39191324427547564</v>
      </c>
      <c r="CC40">
        <v>7.2041426135540529</v>
      </c>
      <c r="CD40">
        <v>0.69874294279671501</v>
      </c>
      <c r="CE40">
        <v>0.301783240856066</v>
      </c>
      <c r="CF40">
        <v>0.17521354917364601</v>
      </c>
    </row>
    <row r="41" spans="1:101" x14ac:dyDescent="0.25">
      <c r="A41" s="6">
        <v>40</v>
      </c>
      <c r="B41" s="6">
        <v>1</v>
      </c>
      <c r="C41" t="s">
        <v>136</v>
      </c>
      <c r="D41" t="s">
        <v>167</v>
      </c>
      <c r="E41" t="s">
        <v>168</v>
      </c>
      <c r="F41">
        <v>-1</v>
      </c>
      <c r="G41">
        <v>3</v>
      </c>
      <c r="H41">
        <v>-1</v>
      </c>
      <c r="I41">
        <v>-1</v>
      </c>
      <c r="J41">
        <v>-1</v>
      </c>
      <c r="K41">
        <v>4</v>
      </c>
      <c r="L41">
        <v>-1</v>
      </c>
      <c r="M41">
        <v>-1</v>
      </c>
      <c r="N41">
        <v>-1</v>
      </c>
      <c r="O41">
        <v>74.6666666666667</v>
      </c>
      <c r="P41">
        <v>42.891293784593998</v>
      </c>
      <c r="Q41">
        <v>-1</v>
      </c>
      <c r="R41">
        <v>-1</v>
      </c>
      <c r="S41">
        <v>-1</v>
      </c>
      <c r="T41">
        <v>0.76</v>
      </c>
      <c r="U41">
        <v>0.70799999999999996</v>
      </c>
      <c r="V41">
        <v>0.753</v>
      </c>
      <c r="W41">
        <v>0.52900000000000003</v>
      </c>
      <c r="X41">
        <v>0.48</v>
      </c>
      <c r="Y41">
        <v>0.91500000000000004</v>
      </c>
      <c r="Z41">
        <v>0.77300000000000002</v>
      </c>
      <c r="AN41" t="s">
        <v>169</v>
      </c>
      <c r="AO41" t="s">
        <v>169</v>
      </c>
      <c r="AP41" t="s">
        <v>169</v>
      </c>
      <c r="AQ41" t="s">
        <v>169</v>
      </c>
      <c r="AR41" t="s">
        <v>169</v>
      </c>
      <c r="AS41" t="s">
        <v>169</v>
      </c>
      <c r="AT41" t="s">
        <v>169</v>
      </c>
      <c r="CB41">
        <v>2.122034635314261</v>
      </c>
      <c r="CC41">
        <v>91.016810964347755</v>
      </c>
      <c r="CD41">
        <v>2.4089924020252802</v>
      </c>
      <c r="CE41">
        <v>2.0049999385356601</v>
      </c>
      <c r="CF41">
        <v>2.3519452870049702</v>
      </c>
      <c r="CG41">
        <v>0.94249361515832797</v>
      </c>
      <c r="CH41">
        <v>0.73272841052326898</v>
      </c>
      <c r="CI41">
        <v>3.8959094997746</v>
      </c>
      <c r="CJ41">
        <v>2.5171732941777201</v>
      </c>
    </row>
    <row r="42" spans="1:101" x14ac:dyDescent="0.25">
      <c r="A42" s="6">
        <v>41</v>
      </c>
      <c r="B42" s="6">
        <v>1</v>
      </c>
      <c r="C42" t="s">
        <v>138</v>
      </c>
      <c r="D42" t="s">
        <v>164</v>
      </c>
      <c r="E42" t="s">
        <v>158</v>
      </c>
      <c r="F42">
        <v>-1</v>
      </c>
      <c r="G42">
        <v>8</v>
      </c>
      <c r="H42">
        <v>-1</v>
      </c>
      <c r="I42">
        <v>-1</v>
      </c>
      <c r="J42">
        <v>-1</v>
      </c>
      <c r="K42">
        <v>12</v>
      </c>
      <c r="L42">
        <v>-1</v>
      </c>
      <c r="M42">
        <v>-1</v>
      </c>
      <c r="N42">
        <v>-1</v>
      </c>
      <c r="O42">
        <v>1706.6666666666699</v>
      </c>
      <c r="P42">
        <v>1215.6618124090601</v>
      </c>
      <c r="Q42">
        <v>-1</v>
      </c>
      <c r="R42">
        <v>-1</v>
      </c>
      <c r="S42">
        <v>-1</v>
      </c>
      <c r="T42">
        <v>0.26100000000000001</v>
      </c>
      <c r="U42">
        <v>0.505</v>
      </c>
      <c r="V42">
        <v>0.46300000000000002</v>
      </c>
      <c r="W42">
        <v>0.29699999999999999</v>
      </c>
      <c r="X42">
        <v>0.38900000000000001</v>
      </c>
      <c r="Y42">
        <v>0.38800000000000001</v>
      </c>
      <c r="Z42">
        <v>0.33900000000000002</v>
      </c>
      <c r="AA42">
        <v>0.56200000000000006</v>
      </c>
      <c r="AB42">
        <v>0.25700000000000001</v>
      </c>
      <c r="AC42">
        <v>0.29299999999999998</v>
      </c>
      <c r="AD42">
        <v>0.49099999999999999</v>
      </c>
      <c r="AE42">
        <v>0.39500000000000002</v>
      </c>
      <c r="AF42">
        <v>0.30399999999999999</v>
      </c>
      <c r="AG42">
        <v>0.317</v>
      </c>
      <c r="AH42">
        <v>0.29799999999999999</v>
      </c>
      <c r="AI42">
        <v>0.28899999999999998</v>
      </c>
      <c r="AJ42">
        <v>0.44700000000000001</v>
      </c>
      <c r="AK42">
        <v>0.30399999999999999</v>
      </c>
      <c r="AL42">
        <v>0.39700000000000002</v>
      </c>
      <c r="AM42">
        <v>0.49199999999999999</v>
      </c>
      <c r="AN42" t="s">
        <v>159</v>
      </c>
      <c r="AO42" t="s">
        <v>159</v>
      </c>
      <c r="AP42" t="s">
        <v>159</v>
      </c>
      <c r="AQ42" t="s">
        <v>159</v>
      </c>
      <c r="AR42" t="s">
        <v>159</v>
      </c>
      <c r="AS42" t="s">
        <v>159</v>
      </c>
      <c r="AT42" t="s">
        <v>159</v>
      </c>
      <c r="AU42" t="s">
        <v>159</v>
      </c>
      <c r="AV42" t="s">
        <v>159</v>
      </c>
      <c r="AW42" t="s">
        <v>159</v>
      </c>
      <c r="AX42" t="s">
        <v>159</v>
      </c>
      <c r="AY42" t="s">
        <v>159</v>
      </c>
      <c r="AZ42" t="s">
        <v>159</v>
      </c>
      <c r="BA42" t="s">
        <v>159</v>
      </c>
      <c r="BB42" t="s">
        <v>159</v>
      </c>
      <c r="BC42" t="s">
        <v>159</v>
      </c>
      <c r="BD42" t="s">
        <v>159</v>
      </c>
      <c r="BE42" t="s">
        <v>159</v>
      </c>
      <c r="BF42" t="s">
        <v>159</v>
      </c>
      <c r="BG42" t="s">
        <v>159</v>
      </c>
      <c r="CB42">
        <v>1.3960960955799095</v>
      </c>
      <c r="CC42">
        <v>1697.1807098498853</v>
      </c>
      <c r="CD42">
        <v>0.50339293784214301</v>
      </c>
      <c r="CE42">
        <v>2.6738301838295002</v>
      </c>
      <c r="CF42">
        <v>2.1464784971809499</v>
      </c>
      <c r="CG42">
        <v>0.69804022799210996</v>
      </c>
      <c r="CH42">
        <v>1.3815898254923</v>
      </c>
      <c r="CI42">
        <v>1.3726218271622199</v>
      </c>
      <c r="CJ42">
        <v>0.97546540427839601</v>
      </c>
      <c r="CK42">
        <v>3.5046085271018801</v>
      </c>
      <c r="CL42">
        <v>0.48410262431156198</v>
      </c>
      <c r="CM42">
        <v>0.67449962789376405</v>
      </c>
      <c r="CN42">
        <v>2.4902492042461999</v>
      </c>
      <c r="CO42">
        <v>1.4361416809524801</v>
      </c>
      <c r="CP42">
        <v>0.74041771577438797</v>
      </c>
      <c r="CQ42">
        <v>0.82316437806424703</v>
      </c>
      <c r="CR42">
        <v>0.704001821854362</v>
      </c>
      <c r="CS42">
        <v>0.65144563297581304</v>
      </c>
      <c r="CT42">
        <v>1.9637430836057901</v>
      </c>
      <c r="CU42">
        <v>0.74041771577438797</v>
      </c>
      <c r="CV42">
        <v>1.45461016125359</v>
      </c>
      <c r="CW42">
        <v>2.5031008340121002</v>
      </c>
    </row>
    <row r="43" spans="1:101" x14ac:dyDescent="0.25">
      <c r="A43" s="6">
        <v>42</v>
      </c>
      <c r="B43" s="6">
        <v>1</v>
      </c>
      <c r="C43" t="s">
        <v>138</v>
      </c>
      <c r="D43" t="s">
        <v>179</v>
      </c>
      <c r="E43" t="s">
        <v>158</v>
      </c>
      <c r="F43">
        <v>-1</v>
      </c>
      <c r="G43">
        <v>33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8448</v>
      </c>
      <c r="P43">
        <v>6017.5259714248696</v>
      </c>
      <c r="Q43">
        <v>-1</v>
      </c>
      <c r="R43">
        <v>-1</v>
      </c>
      <c r="S43">
        <v>-1</v>
      </c>
      <c r="T43">
        <v>0.70899999999999996</v>
      </c>
      <c r="U43">
        <v>0.61899999999999999</v>
      </c>
      <c r="V43">
        <v>0.47</v>
      </c>
      <c r="W43">
        <v>0.78</v>
      </c>
      <c r="X43">
        <v>0.45200000000000001</v>
      </c>
      <c r="Y43">
        <v>0.91800000000000004</v>
      </c>
      <c r="Z43">
        <v>0.72599999999999998</v>
      </c>
      <c r="AA43">
        <v>0.622</v>
      </c>
      <c r="AB43">
        <v>0.51800000000000002</v>
      </c>
      <c r="AC43">
        <v>0.51500000000000001</v>
      </c>
      <c r="AD43">
        <v>0.56699999999999995</v>
      </c>
      <c r="AE43">
        <v>1.1739999999999999</v>
      </c>
      <c r="AF43">
        <v>0.59599999999999997</v>
      </c>
      <c r="AG43">
        <v>0.61099999999999999</v>
      </c>
      <c r="AH43">
        <v>0.70599999999999996</v>
      </c>
      <c r="AI43">
        <v>0.96299999999999997</v>
      </c>
      <c r="AJ43">
        <v>0.871</v>
      </c>
      <c r="AK43">
        <v>0.502</v>
      </c>
      <c r="AL43">
        <v>0.48899999999999999</v>
      </c>
      <c r="AM43">
        <v>0.87</v>
      </c>
      <c r="AN43" t="s">
        <v>159</v>
      </c>
      <c r="AO43" t="s">
        <v>159</v>
      </c>
      <c r="AP43" t="s">
        <v>159</v>
      </c>
      <c r="AQ43" t="s">
        <v>159</v>
      </c>
      <c r="AR43" t="s">
        <v>159</v>
      </c>
      <c r="AS43" t="s">
        <v>159</v>
      </c>
      <c r="AT43" t="s">
        <v>159</v>
      </c>
      <c r="AU43" t="s">
        <v>159</v>
      </c>
      <c r="AV43" t="s">
        <v>159</v>
      </c>
      <c r="AW43" t="s">
        <v>159</v>
      </c>
      <c r="AX43" t="s">
        <v>159</v>
      </c>
      <c r="AY43" t="s">
        <v>159</v>
      </c>
      <c r="AZ43" t="s">
        <v>159</v>
      </c>
      <c r="BA43" t="s">
        <v>159</v>
      </c>
      <c r="BB43" t="s">
        <v>159</v>
      </c>
      <c r="BC43" t="s">
        <v>159</v>
      </c>
      <c r="BD43" t="s">
        <v>159</v>
      </c>
      <c r="BE43" t="s">
        <v>159</v>
      </c>
      <c r="BF43" t="s">
        <v>159</v>
      </c>
      <c r="BG43" t="s">
        <v>159</v>
      </c>
      <c r="CB43">
        <v>2.048448421982386</v>
      </c>
      <c r="CC43">
        <v>12326.591580403297</v>
      </c>
      <c r="CD43">
        <v>1.8707224684938999</v>
      </c>
      <c r="CE43">
        <v>1.2722589002190801</v>
      </c>
      <c r="CF43">
        <v>0.58201204281102603</v>
      </c>
      <c r="CG43">
        <v>2.4531422151192999</v>
      </c>
      <c r="CH43">
        <v>0.52091541503700001</v>
      </c>
      <c r="CI43">
        <v>3.89625407140226</v>
      </c>
      <c r="CJ43">
        <v>2.0009399592780901</v>
      </c>
      <c r="CK43">
        <v>1.2898486308599399</v>
      </c>
      <c r="CL43">
        <v>0.76713283543983601</v>
      </c>
      <c r="CM43">
        <v>0.75458224977384802</v>
      </c>
      <c r="CN43">
        <v>0.991630649935898</v>
      </c>
      <c r="CO43">
        <v>7.8348637739200804</v>
      </c>
      <c r="CP43">
        <v>1.1425453105863099</v>
      </c>
      <c r="CQ43">
        <v>1.22611467832177</v>
      </c>
      <c r="CR43">
        <v>1.84832954432286</v>
      </c>
      <c r="CS43">
        <v>4.4634709228923404</v>
      </c>
      <c r="CT43">
        <v>3.3560283024314699</v>
      </c>
      <c r="CU43">
        <v>0.70173414859767402</v>
      </c>
      <c r="CV43">
        <v>0.65134519607563202</v>
      </c>
      <c r="CW43">
        <v>3.3450971241294001</v>
      </c>
    </row>
    <row r="44" spans="1:101" x14ac:dyDescent="0.25">
      <c r="A44" s="6">
        <v>43</v>
      </c>
      <c r="B44" s="6">
        <v>1</v>
      </c>
      <c r="C44" t="s">
        <v>138</v>
      </c>
      <c r="D44" t="s">
        <v>153</v>
      </c>
      <c r="E44" t="s">
        <v>154</v>
      </c>
      <c r="F44">
        <v>-1</v>
      </c>
      <c r="G44">
        <v>1</v>
      </c>
      <c r="H44">
        <v>0</v>
      </c>
      <c r="I44">
        <v>-1</v>
      </c>
      <c r="J44">
        <v>-1</v>
      </c>
      <c r="K44">
        <v>0</v>
      </c>
      <c r="L44">
        <v>0</v>
      </c>
      <c r="M44">
        <v>-1</v>
      </c>
      <c r="N44">
        <v>-1</v>
      </c>
      <c r="O44">
        <v>85.3333333333333</v>
      </c>
      <c r="P44">
        <v>60.783090620453201</v>
      </c>
      <c r="Q44">
        <v>-1</v>
      </c>
      <c r="R44">
        <v>-1</v>
      </c>
      <c r="S44">
        <v>-1</v>
      </c>
      <c r="T44">
        <v>1.117</v>
      </c>
      <c r="AN44" t="s">
        <v>155</v>
      </c>
      <c r="CB44">
        <v>6.5310941522602404</v>
      </c>
      <c r="CC44">
        <v>396.98008770754615</v>
      </c>
      <c r="CD44">
        <v>6.5310941522602404</v>
      </c>
    </row>
    <row r="45" spans="1:101" x14ac:dyDescent="0.25">
      <c r="A45" s="6">
        <v>44</v>
      </c>
      <c r="B45" s="6">
        <v>1</v>
      </c>
      <c r="C45" t="s">
        <v>138</v>
      </c>
      <c r="D45" t="s">
        <v>178</v>
      </c>
      <c r="E45" t="s">
        <v>158</v>
      </c>
      <c r="F45">
        <v>-1</v>
      </c>
      <c r="G45">
        <v>32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8192</v>
      </c>
      <c r="P45">
        <v>5835.1766995635098</v>
      </c>
      <c r="Q45">
        <v>-1</v>
      </c>
      <c r="R45">
        <v>-1</v>
      </c>
      <c r="S45">
        <v>-1</v>
      </c>
      <c r="T45">
        <v>0.41199999999999998</v>
      </c>
      <c r="U45">
        <v>0.46100000000000002</v>
      </c>
      <c r="V45">
        <v>0.26600000000000001</v>
      </c>
      <c r="W45">
        <v>0.48699999999999999</v>
      </c>
      <c r="X45">
        <v>0.57899999999999996</v>
      </c>
      <c r="Y45">
        <v>0.6</v>
      </c>
      <c r="Z45">
        <v>0.52100000000000002</v>
      </c>
      <c r="AA45">
        <v>0.59899999999999998</v>
      </c>
      <c r="AB45">
        <v>0.371</v>
      </c>
      <c r="AC45">
        <v>0.49</v>
      </c>
      <c r="AD45">
        <v>0.52900000000000003</v>
      </c>
      <c r="AE45">
        <v>0.78900000000000003</v>
      </c>
      <c r="AF45">
        <v>0.68500000000000005</v>
      </c>
      <c r="AG45">
        <v>0.60499999999999998</v>
      </c>
      <c r="AH45">
        <v>0.67200000000000004</v>
      </c>
      <c r="AI45">
        <v>0.52400000000000002</v>
      </c>
      <c r="AJ45">
        <v>0.70499999999999996</v>
      </c>
      <c r="AK45">
        <v>0.60199999999999998</v>
      </c>
      <c r="AL45">
        <v>0.35799999999999998</v>
      </c>
      <c r="AM45">
        <v>0.88600000000000001</v>
      </c>
      <c r="AN45" t="s">
        <v>159</v>
      </c>
      <c r="AO45" t="s">
        <v>159</v>
      </c>
      <c r="AP45" t="s">
        <v>159</v>
      </c>
      <c r="AQ45" t="s">
        <v>159</v>
      </c>
      <c r="AR45" t="s">
        <v>159</v>
      </c>
      <c r="AS45" t="s">
        <v>159</v>
      </c>
      <c r="AT45" t="s">
        <v>159</v>
      </c>
      <c r="AU45" t="s">
        <v>159</v>
      </c>
      <c r="AV45" t="s">
        <v>159</v>
      </c>
      <c r="AW45" t="s">
        <v>159</v>
      </c>
      <c r="AX45" t="s">
        <v>159</v>
      </c>
      <c r="AY45" t="s">
        <v>159</v>
      </c>
      <c r="AZ45" t="s">
        <v>159</v>
      </c>
      <c r="BA45" t="s">
        <v>159</v>
      </c>
      <c r="BB45" t="s">
        <v>159</v>
      </c>
      <c r="BC45" t="s">
        <v>159</v>
      </c>
      <c r="BD45" t="s">
        <v>159</v>
      </c>
      <c r="BE45" t="s">
        <v>159</v>
      </c>
      <c r="BF45" t="s">
        <v>159</v>
      </c>
      <c r="BG45" t="s">
        <v>159</v>
      </c>
      <c r="CB45">
        <v>4.9633790616902917</v>
      </c>
      <c r="CC45">
        <v>28962.193851876586</v>
      </c>
      <c r="CD45">
        <v>2.39294865242712</v>
      </c>
      <c r="CE45">
        <v>3.0469221276814902</v>
      </c>
      <c r="CF45">
        <v>0.93411400616143703</v>
      </c>
      <c r="CG45">
        <v>3.4284011477372598</v>
      </c>
      <c r="CH45">
        <v>4.9735132263446102</v>
      </c>
      <c r="CI45">
        <v>5.3694469205371798</v>
      </c>
      <c r="CJ45">
        <v>3.9637428378579398</v>
      </c>
      <c r="CK45">
        <v>5.3502248396980097</v>
      </c>
      <c r="CL45">
        <v>1.91010952776576</v>
      </c>
      <c r="CM45">
        <v>3.4739689885899399</v>
      </c>
      <c r="CN45">
        <v>4.0957558485939298</v>
      </c>
      <c r="CO45">
        <v>9.6743082727864191</v>
      </c>
      <c r="CP45">
        <v>7.13902814150706</v>
      </c>
      <c r="CQ45">
        <v>5.4661106736757796</v>
      </c>
      <c r="CR45">
        <v>6.8509106312912298</v>
      </c>
      <c r="CS45">
        <v>4.0129766451859501</v>
      </c>
      <c r="CT45">
        <v>7.5947060046609103</v>
      </c>
      <c r="CU45">
        <v>5.4080017244043903</v>
      </c>
      <c r="CV45">
        <v>1.76910199600143</v>
      </c>
      <c r="CW45">
        <v>12.413289020898</v>
      </c>
    </row>
    <row r="46" spans="1:101" x14ac:dyDescent="0.25">
      <c r="A46" s="6">
        <v>45</v>
      </c>
      <c r="B46" s="6">
        <v>1</v>
      </c>
      <c r="C46" t="s">
        <v>138</v>
      </c>
      <c r="D46" t="s">
        <v>165</v>
      </c>
      <c r="E46" t="s">
        <v>158</v>
      </c>
      <c r="F46">
        <v>-1</v>
      </c>
      <c r="G46">
        <v>0</v>
      </c>
      <c r="H46">
        <v>-1</v>
      </c>
      <c r="I46">
        <v>-1</v>
      </c>
      <c r="J46">
        <v>-1</v>
      </c>
      <c r="K46">
        <v>1</v>
      </c>
      <c r="L46">
        <v>-1</v>
      </c>
      <c r="M46">
        <v>3</v>
      </c>
      <c r="N46">
        <v>-1</v>
      </c>
      <c r="O46">
        <v>146.28571428571399</v>
      </c>
      <c r="P46">
        <v>104.199583920777</v>
      </c>
      <c r="Q46">
        <v>-1</v>
      </c>
      <c r="R46">
        <v>-1</v>
      </c>
      <c r="S46">
        <v>-1</v>
      </c>
      <c r="T46">
        <v>1.76</v>
      </c>
      <c r="U46">
        <v>3.75</v>
      </c>
      <c r="V46">
        <v>3.569</v>
      </c>
      <c r="W46">
        <v>2.7549999999999999</v>
      </c>
      <c r="AN46" t="s">
        <v>159</v>
      </c>
      <c r="AO46" t="s">
        <v>159</v>
      </c>
      <c r="AP46" t="s">
        <v>159</v>
      </c>
      <c r="AQ46" t="s">
        <v>159</v>
      </c>
      <c r="CB46">
        <v>9.1710130553370544</v>
      </c>
      <c r="CC46">
        <v>955.61574449813486</v>
      </c>
      <c r="CD46">
        <v>1.9885144852771399</v>
      </c>
      <c r="CE46">
        <v>14.9855753149264</v>
      </c>
      <c r="CF46">
        <v>13.131345217996801</v>
      </c>
      <c r="CG46">
        <v>6.5786172031478802</v>
      </c>
    </row>
    <row r="47" spans="1:101" x14ac:dyDescent="0.25">
      <c r="A47" s="6">
        <v>46</v>
      </c>
      <c r="B47" s="6">
        <v>1</v>
      </c>
      <c r="C47" t="s">
        <v>138</v>
      </c>
      <c r="D47" t="s">
        <v>163</v>
      </c>
      <c r="E47" t="s">
        <v>158</v>
      </c>
      <c r="F47">
        <v>-1</v>
      </c>
      <c r="G47">
        <v>68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17408</v>
      </c>
      <c r="P47">
        <v>12399.7504865725</v>
      </c>
      <c r="Q47">
        <v>-1</v>
      </c>
      <c r="R47">
        <v>-1</v>
      </c>
      <c r="S47">
        <v>-1</v>
      </c>
      <c r="T47">
        <v>0.51</v>
      </c>
      <c r="U47">
        <v>0.498</v>
      </c>
      <c r="V47">
        <v>0.53500000000000003</v>
      </c>
      <c r="W47">
        <v>0.78700000000000003</v>
      </c>
      <c r="X47">
        <v>0.63800000000000001</v>
      </c>
      <c r="Y47">
        <v>0.65600000000000003</v>
      </c>
      <c r="Z47">
        <v>0.77800000000000002</v>
      </c>
      <c r="AA47">
        <v>0.38500000000000001</v>
      </c>
      <c r="AB47">
        <v>0.68600000000000005</v>
      </c>
      <c r="AC47">
        <v>0.74</v>
      </c>
      <c r="AD47">
        <v>0.70899999999999996</v>
      </c>
      <c r="AE47">
        <v>0.71299999999999997</v>
      </c>
      <c r="AF47">
        <v>0.35099999999999998</v>
      </c>
      <c r="AG47">
        <v>0.66800000000000004</v>
      </c>
      <c r="AH47">
        <v>0.44400000000000001</v>
      </c>
      <c r="AI47">
        <v>0.58199999999999996</v>
      </c>
      <c r="AJ47">
        <v>0.61899999999999999</v>
      </c>
      <c r="AK47">
        <v>0.59199999999999997</v>
      </c>
      <c r="AL47">
        <v>0.64100000000000001</v>
      </c>
      <c r="AM47">
        <v>0.44700000000000001</v>
      </c>
      <c r="AN47" t="s">
        <v>159</v>
      </c>
      <c r="AO47" t="s">
        <v>159</v>
      </c>
      <c r="AP47" t="s">
        <v>159</v>
      </c>
      <c r="AQ47" t="s">
        <v>159</v>
      </c>
      <c r="AR47" t="s">
        <v>159</v>
      </c>
      <c r="AS47" t="s">
        <v>159</v>
      </c>
      <c r="AT47" t="s">
        <v>159</v>
      </c>
      <c r="AU47" t="s">
        <v>159</v>
      </c>
      <c r="AV47" t="s">
        <v>159</v>
      </c>
      <c r="AW47" t="s">
        <v>159</v>
      </c>
      <c r="AX47" t="s">
        <v>159</v>
      </c>
      <c r="AY47" t="s">
        <v>159</v>
      </c>
      <c r="AZ47" t="s">
        <v>159</v>
      </c>
      <c r="BA47" t="s">
        <v>159</v>
      </c>
      <c r="BB47" t="s">
        <v>159</v>
      </c>
      <c r="BC47" t="s">
        <v>159</v>
      </c>
      <c r="BD47" t="s">
        <v>159</v>
      </c>
      <c r="BE47" t="s">
        <v>159</v>
      </c>
      <c r="BF47" t="s">
        <v>159</v>
      </c>
      <c r="BG47" t="s">
        <v>159</v>
      </c>
      <c r="CB47">
        <v>1.7751707590370018</v>
      </c>
      <c r="CC47">
        <v>22011.674483118339</v>
      </c>
      <c r="CD47">
        <v>0.92777213093307997</v>
      </c>
      <c r="CE47">
        <v>0.85991210861310496</v>
      </c>
      <c r="CF47">
        <v>1.0807892730931199</v>
      </c>
      <c r="CG47">
        <v>3.7021316393417298</v>
      </c>
      <c r="CH47">
        <v>1.8952671103233301</v>
      </c>
      <c r="CI47">
        <v>2.0711698172922199</v>
      </c>
      <c r="CJ47">
        <v>3.5687602699988998</v>
      </c>
      <c r="CK47">
        <v>0.37836607350699297</v>
      </c>
      <c r="CL47">
        <v>2.38872629397203</v>
      </c>
      <c r="CM47">
        <v>3.0418769845616001</v>
      </c>
      <c r="CN47">
        <v>2.6537129954369099</v>
      </c>
      <c r="CO47">
        <v>2.70176804766233</v>
      </c>
      <c r="CP47">
        <v>0.28172290793110799</v>
      </c>
      <c r="CQ47">
        <v>2.19446862651712</v>
      </c>
      <c r="CR47">
        <v>0.59627161504180504</v>
      </c>
      <c r="CS47">
        <v>1.4138286630433901</v>
      </c>
      <c r="CT47">
        <v>1.7210188668781801</v>
      </c>
      <c r="CU47">
        <v>1.49278995978344</v>
      </c>
      <c r="CV47">
        <v>1.92384276825684</v>
      </c>
      <c r="CW47">
        <v>0.60921902855280696</v>
      </c>
    </row>
    <row r="48" spans="1:101" x14ac:dyDescent="0.25">
      <c r="A48" s="6">
        <v>47</v>
      </c>
      <c r="B48" s="6">
        <v>1</v>
      </c>
      <c r="C48" t="s">
        <v>138</v>
      </c>
      <c r="D48" t="s">
        <v>167</v>
      </c>
      <c r="E48" t="s">
        <v>168</v>
      </c>
      <c r="F48">
        <v>-1</v>
      </c>
      <c r="G48">
        <v>2</v>
      </c>
      <c r="H48">
        <v>-1</v>
      </c>
      <c r="I48">
        <v>-1</v>
      </c>
      <c r="J48">
        <v>-1</v>
      </c>
      <c r="K48">
        <v>4</v>
      </c>
      <c r="L48">
        <v>-1</v>
      </c>
      <c r="M48">
        <v>-1</v>
      </c>
      <c r="N48">
        <v>-1</v>
      </c>
      <c r="O48">
        <v>512</v>
      </c>
      <c r="P48">
        <v>364.69854372271902</v>
      </c>
      <c r="Q48">
        <v>-1</v>
      </c>
      <c r="R48">
        <v>-1</v>
      </c>
      <c r="S48">
        <v>-1</v>
      </c>
      <c r="T48">
        <v>0.505</v>
      </c>
      <c r="U48">
        <v>0.65500000000000003</v>
      </c>
      <c r="V48">
        <v>0.505</v>
      </c>
      <c r="W48">
        <v>0.40899999999999997</v>
      </c>
      <c r="X48">
        <v>0.63100000000000001</v>
      </c>
      <c r="Y48">
        <v>0.59499999999999997</v>
      </c>
      <c r="AN48" t="s">
        <v>169</v>
      </c>
      <c r="AO48" t="s">
        <v>169</v>
      </c>
      <c r="AP48" t="s">
        <v>169</v>
      </c>
      <c r="AQ48" t="s">
        <v>169</v>
      </c>
      <c r="AR48" t="s">
        <v>169</v>
      </c>
      <c r="AS48" t="s">
        <v>169</v>
      </c>
      <c r="CB48">
        <v>1.0934180984162738</v>
      </c>
      <c r="CC48">
        <v>398.7679881724797</v>
      </c>
      <c r="CD48">
        <v>0.83570479796318897</v>
      </c>
      <c r="CE48">
        <v>1.63905374036364</v>
      </c>
      <c r="CF48">
        <v>0.83570479796318897</v>
      </c>
      <c r="CG48">
        <v>0.48405152640721499</v>
      </c>
      <c r="CH48">
        <v>1.4880045756176099</v>
      </c>
      <c r="CI48">
        <v>1.2779891521828</v>
      </c>
    </row>
    <row r="49" spans="1:101" x14ac:dyDescent="0.25">
      <c r="A49" s="6">
        <v>48</v>
      </c>
      <c r="B49" s="6">
        <v>1</v>
      </c>
      <c r="C49" t="s">
        <v>138</v>
      </c>
      <c r="D49" t="s">
        <v>173</v>
      </c>
      <c r="E49" t="s">
        <v>168</v>
      </c>
      <c r="F49">
        <v>-1</v>
      </c>
      <c r="G49">
        <v>19</v>
      </c>
      <c r="H49">
        <v>-1</v>
      </c>
      <c r="I49">
        <v>-1</v>
      </c>
      <c r="J49">
        <v>-1</v>
      </c>
      <c r="K49">
        <v>32</v>
      </c>
      <c r="L49">
        <v>-1</v>
      </c>
      <c r="M49">
        <v>-1</v>
      </c>
      <c r="N49">
        <v>-1</v>
      </c>
      <c r="O49">
        <v>4352</v>
      </c>
      <c r="P49">
        <v>3099.9376216431101</v>
      </c>
      <c r="Q49">
        <v>-1</v>
      </c>
      <c r="R49">
        <v>-1</v>
      </c>
      <c r="S49">
        <v>-1</v>
      </c>
      <c r="T49">
        <v>0.44600000000000001</v>
      </c>
      <c r="U49">
        <v>0.36199999999999999</v>
      </c>
      <c r="V49">
        <v>0.55200000000000005</v>
      </c>
      <c r="W49">
        <v>0.42</v>
      </c>
      <c r="X49">
        <v>0.38900000000000001</v>
      </c>
      <c r="Y49">
        <v>0.315</v>
      </c>
      <c r="Z49">
        <v>0.38200000000000001</v>
      </c>
      <c r="AA49">
        <v>0.374</v>
      </c>
      <c r="AB49">
        <v>0.41799999999999998</v>
      </c>
      <c r="AC49">
        <v>0.42499999999999999</v>
      </c>
      <c r="AD49">
        <v>0.38700000000000001</v>
      </c>
      <c r="AE49">
        <v>0.39100000000000001</v>
      </c>
      <c r="AF49">
        <v>0.36099999999999999</v>
      </c>
      <c r="AG49">
        <v>0.40100000000000002</v>
      </c>
      <c r="AH49">
        <v>0.38100000000000001</v>
      </c>
      <c r="AI49">
        <v>0.56000000000000005</v>
      </c>
      <c r="AJ49">
        <v>0.42699999999999999</v>
      </c>
      <c r="AK49">
        <v>0.41</v>
      </c>
      <c r="AL49">
        <v>0.37</v>
      </c>
      <c r="AM49">
        <v>0.39100000000000001</v>
      </c>
      <c r="AN49" t="s">
        <v>169</v>
      </c>
      <c r="AO49" t="s">
        <v>169</v>
      </c>
      <c r="AP49" t="s">
        <v>169</v>
      </c>
      <c r="AQ49" t="s">
        <v>169</v>
      </c>
      <c r="AR49" t="s">
        <v>169</v>
      </c>
      <c r="AS49" t="s">
        <v>169</v>
      </c>
      <c r="AT49" t="s">
        <v>169</v>
      </c>
      <c r="AU49" t="s">
        <v>169</v>
      </c>
      <c r="AV49" t="s">
        <v>169</v>
      </c>
      <c r="AW49" t="s">
        <v>169</v>
      </c>
      <c r="AX49" t="s">
        <v>169</v>
      </c>
      <c r="AY49" t="s">
        <v>169</v>
      </c>
      <c r="AZ49" t="s">
        <v>169</v>
      </c>
      <c r="BA49" t="s">
        <v>169</v>
      </c>
      <c r="BB49" t="s">
        <v>169</v>
      </c>
      <c r="BC49" t="s">
        <v>169</v>
      </c>
      <c r="BD49" t="s">
        <v>169</v>
      </c>
      <c r="BE49" t="s">
        <v>169</v>
      </c>
      <c r="BF49" t="s">
        <v>169</v>
      </c>
      <c r="BG49" t="s">
        <v>169</v>
      </c>
      <c r="CB49">
        <v>0.16955121861871303</v>
      </c>
      <c r="CC49">
        <v>525.59820139158433</v>
      </c>
      <c r="CD49">
        <v>0.213200504996995</v>
      </c>
      <c r="CE49">
        <v>9.3111187390138905E-2</v>
      </c>
      <c r="CF49">
        <v>0.49708078847157</v>
      </c>
      <c r="CG49">
        <v>0.16796876259736301</v>
      </c>
      <c r="CH49">
        <v>0.123887861734121</v>
      </c>
      <c r="CI49">
        <v>5.3607029001190201E-2</v>
      </c>
      <c r="CJ49">
        <v>0.115271087575072</v>
      </c>
      <c r="CK49">
        <v>0.10598126541873</v>
      </c>
      <c r="CL49">
        <v>0.164815737679887</v>
      </c>
      <c r="CM49">
        <v>0.17604872829895499</v>
      </c>
      <c r="CN49">
        <v>0.121378389582547</v>
      </c>
      <c r="CO49">
        <v>0.126435947311136</v>
      </c>
      <c r="CP49">
        <v>9.2094232210272894E-2</v>
      </c>
      <c r="CQ49">
        <v>0.13976936730923001</v>
      </c>
      <c r="CR49">
        <v>0.114077762229817</v>
      </c>
      <c r="CS49">
        <v>0.52630234754966199</v>
      </c>
      <c r="CT49">
        <v>0.17936078822020901</v>
      </c>
      <c r="CU49">
        <v>0.15264435606058199</v>
      </c>
      <c r="CV49">
        <v>0.101552281425646</v>
      </c>
      <c r="CW49">
        <v>0.126435947311136</v>
      </c>
    </row>
    <row r="50" spans="1:101" x14ac:dyDescent="0.25">
      <c r="A50" s="6">
        <v>49</v>
      </c>
      <c r="B50" s="6">
        <v>1</v>
      </c>
      <c r="C50" t="s">
        <v>138</v>
      </c>
      <c r="D50" t="s">
        <v>157</v>
      </c>
      <c r="E50" t="s">
        <v>158</v>
      </c>
      <c r="F50">
        <v>928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928</v>
      </c>
      <c r="P50">
        <v>661.01611049742803</v>
      </c>
      <c r="Q50">
        <v>-1</v>
      </c>
      <c r="R50">
        <v>-1</v>
      </c>
      <c r="S50">
        <v>-1</v>
      </c>
      <c r="T50">
        <v>0.996</v>
      </c>
      <c r="U50">
        <v>1.077</v>
      </c>
      <c r="V50">
        <v>1.1910000000000001</v>
      </c>
      <c r="W50">
        <v>1.2989999999999999</v>
      </c>
      <c r="X50">
        <v>1.349</v>
      </c>
      <c r="Y50">
        <v>1.4330000000000001</v>
      </c>
      <c r="Z50">
        <v>1.1020000000000001</v>
      </c>
      <c r="AA50">
        <v>1.181</v>
      </c>
      <c r="AB50">
        <v>1.24</v>
      </c>
      <c r="AC50">
        <v>1.339</v>
      </c>
      <c r="AD50">
        <v>1.125</v>
      </c>
      <c r="AE50">
        <v>1.627</v>
      </c>
      <c r="AF50">
        <v>1.1579999999999999</v>
      </c>
      <c r="AG50">
        <v>1.0549999999999999</v>
      </c>
      <c r="AH50">
        <v>1.2509999999999999</v>
      </c>
      <c r="AI50">
        <v>1.351</v>
      </c>
      <c r="AJ50">
        <v>1.24</v>
      </c>
      <c r="AK50">
        <v>1.1240000000000001</v>
      </c>
      <c r="AL50">
        <v>0.56399999999999995</v>
      </c>
      <c r="AM50">
        <v>1.1080000000000001</v>
      </c>
      <c r="AN50" t="s">
        <v>159</v>
      </c>
      <c r="AO50" t="s">
        <v>159</v>
      </c>
      <c r="AP50" t="s">
        <v>159</v>
      </c>
      <c r="AQ50" t="s">
        <v>159</v>
      </c>
      <c r="AR50" t="s">
        <v>159</v>
      </c>
      <c r="AS50" t="s">
        <v>159</v>
      </c>
      <c r="AT50" t="s">
        <v>159</v>
      </c>
      <c r="AU50" t="s">
        <v>159</v>
      </c>
      <c r="AV50" t="s">
        <v>159</v>
      </c>
      <c r="AW50" t="s">
        <v>159</v>
      </c>
      <c r="AX50" t="s">
        <v>159</v>
      </c>
      <c r="AY50" t="s">
        <v>159</v>
      </c>
      <c r="AZ50" t="s">
        <v>159</v>
      </c>
      <c r="BA50" t="s">
        <v>159</v>
      </c>
      <c r="BB50" t="s">
        <v>159</v>
      </c>
      <c r="BC50" t="s">
        <v>159</v>
      </c>
      <c r="BD50" t="s">
        <v>159</v>
      </c>
      <c r="BE50" t="s">
        <v>159</v>
      </c>
      <c r="BF50" t="s">
        <v>159</v>
      </c>
      <c r="BG50" t="s">
        <v>159</v>
      </c>
      <c r="CB50">
        <v>25.204132255699157</v>
      </c>
      <c r="CC50">
        <v>16660.337472125026</v>
      </c>
      <c r="CD50">
        <v>16.8041055625892</v>
      </c>
      <c r="CE50">
        <v>19.7871936320552</v>
      </c>
      <c r="CF50">
        <v>24.417936797342399</v>
      </c>
      <c r="CG50">
        <v>29.274973426658502</v>
      </c>
      <c r="CH50">
        <v>31.679502927444201</v>
      </c>
      <c r="CI50">
        <v>35.942470231484997</v>
      </c>
      <c r="CJ50">
        <v>20.759310097072699</v>
      </c>
      <c r="CK50">
        <v>23.9914043180191</v>
      </c>
      <c r="CL50">
        <v>26.564687159026899</v>
      </c>
      <c r="CM50">
        <v>31.190676169168999</v>
      </c>
      <c r="CN50">
        <v>21.6751521992466</v>
      </c>
      <c r="CO50">
        <v>46.865512369254198</v>
      </c>
      <c r="CP50">
        <v>23.0252456845955</v>
      </c>
      <c r="CQ50">
        <v>18.951824429923001</v>
      </c>
      <c r="CR50">
        <v>27.059586825652499</v>
      </c>
      <c r="CS50">
        <v>31.777744086376501</v>
      </c>
      <c r="CT50">
        <v>26.564687159026899</v>
      </c>
      <c r="CU50">
        <v>21.6349040900635</v>
      </c>
      <c r="CV50">
        <v>5.1194901425430004</v>
      </c>
      <c r="CW50">
        <v>20.996237806439101</v>
      </c>
    </row>
    <row r="51" spans="1:101" x14ac:dyDescent="0.25">
      <c r="A51" s="6">
        <v>50</v>
      </c>
      <c r="B51" s="6">
        <v>1</v>
      </c>
      <c r="C51" t="s">
        <v>138</v>
      </c>
      <c r="D51" t="s">
        <v>172</v>
      </c>
      <c r="E51" t="s">
        <v>158</v>
      </c>
      <c r="F51">
        <v>-1</v>
      </c>
      <c r="G51">
        <v>79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20224</v>
      </c>
      <c r="P51">
        <v>14405.592477047399</v>
      </c>
      <c r="Q51">
        <v>-1</v>
      </c>
      <c r="R51">
        <v>-1</v>
      </c>
      <c r="S51">
        <v>-1</v>
      </c>
      <c r="T51">
        <v>0.33</v>
      </c>
      <c r="U51">
        <v>0.252</v>
      </c>
      <c r="V51">
        <v>0.38</v>
      </c>
      <c r="W51">
        <v>0.3</v>
      </c>
      <c r="X51">
        <v>0.39400000000000002</v>
      </c>
      <c r="Y51">
        <v>0.26600000000000001</v>
      </c>
      <c r="Z51">
        <v>0.38900000000000001</v>
      </c>
      <c r="AA51">
        <v>0.377</v>
      </c>
      <c r="AB51">
        <v>0.44400000000000001</v>
      </c>
      <c r="AC51">
        <v>0.25600000000000001</v>
      </c>
      <c r="AD51">
        <v>0.26300000000000001</v>
      </c>
      <c r="AE51">
        <v>0.373</v>
      </c>
      <c r="AF51">
        <v>0.34499999999999997</v>
      </c>
      <c r="AG51">
        <v>0.24299999999999999</v>
      </c>
      <c r="AH51">
        <v>0.29399999999999998</v>
      </c>
      <c r="AI51">
        <v>0.438</v>
      </c>
      <c r="AJ51">
        <v>0.4</v>
      </c>
      <c r="AK51">
        <v>0.35099999999999998</v>
      </c>
      <c r="AL51">
        <v>0.34399999999999997</v>
      </c>
      <c r="AM51">
        <v>0.51900000000000002</v>
      </c>
      <c r="AN51" t="s">
        <v>159</v>
      </c>
      <c r="AO51" t="s">
        <v>159</v>
      </c>
      <c r="AP51" t="s">
        <v>159</v>
      </c>
      <c r="AQ51" t="s">
        <v>159</v>
      </c>
      <c r="AR51" t="s">
        <v>159</v>
      </c>
      <c r="AS51" t="s">
        <v>159</v>
      </c>
      <c r="AT51" t="s">
        <v>159</v>
      </c>
      <c r="AU51" t="s">
        <v>159</v>
      </c>
      <c r="AV51" t="s">
        <v>159</v>
      </c>
      <c r="AW51" t="s">
        <v>159</v>
      </c>
      <c r="AX51" t="s">
        <v>159</v>
      </c>
      <c r="AY51" t="s">
        <v>159</v>
      </c>
      <c r="AZ51" t="s">
        <v>159</v>
      </c>
      <c r="BA51" t="s">
        <v>159</v>
      </c>
      <c r="BB51" t="s">
        <v>159</v>
      </c>
      <c r="BC51" t="s">
        <v>159</v>
      </c>
      <c r="BD51" t="s">
        <v>159</v>
      </c>
      <c r="BE51" t="s">
        <v>159</v>
      </c>
      <c r="BF51" t="s">
        <v>159</v>
      </c>
      <c r="BG51" t="s">
        <v>159</v>
      </c>
      <c r="CB51">
        <v>1.1289691514204148</v>
      </c>
      <c r="CC51">
        <v>16263.469514520513</v>
      </c>
      <c r="CD51">
        <v>0.91126964277005995</v>
      </c>
      <c r="CE51">
        <v>0.46062764934648998</v>
      </c>
      <c r="CF51">
        <v>1.3021443604449601</v>
      </c>
      <c r="CG51">
        <v>0.716017124831829</v>
      </c>
      <c r="CH51">
        <v>1.42696090958891</v>
      </c>
      <c r="CI51">
        <v>0.52814986801842601</v>
      </c>
      <c r="CJ51">
        <v>1.3815898254923</v>
      </c>
      <c r="CK51">
        <v>1.2762925992837899</v>
      </c>
      <c r="CL51">
        <v>1.93056998267832</v>
      </c>
      <c r="CM51">
        <v>0.47935112080195802</v>
      </c>
      <c r="CN51">
        <v>0.51320949009263905</v>
      </c>
      <c r="CO51">
        <v>1.2423099951345</v>
      </c>
      <c r="CP51">
        <v>1.0197388032564401</v>
      </c>
      <c r="CQ51">
        <v>0.42013659088921601</v>
      </c>
      <c r="CR51">
        <v>0.68033902120397705</v>
      </c>
      <c r="CS51">
        <v>1.8652460737612799</v>
      </c>
      <c r="CT51">
        <v>1.4825809414743101</v>
      </c>
      <c r="CU51">
        <v>1.0652060871946101</v>
      </c>
      <c r="CV51">
        <v>1.01227729204482</v>
      </c>
      <c r="CW51">
        <v>2.8653656500994602</v>
      </c>
    </row>
    <row r="52" spans="1:101" x14ac:dyDescent="0.25">
      <c r="A52" s="6">
        <v>51</v>
      </c>
      <c r="B52" s="6">
        <v>1</v>
      </c>
      <c r="C52" t="s">
        <v>138</v>
      </c>
      <c r="D52" t="s">
        <v>166</v>
      </c>
      <c r="E52" t="s">
        <v>154</v>
      </c>
      <c r="F52">
        <v>-1</v>
      </c>
      <c r="G52">
        <v>1</v>
      </c>
      <c r="H52">
        <v>0</v>
      </c>
      <c r="I52">
        <v>-1</v>
      </c>
      <c r="J52">
        <v>-1</v>
      </c>
      <c r="K52">
        <v>1</v>
      </c>
      <c r="L52">
        <v>1</v>
      </c>
      <c r="M52">
        <v>-1</v>
      </c>
      <c r="N52">
        <v>-1</v>
      </c>
      <c r="O52">
        <v>256</v>
      </c>
      <c r="P52">
        <v>182.34927186135999</v>
      </c>
      <c r="Q52">
        <v>-1</v>
      </c>
      <c r="R52">
        <v>-1</v>
      </c>
      <c r="S52">
        <v>-1</v>
      </c>
      <c r="T52">
        <v>0.95899999999999996</v>
      </c>
      <c r="U52">
        <v>0.93500000000000005</v>
      </c>
      <c r="V52">
        <v>0.97499999999999998</v>
      </c>
      <c r="AN52" t="s">
        <v>155</v>
      </c>
      <c r="AO52" t="s">
        <v>156</v>
      </c>
      <c r="AP52" t="s">
        <v>155</v>
      </c>
      <c r="CB52">
        <v>4.4126713569042701</v>
      </c>
      <c r="CC52">
        <v>804.64740889497307</v>
      </c>
      <c r="CD52">
        <v>4.4539845931640203</v>
      </c>
      <c r="CE52">
        <v>4.0276426873798901</v>
      </c>
      <c r="CF52">
        <v>4.7563867901689001</v>
      </c>
    </row>
    <row r="53" spans="1:101" x14ac:dyDescent="0.25">
      <c r="A53" s="6">
        <v>52</v>
      </c>
      <c r="B53" s="6">
        <v>1</v>
      </c>
      <c r="C53" t="s">
        <v>141</v>
      </c>
      <c r="D53" t="s">
        <v>174</v>
      </c>
      <c r="E53" t="s">
        <v>158</v>
      </c>
      <c r="F53">
        <v>-1</v>
      </c>
      <c r="G53">
        <v>1</v>
      </c>
      <c r="H53">
        <v>-1</v>
      </c>
      <c r="I53">
        <v>-1</v>
      </c>
      <c r="J53">
        <v>-1</v>
      </c>
      <c r="K53">
        <v>0</v>
      </c>
      <c r="L53">
        <v>-1</v>
      </c>
      <c r="M53">
        <v>-1</v>
      </c>
      <c r="N53">
        <v>-1</v>
      </c>
      <c r="O53">
        <v>85.3333333333333</v>
      </c>
      <c r="P53">
        <v>29.795632657084901</v>
      </c>
      <c r="Q53">
        <v>-1</v>
      </c>
      <c r="R53">
        <v>-1</v>
      </c>
      <c r="S53">
        <v>-1</v>
      </c>
      <c r="T53">
        <v>0.63600000000000001</v>
      </c>
      <c r="AN53" t="s">
        <v>159</v>
      </c>
      <c r="CB53">
        <v>0.916885740825508</v>
      </c>
      <c r="CC53">
        <v>27.319190722155991</v>
      </c>
      <c r="CD53">
        <v>0.916885740825508</v>
      </c>
    </row>
    <row r="54" spans="1:101" x14ac:dyDescent="0.25">
      <c r="A54" s="6">
        <v>53</v>
      </c>
      <c r="B54" s="6">
        <v>1</v>
      </c>
      <c r="C54" t="s">
        <v>141</v>
      </c>
      <c r="D54" t="s">
        <v>153</v>
      </c>
      <c r="E54" t="s">
        <v>154</v>
      </c>
      <c r="F54">
        <v>-1</v>
      </c>
      <c r="G54">
        <v>0</v>
      </c>
      <c r="H54">
        <v>1</v>
      </c>
      <c r="I54">
        <v>-1</v>
      </c>
      <c r="J54">
        <v>-1</v>
      </c>
      <c r="K54">
        <v>0</v>
      </c>
      <c r="L54">
        <v>0</v>
      </c>
      <c r="M54">
        <v>-1</v>
      </c>
      <c r="N54">
        <v>-1</v>
      </c>
      <c r="O54">
        <v>85.3333333333333</v>
      </c>
      <c r="P54">
        <v>29.795632657084901</v>
      </c>
      <c r="Q54">
        <v>-1</v>
      </c>
      <c r="R54">
        <v>-1</v>
      </c>
      <c r="S54">
        <v>-1</v>
      </c>
      <c r="T54">
        <v>0.98399999999999999</v>
      </c>
      <c r="AN54" t="s">
        <v>156</v>
      </c>
      <c r="CB54">
        <v>4.70311427412366</v>
      </c>
      <c r="CC54">
        <v>140.13226525608107</v>
      </c>
      <c r="CD54">
        <v>4.70311427412366</v>
      </c>
    </row>
    <row r="55" spans="1:101" x14ac:dyDescent="0.25">
      <c r="A55" s="6">
        <v>54</v>
      </c>
      <c r="B55" s="6">
        <v>1</v>
      </c>
      <c r="C55" t="s">
        <v>141</v>
      </c>
      <c r="D55" t="s">
        <v>165</v>
      </c>
      <c r="E55" t="s">
        <v>158</v>
      </c>
      <c r="F55">
        <v>-1</v>
      </c>
      <c r="G55">
        <v>1</v>
      </c>
      <c r="H55">
        <v>-1</v>
      </c>
      <c r="I55">
        <v>-1</v>
      </c>
      <c r="J55">
        <v>-1</v>
      </c>
      <c r="K55">
        <v>1</v>
      </c>
      <c r="L55">
        <v>-1</v>
      </c>
      <c r="M55">
        <v>2</v>
      </c>
      <c r="N55">
        <v>-1</v>
      </c>
      <c r="O55">
        <v>146.28571428571399</v>
      </c>
      <c r="P55">
        <v>51.078227412145502</v>
      </c>
      <c r="Q55">
        <v>-1</v>
      </c>
      <c r="R55">
        <v>-1</v>
      </c>
      <c r="S55">
        <v>-1</v>
      </c>
      <c r="T55">
        <v>1.76</v>
      </c>
      <c r="U55">
        <v>1.583</v>
      </c>
      <c r="V55">
        <v>2.266</v>
      </c>
      <c r="W55">
        <v>2.0449999999999999</v>
      </c>
      <c r="AN55" t="s">
        <v>159</v>
      </c>
      <c r="AO55" t="s">
        <v>159</v>
      </c>
      <c r="AP55" t="s">
        <v>159</v>
      </c>
      <c r="AQ55" t="s">
        <v>159</v>
      </c>
      <c r="CB55">
        <v>2.5899904687504947</v>
      </c>
      <c r="CC55">
        <v>132.29212215812709</v>
      </c>
      <c r="CD55">
        <v>1.9885144852771399</v>
      </c>
      <c r="CE55">
        <v>1.4983869382827499</v>
      </c>
      <c r="CF55">
        <v>3.9043962199134401</v>
      </c>
      <c r="CG55">
        <v>2.96866423152865</v>
      </c>
    </row>
    <row r="56" spans="1:101" x14ac:dyDescent="0.25">
      <c r="A56" s="6">
        <v>55</v>
      </c>
      <c r="B56" s="6">
        <v>1</v>
      </c>
      <c r="C56" t="s">
        <v>141</v>
      </c>
      <c r="D56" t="s">
        <v>161</v>
      </c>
      <c r="E56" t="s">
        <v>154</v>
      </c>
      <c r="F56">
        <v>-1</v>
      </c>
      <c r="G56">
        <v>0</v>
      </c>
      <c r="H56">
        <v>0</v>
      </c>
      <c r="I56">
        <v>-1</v>
      </c>
      <c r="J56">
        <v>-1</v>
      </c>
      <c r="K56">
        <v>0</v>
      </c>
      <c r="L56">
        <v>2</v>
      </c>
      <c r="M56">
        <v>-1</v>
      </c>
      <c r="N56">
        <v>-1</v>
      </c>
      <c r="O56">
        <v>170.666666666667</v>
      </c>
      <c r="P56">
        <v>59.591265314169803</v>
      </c>
      <c r="Q56">
        <v>-1</v>
      </c>
      <c r="R56">
        <v>-1</v>
      </c>
      <c r="S56">
        <v>-1</v>
      </c>
      <c r="T56">
        <v>0.92300000000000004</v>
      </c>
      <c r="U56">
        <v>0.99099999999999999</v>
      </c>
      <c r="AN56" t="s">
        <v>156</v>
      </c>
      <c r="AO56" t="s">
        <v>156</v>
      </c>
      <c r="CB56">
        <v>4.3875024244472751</v>
      </c>
      <c r="CC56">
        <v>261.45682104180082</v>
      </c>
      <c r="CD56">
        <v>3.9847458948394499</v>
      </c>
      <c r="CE56">
        <v>4.7902589540551004</v>
      </c>
    </row>
    <row r="57" spans="1:101" x14ac:dyDescent="0.25">
      <c r="A57" s="6">
        <v>56</v>
      </c>
      <c r="B57" s="6">
        <v>1</v>
      </c>
      <c r="C57" t="s">
        <v>141</v>
      </c>
      <c r="D57" t="s">
        <v>163</v>
      </c>
      <c r="E57" t="s">
        <v>158</v>
      </c>
      <c r="F57">
        <v>-1</v>
      </c>
      <c r="G57">
        <v>128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32768</v>
      </c>
      <c r="P57">
        <v>11441.522940320599</v>
      </c>
      <c r="Q57">
        <v>-1</v>
      </c>
      <c r="R57">
        <v>-1</v>
      </c>
      <c r="S57">
        <v>-1</v>
      </c>
      <c r="T57">
        <v>0.79900000000000004</v>
      </c>
      <c r="U57">
        <v>0.42599999999999999</v>
      </c>
      <c r="V57">
        <v>0.45200000000000001</v>
      </c>
      <c r="W57">
        <v>0.65500000000000003</v>
      </c>
      <c r="X57">
        <v>0.374</v>
      </c>
      <c r="Y57">
        <v>0.59699999999999998</v>
      </c>
      <c r="Z57">
        <v>0.56799999999999995</v>
      </c>
      <c r="AA57">
        <v>0.45800000000000002</v>
      </c>
      <c r="AB57">
        <v>0.35</v>
      </c>
      <c r="AC57">
        <v>0.88400000000000001</v>
      </c>
      <c r="AD57">
        <v>0.54900000000000004</v>
      </c>
      <c r="AE57">
        <v>0.49199999999999999</v>
      </c>
      <c r="AF57">
        <v>0.308</v>
      </c>
      <c r="AG57">
        <v>0.54100000000000004</v>
      </c>
      <c r="AH57">
        <v>0.84</v>
      </c>
      <c r="AI57">
        <v>0.33100000000000002</v>
      </c>
      <c r="AJ57">
        <v>0.50900000000000001</v>
      </c>
      <c r="AK57">
        <v>0.48</v>
      </c>
      <c r="AL57">
        <v>0.23799999999999999</v>
      </c>
      <c r="AM57">
        <v>0.45200000000000001</v>
      </c>
      <c r="AN57" t="s">
        <v>159</v>
      </c>
      <c r="AO57" t="s">
        <v>159</v>
      </c>
      <c r="AP57" t="s">
        <v>159</v>
      </c>
      <c r="AQ57" t="s">
        <v>159</v>
      </c>
      <c r="AR57" t="s">
        <v>159</v>
      </c>
      <c r="AS57" t="s">
        <v>159</v>
      </c>
      <c r="AT57" t="s">
        <v>159</v>
      </c>
      <c r="AU57" t="s">
        <v>159</v>
      </c>
      <c r="AV57" t="s">
        <v>159</v>
      </c>
      <c r="AW57" t="s">
        <v>159</v>
      </c>
      <c r="AX57" t="s">
        <v>159</v>
      </c>
      <c r="AY57" t="s">
        <v>159</v>
      </c>
      <c r="AZ57" t="s">
        <v>159</v>
      </c>
      <c r="BA57" t="s">
        <v>159</v>
      </c>
      <c r="BB57" t="s">
        <v>159</v>
      </c>
      <c r="BC57" t="s">
        <v>159</v>
      </c>
      <c r="BD57" t="s">
        <v>159</v>
      </c>
      <c r="BE57" t="s">
        <v>159</v>
      </c>
      <c r="BF57" t="s">
        <v>159</v>
      </c>
      <c r="BG57" t="s">
        <v>159</v>
      </c>
      <c r="CB57">
        <v>1.3542602010948113</v>
      </c>
      <c r="CC57">
        <v>15494.799157989471</v>
      </c>
      <c r="CD57">
        <v>3.8852295839500099</v>
      </c>
      <c r="CE57">
        <v>0.52252741618424003</v>
      </c>
      <c r="CF57">
        <v>0.63122482126804902</v>
      </c>
      <c r="CG57">
        <v>2.0611149241829998</v>
      </c>
      <c r="CH57">
        <v>0.34494739694446103</v>
      </c>
      <c r="CI57">
        <v>1.5333827641084901</v>
      </c>
      <c r="CJ57">
        <v>1.30816839325267</v>
      </c>
      <c r="CK57">
        <v>0.65834468815804104</v>
      </c>
      <c r="CL57">
        <v>0.27917049875803601</v>
      </c>
      <c r="CM57">
        <v>5.3638322405283203</v>
      </c>
      <c r="CN57">
        <v>1.1736219941927399</v>
      </c>
      <c r="CO57">
        <v>0.82729640823805894</v>
      </c>
      <c r="CP57">
        <v>0.18568176113647999</v>
      </c>
      <c r="CQ57">
        <v>1.1199322132229299</v>
      </c>
      <c r="CR57">
        <v>4.5576753187183101</v>
      </c>
      <c r="CS57">
        <v>0.23363815128638599</v>
      </c>
      <c r="CT57">
        <v>0.92198145717019997</v>
      </c>
      <c r="CU57">
        <v>0.76463118806907704</v>
      </c>
      <c r="CV57">
        <v>8.1577981258674506E-2</v>
      </c>
      <c r="CW57">
        <v>0.63122482126804902</v>
      </c>
    </row>
    <row r="58" spans="1:101" x14ac:dyDescent="0.25">
      <c r="A58" s="6">
        <v>57</v>
      </c>
      <c r="B58" s="6">
        <v>1</v>
      </c>
      <c r="C58" t="s">
        <v>141</v>
      </c>
      <c r="D58" t="s">
        <v>166</v>
      </c>
      <c r="E58" t="s">
        <v>154</v>
      </c>
      <c r="F58">
        <v>-1</v>
      </c>
      <c r="G58">
        <v>0</v>
      </c>
      <c r="H58">
        <v>0</v>
      </c>
      <c r="I58">
        <v>-1</v>
      </c>
      <c r="J58">
        <v>-1</v>
      </c>
      <c r="K58">
        <v>0</v>
      </c>
      <c r="L58">
        <v>1</v>
      </c>
      <c r="M58">
        <v>-1</v>
      </c>
      <c r="N58">
        <v>-1</v>
      </c>
      <c r="O58">
        <v>85.3333333333333</v>
      </c>
      <c r="P58">
        <v>29.795632657084901</v>
      </c>
      <c r="Q58">
        <v>-1</v>
      </c>
      <c r="R58">
        <v>-1</v>
      </c>
      <c r="S58">
        <v>-1</v>
      </c>
      <c r="T58">
        <v>1.0129999999999999</v>
      </c>
      <c r="AN58" t="s">
        <v>156</v>
      </c>
      <c r="CB58">
        <v>5.5360287650909799</v>
      </c>
      <c r="CC58">
        <v>164.94947946370621</v>
      </c>
      <c r="CD58">
        <v>5.5360287650909799</v>
      </c>
    </row>
    <row r="59" spans="1:101" x14ac:dyDescent="0.25">
      <c r="A59" s="6">
        <v>58</v>
      </c>
      <c r="B59" s="6">
        <v>1</v>
      </c>
      <c r="C59" t="s">
        <v>141</v>
      </c>
      <c r="D59" t="s">
        <v>170</v>
      </c>
      <c r="E59" t="s">
        <v>158</v>
      </c>
      <c r="F59">
        <v>-1</v>
      </c>
      <c r="G59">
        <v>8</v>
      </c>
      <c r="H59">
        <v>-1</v>
      </c>
      <c r="I59">
        <v>-1</v>
      </c>
      <c r="J59">
        <v>-1</v>
      </c>
      <c r="K59">
        <v>8</v>
      </c>
      <c r="L59">
        <v>-1</v>
      </c>
      <c r="M59">
        <v>-1</v>
      </c>
      <c r="N59">
        <v>-1</v>
      </c>
      <c r="O59">
        <v>1365.3333333333301</v>
      </c>
      <c r="P59">
        <v>476.73012251335803</v>
      </c>
      <c r="Q59">
        <v>-1</v>
      </c>
      <c r="R59">
        <v>-1</v>
      </c>
      <c r="S59">
        <v>-1</v>
      </c>
      <c r="T59">
        <v>0.82499999999999996</v>
      </c>
      <c r="U59">
        <v>1.008</v>
      </c>
      <c r="V59">
        <v>0.72799999999999998</v>
      </c>
      <c r="W59">
        <v>1.006</v>
      </c>
      <c r="X59">
        <v>0.54600000000000004</v>
      </c>
      <c r="Y59">
        <v>0.746</v>
      </c>
      <c r="Z59">
        <v>0.74199999999999999</v>
      </c>
      <c r="AA59">
        <v>0.59399999999999997</v>
      </c>
      <c r="AB59">
        <v>1.095</v>
      </c>
      <c r="AC59">
        <v>0.56399999999999995</v>
      </c>
      <c r="AD59">
        <v>0.80600000000000005</v>
      </c>
      <c r="AE59">
        <v>0.72099999999999997</v>
      </c>
      <c r="AF59">
        <v>0.59099999999999997</v>
      </c>
      <c r="AG59">
        <v>1.0309999999999999</v>
      </c>
      <c r="AH59">
        <v>0.88200000000000001</v>
      </c>
      <c r="AI59">
        <v>0.83099999999999996</v>
      </c>
      <c r="AN59" t="s">
        <v>159</v>
      </c>
      <c r="AO59" t="s">
        <v>159</v>
      </c>
      <c r="AP59" t="s">
        <v>159</v>
      </c>
      <c r="AQ59" t="s">
        <v>159</v>
      </c>
      <c r="AR59" t="s">
        <v>159</v>
      </c>
      <c r="AS59" t="s">
        <v>159</v>
      </c>
      <c r="AT59" t="s">
        <v>159</v>
      </c>
      <c r="AU59" t="s">
        <v>159</v>
      </c>
      <c r="AV59" t="s">
        <v>159</v>
      </c>
      <c r="AW59" t="s">
        <v>159</v>
      </c>
      <c r="AX59" t="s">
        <v>159</v>
      </c>
      <c r="AY59" t="s">
        <v>159</v>
      </c>
      <c r="AZ59" t="s">
        <v>159</v>
      </c>
      <c r="BA59" t="s">
        <v>159</v>
      </c>
      <c r="BB59" t="s">
        <v>159</v>
      </c>
      <c r="BC59" t="s">
        <v>159</v>
      </c>
      <c r="CB59">
        <v>2.8967811139447543</v>
      </c>
      <c r="CC59">
        <v>1380.9828153452645</v>
      </c>
      <c r="CD59">
        <v>2.87675759508971</v>
      </c>
      <c r="CE59">
        <v>5.0816174257155904</v>
      </c>
      <c r="CF59">
        <v>2.0166344026673602</v>
      </c>
      <c r="CG59">
        <v>5.0530351551290904</v>
      </c>
      <c r="CH59">
        <v>0.89084297537114898</v>
      </c>
      <c r="CI59">
        <v>2.1614854902101599</v>
      </c>
      <c r="CJ59">
        <v>2.1287327684586601</v>
      </c>
      <c r="CK59">
        <v>1.13169020822413</v>
      </c>
      <c r="CL59">
        <v>6.4285074708230798</v>
      </c>
      <c r="CM59">
        <v>0.97680238156912702</v>
      </c>
      <c r="CN59">
        <v>2.6925611375715</v>
      </c>
      <c r="CO59">
        <v>1.96205061326185</v>
      </c>
      <c r="CP59">
        <v>1.11553320026563</v>
      </c>
      <c r="CQ59">
        <v>5.4178710457444597</v>
      </c>
      <c r="CR59">
        <v>3.4778018668285502</v>
      </c>
      <c r="CS59">
        <v>2.9365740861860199</v>
      </c>
    </row>
    <row r="60" spans="1:101" x14ac:dyDescent="0.25">
      <c r="A60" s="6">
        <v>59</v>
      </c>
      <c r="B60" s="6">
        <v>1</v>
      </c>
      <c r="C60" t="s">
        <v>141</v>
      </c>
      <c r="D60" t="s">
        <v>173</v>
      </c>
      <c r="E60" t="s">
        <v>168</v>
      </c>
      <c r="F60">
        <v>-1</v>
      </c>
      <c r="G60">
        <v>2</v>
      </c>
      <c r="H60">
        <v>-1</v>
      </c>
      <c r="I60">
        <v>-1</v>
      </c>
      <c r="J60">
        <v>-1</v>
      </c>
      <c r="K60">
        <v>3</v>
      </c>
      <c r="L60">
        <v>-1</v>
      </c>
      <c r="M60">
        <v>-1</v>
      </c>
      <c r="N60">
        <v>-1</v>
      </c>
      <c r="O60">
        <v>426.66666666666703</v>
      </c>
      <c r="P60">
        <v>148.97816328542399</v>
      </c>
      <c r="Q60">
        <v>-1</v>
      </c>
      <c r="R60">
        <v>-1</v>
      </c>
      <c r="S60">
        <v>-1</v>
      </c>
      <c r="T60">
        <v>0.76900000000000002</v>
      </c>
      <c r="U60">
        <v>0.56499999999999995</v>
      </c>
      <c r="V60">
        <v>0.66500000000000004</v>
      </c>
      <c r="W60">
        <v>0.46800000000000003</v>
      </c>
      <c r="X60">
        <v>0.38500000000000001</v>
      </c>
      <c r="AN60" t="s">
        <v>169</v>
      </c>
      <c r="AO60" t="s">
        <v>169</v>
      </c>
      <c r="AP60" t="s">
        <v>169</v>
      </c>
      <c r="AQ60" t="s">
        <v>169</v>
      </c>
      <c r="AR60" t="s">
        <v>169</v>
      </c>
      <c r="CB60">
        <v>0.76343762520354153</v>
      </c>
      <c r="CC60">
        <v>113.73553518580952</v>
      </c>
      <c r="CD60">
        <v>1.85377238770398</v>
      </c>
      <c r="CE60">
        <v>0.54520669196328497</v>
      </c>
      <c r="CF60">
        <v>1.0411918783659599</v>
      </c>
      <c r="CG60">
        <v>0.25811002724854298</v>
      </c>
      <c r="CH60">
        <v>0.11890714073594</v>
      </c>
    </row>
    <row r="61" spans="1:101" x14ac:dyDescent="0.25">
      <c r="A61" s="6">
        <v>60</v>
      </c>
      <c r="B61" s="6">
        <v>1</v>
      </c>
      <c r="C61" t="s">
        <v>141</v>
      </c>
      <c r="D61" t="s">
        <v>171</v>
      </c>
      <c r="E61" t="s">
        <v>158</v>
      </c>
      <c r="F61">
        <v>3422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3422</v>
      </c>
      <c r="P61">
        <v>1194.85142522513</v>
      </c>
      <c r="Q61">
        <v>-1</v>
      </c>
      <c r="R61">
        <v>-1</v>
      </c>
      <c r="S61">
        <v>-1</v>
      </c>
      <c r="T61">
        <v>0.88</v>
      </c>
      <c r="U61">
        <v>0.64400000000000002</v>
      </c>
      <c r="V61">
        <v>0.68400000000000005</v>
      </c>
      <c r="W61">
        <v>1.52</v>
      </c>
      <c r="X61">
        <v>0.76300000000000001</v>
      </c>
      <c r="Y61">
        <v>0.95499999999999996</v>
      </c>
      <c r="Z61">
        <v>0.63100000000000001</v>
      </c>
      <c r="AA61">
        <v>1.2889999999999999</v>
      </c>
      <c r="AB61">
        <v>0.88400000000000001</v>
      </c>
      <c r="AC61">
        <v>1.133</v>
      </c>
      <c r="AD61">
        <v>0.79200000000000004</v>
      </c>
      <c r="AE61">
        <v>0.68899999999999995</v>
      </c>
      <c r="AF61">
        <v>0.749</v>
      </c>
      <c r="AG61">
        <v>0.76900000000000002</v>
      </c>
      <c r="AH61">
        <v>0.78900000000000003</v>
      </c>
      <c r="AI61">
        <v>1.2150000000000001</v>
      </c>
      <c r="AJ61">
        <v>1.0740000000000001</v>
      </c>
      <c r="AK61">
        <v>1.145</v>
      </c>
      <c r="AL61">
        <v>1.157</v>
      </c>
      <c r="AM61">
        <v>1.1739999999999999</v>
      </c>
      <c r="AN61" t="s">
        <v>159</v>
      </c>
      <c r="AO61" t="s">
        <v>159</v>
      </c>
      <c r="AP61" t="s">
        <v>159</v>
      </c>
      <c r="AQ61" t="s">
        <v>159</v>
      </c>
      <c r="AR61" t="s">
        <v>159</v>
      </c>
      <c r="AS61" t="s">
        <v>159</v>
      </c>
      <c r="AT61" t="s">
        <v>159</v>
      </c>
      <c r="AU61" t="s">
        <v>159</v>
      </c>
      <c r="AV61" t="s">
        <v>159</v>
      </c>
      <c r="AW61" t="s">
        <v>159</v>
      </c>
      <c r="AX61" t="s">
        <v>159</v>
      </c>
      <c r="AY61" t="s">
        <v>159</v>
      </c>
      <c r="AZ61" t="s">
        <v>159</v>
      </c>
      <c r="BA61" t="s">
        <v>159</v>
      </c>
      <c r="BB61" t="s">
        <v>159</v>
      </c>
      <c r="BC61" t="s">
        <v>159</v>
      </c>
      <c r="BD61" t="s">
        <v>159</v>
      </c>
      <c r="BE61" t="s">
        <v>159</v>
      </c>
      <c r="BF61" t="s">
        <v>159</v>
      </c>
      <c r="BG61" t="s">
        <v>159</v>
      </c>
      <c r="CB61">
        <v>1.6684511691869015</v>
      </c>
      <c r="CC61">
        <v>1993.5512574215038</v>
      </c>
      <c r="CD61">
        <v>1.1129971959192699</v>
      </c>
      <c r="CE61">
        <v>0.43895054431331698</v>
      </c>
      <c r="CF61">
        <v>0.52529454435217504</v>
      </c>
      <c r="CG61">
        <v>5.6732196601630296</v>
      </c>
      <c r="CH61">
        <v>0.72754327429461396</v>
      </c>
      <c r="CI61">
        <v>1.42018772455428</v>
      </c>
      <c r="CJ61">
        <v>0.41306956539432599</v>
      </c>
      <c r="CK61">
        <v>3.4712780400138299</v>
      </c>
      <c r="CL61">
        <v>1.12814119181714</v>
      </c>
      <c r="CM61">
        <v>2.3634196311292901</v>
      </c>
      <c r="CN61">
        <v>0.81308649615430095</v>
      </c>
      <c r="CO61">
        <v>0.53682037172033803</v>
      </c>
      <c r="CP61">
        <v>0.68848030940738303</v>
      </c>
      <c r="CQ61">
        <v>0.74472545727896899</v>
      </c>
      <c r="CR61">
        <v>0.80394284933522897</v>
      </c>
      <c r="CS61">
        <v>2.9105362682925402</v>
      </c>
      <c r="CT61">
        <v>2.0152478460147201</v>
      </c>
      <c r="CU61">
        <v>2.4387992762300201</v>
      </c>
      <c r="CV61">
        <v>2.5157594739275102</v>
      </c>
      <c r="CW61">
        <v>2.6275236634257499</v>
      </c>
    </row>
    <row r="62" spans="1:101" x14ac:dyDescent="0.25">
      <c r="A62" s="6">
        <v>61</v>
      </c>
      <c r="B62" s="6">
        <v>1</v>
      </c>
      <c r="C62" t="s">
        <v>141</v>
      </c>
      <c r="D62" t="s">
        <v>157</v>
      </c>
      <c r="E62" t="s">
        <v>158</v>
      </c>
      <c r="F62">
        <v>7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7</v>
      </c>
      <c r="P62">
        <v>2.4441729914015</v>
      </c>
      <c r="Q62">
        <v>-1</v>
      </c>
      <c r="R62">
        <v>-1</v>
      </c>
      <c r="S62">
        <v>-1</v>
      </c>
      <c r="T62">
        <v>1.859</v>
      </c>
      <c r="U62">
        <v>2.528</v>
      </c>
      <c r="V62">
        <v>2.6120000000000001</v>
      </c>
      <c r="W62">
        <v>1.923</v>
      </c>
      <c r="X62">
        <v>2.492</v>
      </c>
      <c r="Y62">
        <v>1.6559999999999999</v>
      </c>
      <c r="Z62">
        <v>1.6459999999999999</v>
      </c>
      <c r="AN62" t="s">
        <v>159</v>
      </c>
      <c r="AO62" t="s">
        <v>159</v>
      </c>
      <c r="AP62" t="s">
        <v>159</v>
      </c>
      <c r="AQ62" t="s">
        <v>159</v>
      </c>
      <c r="AR62" t="s">
        <v>159</v>
      </c>
      <c r="AS62" t="s">
        <v>159</v>
      </c>
      <c r="AT62" t="s">
        <v>159</v>
      </c>
      <c r="CB62">
        <v>83.291666415064356</v>
      </c>
      <c r="CC62">
        <v>203.57924146052369</v>
      </c>
      <c r="CD62">
        <v>61.922332693167803</v>
      </c>
      <c r="CE62">
        <v>117.72195323463301</v>
      </c>
      <c r="CF62">
        <v>126.045491047995</v>
      </c>
      <c r="CG62">
        <v>66.461492195375698</v>
      </c>
      <c r="CH62">
        <v>114.245415943173</v>
      </c>
      <c r="CI62">
        <v>48.628343814269201</v>
      </c>
      <c r="CJ62">
        <v>48.016635976836803</v>
      </c>
    </row>
    <row r="63" spans="1:101" x14ac:dyDescent="0.25">
      <c r="A63" s="6">
        <v>62</v>
      </c>
      <c r="B63" s="6">
        <v>1</v>
      </c>
      <c r="C63" t="s">
        <v>141</v>
      </c>
      <c r="D63" t="s">
        <v>172</v>
      </c>
      <c r="E63" t="s">
        <v>158</v>
      </c>
      <c r="F63">
        <v>-1</v>
      </c>
      <c r="G63">
        <v>51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13056</v>
      </c>
      <c r="P63">
        <v>4558.7317965339898</v>
      </c>
      <c r="Q63">
        <v>-1</v>
      </c>
      <c r="R63">
        <v>-1</v>
      </c>
      <c r="S63">
        <v>-1</v>
      </c>
      <c r="T63">
        <v>0.47199999999999998</v>
      </c>
      <c r="U63">
        <v>0.41299999999999998</v>
      </c>
      <c r="V63">
        <v>0.28699999999999998</v>
      </c>
      <c r="W63">
        <v>0.49299999999999999</v>
      </c>
      <c r="X63">
        <v>0.432</v>
      </c>
      <c r="Y63">
        <v>0.47399999999999998</v>
      </c>
      <c r="Z63">
        <v>0.245</v>
      </c>
      <c r="AA63">
        <v>0.32800000000000001</v>
      </c>
      <c r="AB63">
        <v>0.34599999999999997</v>
      </c>
      <c r="AC63">
        <v>0.29399999999999998</v>
      </c>
      <c r="AD63">
        <v>0.27500000000000002</v>
      </c>
      <c r="AE63">
        <v>0.36399999999999999</v>
      </c>
      <c r="AF63">
        <v>0.30299999999999999</v>
      </c>
      <c r="AG63">
        <v>0.41</v>
      </c>
      <c r="AH63">
        <v>0.42599999999999999</v>
      </c>
      <c r="AI63">
        <v>0.49099999999999999</v>
      </c>
      <c r="AJ63">
        <v>0.38800000000000001</v>
      </c>
      <c r="AK63">
        <v>0.45600000000000002</v>
      </c>
      <c r="AL63">
        <v>0.41499999999999998</v>
      </c>
      <c r="AM63">
        <v>0.42799999999999999</v>
      </c>
      <c r="AN63" t="s">
        <v>159</v>
      </c>
      <c r="AO63" t="s">
        <v>159</v>
      </c>
      <c r="AP63" t="s">
        <v>159</v>
      </c>
      <c r="AQ63" t="s">
        <v>159</v>
      </c>
      <c r="AR63" t="s">
        <v>159</v>
      </c>
      <c r="AS63" t="s">
        <v>159</v>
      </c>
      <c r="AT63" t="s">
        <v>159</v>
      </c>
      <c r="AU63" t="s">
        <v>159</v>
      </c>
      <c r="AV63" t="s">
        <v>159</v>
      </c>
      <c r="AW63" t="s">
        <v>159</v>
      </c>
      <c r="AX63" t="s">
        <v>159</v>
      </c>
      <c r="AY63" t="s">
        <v>159</v>
      </c>
      <c r="AZ63" t="s">
        <v>159</v>
      </c>
      <c r="BA63" t="s">
        <v>159</v>
      </c>
      <c r="BB63" t="s">
        <v>159</v>
      </c>
      <c r="BC63" t="s">
        <v>159</v>
      </c>
      <c r="BD63" t="s">
        <v>159</v>
      </c>
      <c r="BE63" t="s">
        <v>159</v>
      </c>
      <c r="BF63" t="s">
        <v>159</v>
      </c>
      <c r="BG63" t="s">
        <v>159</v>
      </c>
      <c r="CB63">
        <v>1.4619302731189332</v>
      </c>
      <c r="CC63">
        <v>6664.5480203829011</v>
      </c>
      <c r="CD63">
        <v>2.2536158656852101</v>
      </c>
      <c r="CE63">
        <v>1.60753436427573</v>
      </c>
      <c r="CF63">
        <v>0.64010000952546497</v>
      </c>
      <c r="CG63">
        <v>2.5159924914243601</v>
      </c>
      <c r="CH63">
        <v>1.8012770443528101</v>
      </c>
      <c r="CI63">
        <v>2.2778537640162702</v>
      </c>
      <c r="CJ63">
        <v>0.428940277450781</v>
      </c>
      <c r="CK63">
        <v>0.89736155515516403</v>
      </c>
      <c r="CL63">
        <v>1.0272334781416199</v>
      </c>
      <c r="CM63">
        <v>0.68033902120397705</v>
      </c>
      <c r="CN63">
        <v>0.57453746032460995</v>
      </c>
      <c r="CO63">
        <v>1.16786632408174</v>
      </c>
      <c r="CP63">
        <v>0.734271184165047</v>
      </c>
      <c r="CQ63">
        <v>1.5781554971349001</v>
      </c>
      <c r="CR63">
        <v>1.7386530256291399</v>
      </c>
      <c r="CS63">
        <v>2.4902492042461999</v>
      </c>
      <c r="CT63">
        <v>1.3726218271622199</v>
      </c>
      <c r="CU63">
        <v>2.0653215988863498</v>
      </c>
      <c r="CV63">
        <v>1.62730260477958</v>
      </c>
      <c r="CW63">
        <v>1.7593788647374899</v>
      </c>
    </row>
    <row r="64" spans="1:101" x14ac:dyDescent="0.25">
      <c r="A64" s="6">
        <v>63</v>
      </c>
      <c r="B64" s="6">
        <v>1</v>
      </c>
      <c r="C64" t="s">
        <v>141</v>
      </c>
      <c r="D64" t="s">
        <v>167</v>
      </c>
      <c r="E64" t="s">
        <v>168</v>
      </c>
      <c r="F64">
        <v>-1</v>
      </c>
      <c r="G64">
        <v>1</v>
      </c>
      <c r="H64">
        <v>-1</v>
      </c>
      <c r="I64">
        <v>-1</v>
      </c>
      <c r="J64">
        <v>-1</v>
      </c>
      <c r="K64">
        <v>3</v>
      </c>
      <c r="L64">
        <v>-1</v>
      </c>
      <c r="M64">
        <v>-1</v>
      </c>
      <c r="N64">
        <v>-1</v>
      </c>
      <c r="O64">
        <v>341.33333333333297</v>
      </c>
      <c r="P64">
        <v>119.18253062834</v>
      </c>
      <c r="Q64">
        <v>-1</v>
      </c>
      <c r="R64">
        <v>-1</v>
      </c>
      <c r="S64">
        <v>-1</v>
      </c>
      <c r="T64">
        <v>0.625</v>
      </c>
      <c r="U64">
        <v>0.64900000000000002</v>
      </c>
      <c r="V64">
        <v>0.41499999999999998</v>
      </c>
      <c r="AN64" t="s">
        <v>169</v>
      </c>
      <c r="AO64" t="s">
        <v>169</v>
      </c>
      <c r="AP64" t="s">
        <v>169</v>
      </c>
      <c r="CB64">
        <v>1.1849143073354114</v>
      </c>
      <c r="CC64">
        <v>141.22108572596093</v>
      </c>
      <c r="CD64">
        <v>1.45163513480174</v>
      </c>
      <c r="CE64">
        <v>1.6004495582718401</v>
      </c>
      <c r="CF64">
        <v>0.50265822893265399</v>
      </c>
    </row>
    <row r="65" spans="1:101" x14ac:dyDescent="0.25">
      <c r="A65" s="6">
        <v>64</v>
      </c>
      <c r="B65" s="6">
        <v>1</v>
      </c>
      <c r="C65" t="s">
        <v>141</v>
      </c>
      <c r="D65" t="s">
        <v>164</v>
      </c>
      <c r="E65" t="s">
        <v>158</v>
      </c>
      <c r="F65">
        <v>-1</v>
      </c>
      <c r="G65">
        <v>4</v>
      </c>
      <c r="H65">
        <v>-1</v>
      </c>
      <c r="I65">
        <v>-1</v>
      </c>
      <c r="J65">
        <v>-1</v>
      </c>
      <c r="K65">
        <v>7</v>
      </c>
      <c r="L65">
        <v>-1</v>
      </c>
      <c r="M65">
        <v>-1</v>
      </c>
      <c r="N65">
        <v>-1</v>
      </c>
      <c r="O65">
        <v>938.66666666666697</v>
      </c>
      <c r="P65">
        <v>327.75195922793398</v>
      </c>
      <c r="Q65">
        <v>-1</v>
      </c>
      <c r="R65">
        <v>-1</v>
      </c>
      <c r="S65">
        <v>-1</v>
      </c>
      <c r="T65">
        <v>0.318</v>
      </c>
      <c r="U65">
        <v>0.373</v>
      </c>
      <c r="V65">
        <v>0.36399999999999999</v>
      </c>
      <c r="W65">
        <v>0.51900000000000002</v>
      </c>
      <c r="X65">
        <v>0.3</v>
      </c>
      <c r="Y65">
        <v>0.34</v>
      </c>
      <c r="Z65">
        <v>0.41399999999999998</v>
      </c>
      <c r="AA65">
        <v>0.45400000000000001</v>
      </c>
      <c r="AB65">
        <v>0.56599999999999995</v>
      </c>
      <c r="AC65">
        <v>0.41299999999999998</v>
      </c>
      <c r="AD65">
        <v>0.46400000000000002</v>
      </c>
      <c r="AN65" t="s">
        <v>159</v>
      </c>
      <c r="AO65" t="s">
        <v>159</v>
      </c>
      <c r="AP65" t="s">
        <v>159</v>
      </c>
      <c r="AQ65" t="s">
        <v>159</v>
      </c>
      <c r="AR65" t="s">
        <v>159</v>
      </c>
      <c r="AS65" t="s">
        <v>159</v>
      </c>
      <c r="AT65" t="s">
        <v>159</v>
      </c>
      <c r="AU65" t="s">
        <v>159</v>
      </c>
      <c r="AV65" t="s">
        <v>159</v>
      </c>
      <c r="AW65" t="s">
        <v>159</v>
      </c>
      <c r="AX65" t="s">
        <v>159</v>
      </c>
      <c r="CB65">
        <v>1.7088885108851117</v>
      </c>
      <c r="CC65">
        <v>560.09155754470191</v>
      </c>
      <c r="CD65">
        <v>0.82974997592986099</v>
      </c>
      <c r="CE65">
        <v>1.2423099951345</v>
      </c>
      <c r="CF65">
        <v>1.16786632408174</v>
      </c>
      <c r="CG65">
        <v>2.8653656500994602</v>
      </c>
      <c r="CH65">
        <v>0.716017124831829</v>
      </c>
      <c r="CI65">
        <v>0.98276186324897996</v>
      </c>
      <c r="CJ65">
        <v>1.6174002204090201</v>
      </c>
      <c r="CK65">
        <v>2.0424806115949701</v>
      </c>
      <c r="CL65">
        <v>3.5680604685197599</v>
      </c>
      <c r="CM65">
        <v>1.60753436427573</v>
      </c>
      <c r="CN65">
        <v>2.1582270216103798</v>
      </c>
    </row>
    <row r="66" spans="1:101" x14ac:dyDescent="0.25">
      <c r="A66" s="6">
        <v>65</v>
      </c>
      <c r="B66" s="6">
        <v>1</v>
      </c>
      <c r="C66" t="s">
        <v>143</v>
      </c>
      <c r="D66" t="s">
        <v>181</v>
      </c>
      <c r="E66" t="s">
        <v>154</v>
      </c>
      <c r="F66">
        <v>-1</v>
      </c>
      <c r="G66">
        <v>0</v>
      </c>
      <c r="H66">
        <v>4</v>
      </c>
      <c r="I66">
        <v>-1</v>
      </c>
      <c r="J66">
        <v>-1</v>
      </c>
      <c r="K66">
        <v>0</v>
      </c>
      <c r="L66">
        <v>2</v>
      </c>
      <c r="M66">
        <v>-1</v>
      </c>
      <c r="N66">
        <v>-1</v>
      </c>
      <c r="O66">
        <v>128</v>
      </c>
      <c r="P66">
        <v>44.259532005184397</v>
      </c>
      <c r="Q66">
        <v>-1</v>
      </c>
      <c r="R66">
        <v>-1</v>
      </c>
      <c r="S66">
        <v>-1</v>
      </c>
      <c r="T66">
        <v>1.145</v>
      </c>
      <c r="U66">
        <v>1.1080000000000001</v>
      </c>
      <c r="V66">
        <v>1.139</v>
      </c>
      <c r="W66">
        <v>1.149</v>
      </c>
      <c r="X66">
        <v>1.115</v>
      </c>
      <c r="Y66">
        <v>1.1240000000000001</v>
      </c>
      <c r="AN66" t="s">
        <v>156</v>
      </c>
      <c r="AO66" t="s">
        <v>156</v>
      </c>
      <c r="AP66" t="s">
        <v>156</v>
      </c>
      <c r="AQ66" t="s">
        <v>156</v>
      </c>
      <c r="AR66" t="s">
        <v>156</v>
      </c>
      <c r="AS66" t="s">
        <v>156</v>
      </c>
      <c r="CB66">
        <v>6.7323409793079181</v>
      </c>
      <c r="CC66">
        <v>297.97026104349328</v>
      </c>
      <c r="CD66">
        <v>6.9636099429390699</v>
      </c>
      <c r="CE66">
        <v>6.3956723335760799</v>
      </c>
      <c r="CF66">
        <v>6.86949278278757</v>
      </c>
      <c r="CG66">
        <v>7.0267920379897904</v>
      </c>
      <c r="CH66">
        <v>6.5008498123821097</v>
      </c>
      <c r="CI66">
        <v>6.6376289661728904</v>
      </c>
    </row>
    <row r="67" spans="1:101" x14ac:dyDescent="0.25">
      <c r="A67" s="6">
        <v>66</v>
      </c>
      <c r="B67" s="6">
        <v>1</v>
      </c>
      <c r="C67" t="s">
        <v>143</v>
      </c>
      <c r="D67" t="s">
        <v>175</v>
      </c>
      <c r="E67" t="s">
        <v>168</v>
      </c>
      <c r="F67">
        <v>-1</v>
      </c>
      <c r="G67">
        <v>9</v>
      </c>
      <c r="H67">
        <v>-1</v>
      </c>
      <c r="I67">
        <v>-1</v>
      </c>
      <c r="J67">
        <v>-1</v>
      </c>
      <c r="K67">
        <v>14</v>
      </c>
      <c r="L67">
        <v>-1</v>
      </c>
      <c r="M67">
        <v>-1</v>
      </c>
      <c r="N67">
        <v>-1</v>
      </c>
      <c r="O67">
        <v>490.66666666666703</v>
      </c>
      <c r="P67">
        <v>169.66153935320699</v>
      </c>
      <c r="Q67">
        <v>-1</v>
      </c>
      <c r="R67">
        <v>-1</v>
      </c>
      <c r="S67">
        <v>-1</v>
      </c>
      <c r="T67">
        <v>0.52300000000000002</v>
      </c>
      <c r="U67">
        <v>0.61499999999999999</v>
      </c>
      <c r="V67">
        <v>0.88200000000000001</v>
      </c>
      <c r="W67">
        <v>0.36</v>
      </c>
      <c r="X67">
        <v>0.60099999999999998</v>
      </c>
      <c r="Y67">
        <v>0.82199999999999995</v>
      </c>
      <c r="Z67">
        <v>0.442</v>
      </c>
      <c r="AA67">
        <v>0.69899999999999995</v>
      </c>
      <c r="AB67">
        <v>0.59899999999999998</v>
      </c>
      <c r="AC67">
        <v>0.55300000000000005</v>
      </c>
      <c r="AD67">
        <v>0.42499999999999999</v>
      </c>
      <c r="AE67">
        <v>0.55000000000000004</v>
      </c>
      <c r="AF67">
        <v>0.55200000000000005</v>
      </c>
      <c r="AG67">
        <v>0.60699999999999998</v>
      </c>
      <c r="AH67">
        <v>0.54200000000000004</v>
      </c>
      <c r="AI67">
        <v>0.55400000000000005</v>
      </c>
      <c r="AJ67">
        <v>0.50600000000000001</v>
      </c>
      <c r="AK67">
        <v>0.46600000000000003</v>
      </c>
      <c r="AL67">
        <v>0.57399999999999995</v>
      </c>
      <c r="AM67">
        <v>0.57199999999999995</v>
      </c>
      <c r="AN67" t="s">
        <v>169</v>
      </c>
      <c r="AO67" t="s">
        <v>169</v>
      </c>
      <c r="AP67" t="s">
        <v>169</v>
      </c>
      <c r="AQ67" t="s">
        <v>169</v>
      </c>
      <c r="AR67" t="s">
        <v>169</v>
      </c>
      <c r="AS67" t="s">
        <v>169</v>
      </c>
      <c r="AT67" t="s">
        <v>169</v>
      </c>
      <c r="AU67" t="s">
        <v>169</v>
      </c>
      <c r="AV67" t="s">
        <v>169</v>
      </c>
      <c r="AW67" t="s">
        <v>169</v>
      </c>
      <c r="AX67" t="s">
        <v>169</v>
      </c>
      <c r="AY67" t="s">
        <v>169</v>
      </c>
      <c r="AZ67" t="s">
        <v>169</v>
      </c>
      <c r="BA67" t="s">
        <v>169</v>
      </c>
      <c r="BB67" t="s">
        <v>169</v>
      </c>
      <c r="BC67" t="s">
        <v>169</v>
      </c>
      <c r="BD67" t="s">
        <v>169</v>
      </c>
      <c r="BE67" t="s">
        <v>169</v>
      </c>
      <c r="BF67" t="s">
        <v>169</v>
      </c>
      <c r="BG67" t="s">
        <v>169</v>
      </c>
      <c r="CB67">
        <v>1.2613934763730348</v>
      </c>
      <c r="CC67">
        <v>214.0099589315422</v>
      </c>
      <c r="CD67">
        <v>0.91505584696423203</v>
      </c>
      <c r="CE67">
        <v>1.39224214434552</v>
      </c>
      <c r="CF67">
        <v>3.5423532015269599</v>
      </c>
      <c r="CG67">
        <v>0.34781771945420698</v>
      </c>
      <c r="CH67">
        <v>1.3116353374643199</v>
      </c>
      <c r="CI67">
        <v>2.9515234200481499</v>
      </c>
      <c r="CJ67">
        <v>0.59179583435430505</v>
      </c>
      <c r="CK67">
        <v>1.93965330787029</v>
      </c>
      <c r="CL67">
        <v>1.3003602826293501</v>
      </c>
      <c r="CM67">
        <v>1.0572709908590201</v>
      </c>
      <c r="CN67">
        <v>0.53463274537461503</v>
      </c>
      <c r="CO67">
        <v>1.0424796645179299</v>
      </c>
      <c r="CP67">
        <v>1.0523263315370399</v>
      </c>
      <c r="CQ67">
        <v>1.3458198702219399</v>
      </c>
      <c r="CR67">
        <v>1.00365945066396</v>
      </c>
      <c r="CS67">
        <v>1.0622298876540099</v>
      </c>
      <c r="CT67">
        <v>0.83999763795320703</v>
      </c>
      <c r="CU67">
        <v>0.67865296439029199</v>
      </c>
      <c r="CV67">
        <v>1.1644209955027001</v>
      </c>
      <c r="CW67">
        <v>1.1539418941286499</v>
      </c>
    </row>
    <row r="68" spans="1:101" x14ac:dyDescent="0.25">
      <c r="A68" s="6">
        <v>67</v>
      </c>
      <c r="B68" s="6">
        <v>1</v>
      </c>
      <c r="C68" t="s">
        <v>143</v>
      </c>
      <c r="D68" t="s">
        <v>160</v>
      </c>
      <c r="E68" t="s">
        <v>154</v>
      </c>
      <c r="F68">
        <v>-1</v>
      </c>
      <c r="G68">
        <v>1</v>
      </c>
      <c r="H68">
        <v>0</v>
      </c>
      <c r="I68">
        <v>-1</v>
      </c>
      <c r="J68">
        <v>-1</v>
      </c>
      <c r="K68">
        <v>0</v>
      </c>
      <c r="L68">
        <v>2</v>
      </c>
      <c r="M68">
        <v>1</v>
      </c>
      <c r="N68">
        <v>2</v>
      </c>
      <c r="O68">
        <v>54.857142857142897</v>
      </c>
      <c r="P68">
        <v>18.9683708593647</v>
      </c>
      <c r="Q68">
        <v>-1</v>
      </c>
      <c r="R68">
        <v>-1</v>
      </c>
      <c r="S68">
        <v>-1</v>
      </c>
      <c r="T68">
        <v>2.04</v>
      </c>
      <c r="U68">
        <v>1.782</v>
      </c>
      <c r="V68">
        <v>1.59</v>
      </c>
      <c r="W68">
        <v>1.752</v>
      </c>
      <c r="X68">
        <v>1.3660000000000001</v>
      </c>
      <c r="Y68">
        <v>1.544</v>
      </c>
      <c r="AN68" t="s">
        <v>155</v>
      </c>
      <c r="AO68" t="s">
        <v>156</v>
      </c>
      <c r="AP68" t="s">
        <v>156</v>
      </c>
      <c r="AQ68" t="s">
        <v>155</v>
      </c>
      <c r="AR68" t="s">
        <v>156</v>
      </c>
      <c r="AS68" t="s">
        <v>156</v>
      </c>
      <c r="CB68">
        <v>19.388846757203932</v>
      </c>
      <c r="CC68">
        <v>367.77483582603486</v>
      </c>
      <c r="CD68">
        <v>31.079237829778702</v>
      </c>
      <c r="CE68">
        <v>21.896725218423899</v>
      </c>
      <c r="CF68">
        <v>16.298467777945</v>
      </c>
      <c r="CG68">
        <v>20.954704939641399</v>
      </c>
      <c r="CH68">
        <v>10.9988058891599</v>
      </c>
      <c r="CI68">
        <v>15.1051388882747</v>
      </c>
    </row>
    <row r="69" spans="1:101" x14ac:dyDescent="0.25">
      <c r="A69" s="6">
        <v>68</v>
      </c>
      <c r="B69" s="6">
        <v>1</v>
      </c>
      <c r="C69" t="s">
        <v>143</v>
      </c>
      <c r="D69" t="s">
        <v>164</v>
      </c>
      <c r="E69" t="s">
        <v>158</v>
      </c>
      <c r="F69">
        <v>-1</v>
      </c>
      <c r="G69">
        <v>1</v>
      </c>
      <c r="H69">
        <v>-1</v>
      </c>
      <c r="I69">
        <v>-1</v>
      </c>
      <c r="J69">
        <v>-1</v>
      </c>
      <c r="K69">
        <v>0</v>
      </c>
      <c r="L69">
        <v>-1</v>
      </c>
      <c r="M69">
        <v>-1</v>
      </c>
      <c r="N69">
        <v>-1</v>
      </c>
      <c r="O69">
        <v>21.3333333333333</v>
      </c>
      <c r="P69">
        <v>7.3765886675307302</v>
      </c>
      <c r="Q69">
        <v>-1</v>
      </c>
      <c r="R69">
        <v>-1</v>
      </c>
      <c r="S69">
        <v>-1</v>
      </c>
      <c r="T69">
        <v>0.438</v>
      </c>
      <c r="AN69" t="s">
        <v>159</v>
      </c>
      <c r="CB69">
        <v>1.8652460737612799</v>
      </c>
      <c r="CC69">
        <v>13.759153049863645</v>
      </c>
      <c r="CD69">
        <v>1.8652460737612799</v>
      </c>
    </row>
    <row r="70" spans="1:101" x14ac:dyDescent="0.25">
      <c r="A70" s="6">
        <v>69</v>
      </c>
      <c r="B70" s="6">
        <v>1</v>
      </c>
      <c r="C70" t="s">
        <v>143</v>
      </c>
      <c r="D70" t="s">
        <v>177</v>
      </c>
      <c r="E70" t="s">
        <v>168</v>
      </c>
      <c r="F70">
        <v>-1</v>
      </c>
      <c r="G70">
        <v>1</v>
      </c>
      <c r="H70">
        <v>-1</v>
      </c>
      <c r="I70">
        <v>-1</v>
      </c>
      <c r="J70">
        <v>-1</v>
      </c>
      <c r="K70">
        <v>0</v>
      </c>
      <c r="L70">
        <v>-1</v>
      </c>
      <c r="M70">
        <v>-1</v>
      </c>
      <c r="N70">
        <v>-1</v>
      </c>
      <c r="O70">
        <v>21.3333333333333</v>
      </c>
      <c r="P70">
        <v>7.3765886675307302</v>
      </c>
      <c r="Q70">
        <v>-1</v>
      </c>
      <c r="R70">
        <v>-1</v>
      </c>
      <c r="S70">
        <v>-1</v>
      </c>
      <c r="T70">
        <v>0.45200000000000001</v>
      </c>
      <c r="AN70" t="s">
        <v>169</v>
      </c>
      <c r="CB70">
        <v>0.62709995900955096</v>
      </c>
      <c r="CC70">
        <v>4.6258584510388392</v>
      </c>
      <c r="CD70">
        <v>0.62709995900955096</v>
      </c>
    </row>
    <row r="71" spans="1:101" x14ac:dyDescent="0.25">
      <c r="A71" s="6">
        <v>70</v>
      </c>
      <c r="B71" s="6">
        <v>1</v>
      </c>
      <c r="C71" t="s">
        <v>143</v>
      </c>
      <c r="D71" t="s">
        <v>161</v>
      </c>
      <c r="E71" t="s">
        <v>154</v>
      </c>
      <c r="F71">
        <v>-1</v>
      </c>
      <c r="G71">
        <v>21</v>
      </c>
      <c r="H71">
        <v>35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3584</v>
      </c>
      <c r="P71">
        <v>1239.26689614516</v>
      </c>
      <c r="Q71">
        <v>-1</v>
      </c>
      <c r="R71">
        <v>-1</v>
      </c>
      <c r="S71">
        <v>-1</v>
      </c>
      <c r="T71">
        <v>0.95</v>
      </c>
      <c r="U71">
        <v>0.94699999999999995</v>
      </c>
      <c r="V71">
        <v>0.90200000000000002</v>
      </c>
      <c r="W71">
        <v>0.75800000000000001</v>
      </c>
      <c r="X71">
        <v>0.85199999999999998</v>
      </c>
      <c r="Y71">
        <v>0.873</v>
      </c>
      <c r="Z71">
        <v>1.0529999999999999</v>
      </c>
      <c r="AA71">
        <v>0.93400000000000005</v>
      </c>
      <c r="AB71">
        <v>0.97699999999999998</v>
      </c>
      <c r="AC71">
        <v>0.81499999999999995</v>
      </c>
      <c r="AD71">
        <v>0.94499999999999995</v>
      </c>
      <c r="AE71">
        <v>0.84399999999999997</v>
      </c>
      <c r="AF71">
        <v>0.96399999999999997</v>
      </c>
      <c r="AG71">
        <v>0.94499999999999995</v>
      </c>
      <c r="AH71">
        <v>0.96299999999999997</v>
      </c>
      <c r="AI71">
        <v>0.91700000000000004</v>
      </c>
      <c r="AJ71">
        <v>0.81200000000000006</v>
      </c>
      <c r="AK71">
        <v>0.92400000000000004</v>
      </c>
      <c r="AL71">
        <v>0.91100000000000003</v>
      </c>
      <c r="AM71">
        <v>0.95399999999999996</v>
      </c>
      <c r="AN71" t="s">
        <v>156</v>
      </c>
      <c r="AO71" t="s">
        <v>156</v>
      </c>
      <c r="AP71" t="s">
        <v>156</v>
      </c>
      <c r="AQ71" t="s">
        <v>156</v>
      </c>
      <c r="AR71" t="s">
        <v>156</v>
      </c>
      <c r="AS71" t="s">
        <v>156</v>
      </c>
      <c r="AT71" t="s">
        <v>155</v>
      </c>
      <c r="AU71" t="s">
        <v>155</v>
      </c>
      <c r="AV71" t="s">
        <v>155</v>
      </c>
      <c r="AW71" t="s">
        <v>156</v>
      </c>
      <c r="AX71" t="s">
        <v>155</v>
      </c>
      <c r="AY71" t="s">
        <v>156</v>
      </c>
      <c r="AZ71" t="s">
        <v>155</v>
      </c>
      <c r="BA71" t="s">
        <v>155</v>
      </c>
      <c r="BB71" t="s">
        <v>156</v>
      </c>
      <c r="BC71" t="s">
        <v>156</v>
      </c>
      <c r="BD71" t="s">
        <v>156</v>
      </c>
      <c r="BE71" t="s">
        <v>156</v>
      </c>
      <c r="BF71" t="s">
        <v>156</v>
      </c>
      <c r="BG71" t="s">
        <v>155</v>
      </c>
      <c r="CB71">
        <v>3.9054992471935464</v>
      </c>
      <c r="CC71">
        <v>4839.9559299668053</v>
      </c>
      <c r="CD71">
        <v>4.2937065927586904</v>
      </c>
      <c r="CE71">
        <v>4.2586767024121999</v>
      </c>
      <c r="CF71">
        <v>3.7541632884141598</v>
      </c>
      <c r="CG71">
        <v>2.3926075498500601</v>
      </c>
      <c r="CH71">
        <v>3.2386705836821301</v>
      </c>
      <c r="CI71">
        <v>3.4494918041937002</v>
      </c>
      <c r="CJ71">
        <v>5.6055432480105196</v>
      </c>
      <c r="CK71">
        <v>4.1089100654427</v>
      </c>
      <c r="CL71">
        <v>4.6169497336197898</v>
      </c>
      <c r="CM71">
        <v>2.8868647184920002</v>
      </c>
      <c r="CN71">
        <v>4.2354212405745804</v>
      </c>
      <c r="CO71">
        <v>3.1604954030863599</v>
      </c>
      <c r="CP71">
        <v>4.4595161806715797</v>
      </c>
      <c r="CQ71">
        <v>4.2354212405745804</v>
      </c>
      <c r="CR71">
        <v>4.4475445794530604</v>
      </c>
      <c r="CS71">
        <v>3.9180033736273199</v>
      </c>
      <c r="CT71">
        <v>2.85942257745999</v>
      </c>
      <c r="CU71">
        <v>3.9959369923756198</v>
      </c>
      <c r="CV71">
        <v>3.85195160918293</v>
      </c>
      <c r="CW71">
        <v>4.3406874599889598</v>
      </c>
    </row>
    <row r="72" spans="1:101" x14ac:dyDescent="0.25">
      <c r="A72" s="6">
        <v>71</v>
      </c>
      <c r="B72" s="6">
        <v>1</v>
      </c>
      <c r="C72" t="s">
        <v>143</v>
      </c>
      <c r="D72" t="s">
        <v>182</v>
      </c>
      <c r="E72" t="s">
        <v>154</v>
      </c>
      <c r="F72">
        <v>-1</v>
      </c>
      <c r="G72">
        <v>1</v>
      </c>
      <c r="H72">
        <v>1</v>
      </c>
      <c r="I72">
        <v>-1</v>
      </c>
      <c r="J72">
        <v>-1</v>
      </c>
      <c r="K72">
        <v>1</v>
      </c>
      <c r="L72">
        <v>0</v>
      </c>
      <c r="M72">
        <v>-1</v>
      </c>
      <c r="N72">
        <v>-1</v>
      </c>
      <c r="O72">
        <v>64</v>
      </c>
      <c r="P72">
        <v>22.129766002592199</v>
      </c>
      <c r="Q72">
        <v>-1</v>
      </c>
      <c r="R72">
        <v>-1</v>
      </c>
      <c r="S72">
        <v>-1</v>
      </c>
      <c r="T72">
        <v>0.56799999999999995</v>
      </c>
      <c r="U72">
        <v>0.48199999999999998</v>
      </c>
      <c r="V72">
        <v>0.46300000000000002</v>
      </c>
      <c r="AN72" t="s">
        <v>155</v>
      </c>
      <c r="AO72" t="s">
        <v>156</v>
      </c>
      <c r="AP72" t="s">
        <v>155</v>
      </c>
      <c r="CB72">
        <v>0.36475909525052569</v>
      </c>
      <c r="CC72">
        <v>8.072033425211373</v>
      </c>
      <c r="CD72">
        <v>0.55679039234622396</v>
      </c>
      <c r="CE72">
        <v>0.29015200888001202</v>
      </c>
      <c r="CF72">
        <v>0.247334884525341</v>
      </c>
    </row>
    <row r="73" spans="1:101" x14ac:dyDescent="0.25">
      <c r="A73" s="6">
        <v>72</v>
      </c>
      <c r="B73" s="6">
        <v>1</v>
      </c>
      <c r="C73" t="s">
        <v>143</v>
      </c>
      <c r="D73" t="s">
        <v>166</v>
      </c>
      <c r="E73" t="s">
        <v>154</v>
      </c>
      <c r="F73">
        <v>-1</v>
      </c>
      <c r="G73">
        <v>0</v>
      </c>
      <c r="H73">
        <v>0</v>
      </c>
      <c r="I73">
        <v>-1</v>
      </c>
      <c r="J73">
        <v>-1</v>
      </c>
      <c r="K73">
        <v>2</v>
      </c>
      <c r="L73">
        <v>0</v>
      </c>
      <c r="M73">
        <v>-1</v>
      </c>
      <c r="N73">
        <v>-1</v>
      </c>
      <c r="O73">
        <v>42.6666666666667</v>
      </c>
      <c r="P73">
        <v>14.753177335061499</v>
      </c>
      <c r="Q73">
        <v>-1</v>
      </c>
      <c r="R73">
        <v>-1</v>
      </c>
      <c r="S73">
        <v>-1</v>
      </c>
      <c r="T73">
        <v>0.98499999999999999</v>
      </c>
      <c r="U73">
        <v>0.94799999999999995</v>
      </c>
      <c r="AN73" t="s">
        <v>155</v>
      </c>
      <c r="AO73" t="s">
        <v>155</v>
      </c>
      <c r="CB73">
        <v>4.6038094819450706</v>
      </c>
      <c r="CC73">
        <v>67.920817703973242</v>
      </c>
      <c r="CD73">
        <v>4.9530267675108304</v>
      </c>
      <c r="CE73">
        <v>4.2545921963793099</v>
      </c>
    </row>
    <row r="74" spans="1:101" x14ac:dyDescent="0.25">
      <c r="A74" s="6">
        <v>73</v>
      </c>
      <c r="B74" s="6">
        <v>1</v>
      </c>
      <c r="C74" t="s">
        <v>143</v>
      </c>
      <c r="D74" t="s">
        <v>165</v>
      </c>
      <c r="E74" t="s">
        <v>158</v>
      </c>
      <c r="F74">
        <v>-1</v>
      </c>
      <c r="G74">
        <v>128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8192</v>
      </c>
      <c r="P74">
        <v>2832.6100483318</v>
      </c>
      <c r="Q74">
        <v>-1</v>
      </c>
      <c r="R74">
        <v>-1</v>
      </c>
      <c r="S74">
        <v>-1</v>
      </c>
      <c r="T74">
        <v>1.248</v>
      </c>
      <c r="U74">
        <v>1.175</v>
      </c>
      <c r="V74">
        <v>1.716</v>
      </c>
      <c r="W74">
        <v>2.3260000000000001</v>
      </c>
      <c r="X74">
        <v>1.9379999999999999</v>
      </c>
      <c r="Y74">
        <v>1.764</v>
      </c>
      <c r="Z74">
        <v>1.819</v>
      </c>
      <c r="AA74">
        <v>1.827</v>
      </c>
      <c r="AB74">
        <v>1.8520000000000001</v>
      </c>
      <c r="AC74">
        <v>2.1440000000000001</v>
      </c>
      <c r="AD74">
        <v>1.7889999999999999</v>
      </c>
      <c r="AE74">
        <v>2.0939999999999999</v>
      </c>
      <c r="AF74">
        <v>1.5669999999999999</v>
      </c>
      <c r="AG74">
        <v>1.4770000000000001</v>
      </c>
      <c r="AH74">
        <v>1.782</v>
      </c>
      <c r="AI74">
        <v>1.3460000000000001</v>
      </c>
      <c r="AJ74">
        <v>1.8140000000000001</v>
      </c>
      <c r="AK74">
        <v>1.8620000000000001</v>
      </c>
      <c r="AL74">
        <v>1.621</v>
      </c>
      <c r="AM74">
        <v>1.524</v>
      </c>
      <c r="AN74" t="s">
        <v>159</v>
      </c>
      <c r="AO74" t="s">
        <v>159</v>
      </c>
      <c r="AP74" t="s">
        <v>159</v>
      </c>
      <c r="AQ74" t="s">
        <v>159</v>
      </c>
      <c r="AR74" t="s">
        <v>159</v>
      </c>
      <c r="AS74" t="s">
        <v>159</v>
      </c>
      <c r="AT74" t="s">
        <v>159</v>
      </c>
      <c r="AU74" t="s">
        <v>159</v>
      </c>
      <c r="AV74" t="s">
        <v>159</v>
      </c>
      <c r="AW74" t="s">
        <v>159</v>
      </c>
      <c r="AX74" t="s">
        <v>159</v>
      </c>
      <c r="AY74" t="s">
        <v>159</v>
      </c>
      <c r="AZ74" t="s">
        <v>159</v>
      </c>
      <c r="BA74" t="s">
        <v>159</v>
      </c>
      <c r="BB74" t="s">
        <v>159</v>
      </c>
      <c r="BC74" t="s">
        <v>159</v>
      </c>
      <c r="BD74" t="s">
        <v>159</v>
      </c>
      <c r="BE74" t="s">
        <v>159</v>
      </c>
      <c r="BF74" t="s">
        <v>159</v>
      </c>
      <c r="BG74" t="s">
        <v>159</v>
      </c>
      <c r="CB74">
        <v>2.0245216095664746</v>
      </c>
      <c r="CC74">
        <v>5734.680254322865</v>
      </c>
      <c r="CD74">
        <v>0.79415061900847395</v>
      </c>
      <c r="CE74">
        <v>0.67610016156571096</v>
      </c>
      <c r="CF74">
        <v>1.8585364494275001</v>
      </c>
      <c r="CG74">
        <v>4.1865652336102404</v>
      </c>
      <c r="CH74">
        <v>2.57184333032632</v>
      </c>
      <c r="CI74">
        <v>2.0006040635867102</v>
      </c>
      <c r="CJ74">
        <v>2.1715170436673401</v>
      </c>
      <c r="CK74">
        <v>2.19711028611417</v>
      </c>
      <c r="CL74">
        <v>2.2783023532462998</v>
      </c>
      <c r="CM74">
        <v>3.3680621839134699</v>
      </c>
      <c r="CN74">
        <v>2.0772058890738001</v>
      </c>
      <c r="CO74">
        <v>3.16240628444372</v>
      </c>
      <c r="CP74">
        <v>1.4582908688406799</v>
      </c>
      <c r="CQ74">
        <v>1.2452480157022101</v>
      </c>
      <c r="CR74">
        <v>2.0555757901570799</v>
      </c>
      <c r="CS74">
        <v>0.971762746153224</v>
      </c>
      <c r="CT74">
        <v>2.15561640836669</v>
      </c>
      <c r="CU74">
        <v>2.3112965578805702</v>
      </c>
      <c r="CV74">
        <v>1.59635907514954</v>
      </c>
      <c r="CW74">
        <v>1.3538788310957399</v>
      </c>
    </row>
    <row r="75" spans="1:101" x14ac:dyDescent="0.25">
      <c r="A75" s="6">
        <v>74</v>
      </c>
      <c r="B75" s="6">
        <v>1</v>
      </c>
      <c r="C75" t="s">
        <v>143</v>
      </c>
      <c r="D75" t="s">
        <v>157</v>
      </c>
      <c r="E75" t="s">
        <v>158</v>
      </c>
      <c r="F75">
        <v>79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79</v>
      </c>
      <c r="P75">
        <v>27.316429909449699</v>
      </c>
      <c r="Q75">
        <v>-1</v>
      </c>
      <c r="R75">
        <v>-1</v>
      </c>
      <c r="S75">
        <v>-1</v>
      </c>
      <c r="T75">
        <v>2.4319999999999999</v>
      </c>
      <c r="U75">
        <v>2.6040000000000001</v>
      </c>
      <c r="V75">
        <v>1.984</v>
      </c>
      <c r="W75">
        <v>2.3650000000000002</v>
      </c>
      <c r="X75">
        <v>2.8</v>
      </c>
      <c r="Y75">
        <v>1.6819999999999999</v>
      </c>
      <c r="Z75">
        <v>2.855</v>
      </c>
      <c r="AA75">
        <v>2.4820000000000002</v>
      </c>
      <c r="AB75">
        <v>2.6139999999999999</v>
      </c>
      <c r="AC75">
        <v>2.7090000000000001</v>
      </c>
      <c r="AD75">
        <v>2.8580000000000001</v>
      </c>
      <c r="AE75">
        <v>2.8130000000000002</v>
      </c>
      <c r="AF75">
        <v>2.9780000000000002</v>
      </c>
      <c r="AG75">
        <v>2.1480000000000001</v>
      </c>
      <c r="AH75">
        <v>2.0510000000000002</v>
      </c>
      <c r="AI75">
        <v>2.9590000000000001</v>
      </c>
      <c r="AJ75">
        <v>3.5880000000000001</v>
      </c>
      <c r="AK75">
        <v>2.629</v>
      </c>
      <c r="AL75">
        <v>3.1819999999999999</v>
      </c>
      <c r="AM75">
        <v>2.3730000000000002</v>
      </c>
      <c r="AN75" t="s">
        <v>159</v>
      </c>
      <c r="AO75" t="s">
        <v>159</v>
      </c>
      <c r="AP75" t="s">
        <v>159</v>
      </c>
      <c r="AQ75" t="s">
        <v>159</v>
      </c>
      <c r="AR75" t="s">
        <v>159</v>
      </c>
      <c r="AS75" t="s">
        <v>159</v>
      </c>
      <c r="AT75" t="s">
        <v>159</v>
      </c>
      <c r="AU75" t="s">
        <v>159</v>
      </c>
      <c r="AV75" t="s">
        <v>159</v>
      </c>
      <c r="AW75" t="s">
        <v>159</v>
      </c>
      <c r="AX75" t="s">
        <v>159</v>
      </c>
      <c r="AY75" t="s">
        <v>159</v>
      </c>
      <c r="AZ75" t="s">
        <v>159</v>
      </c>
      <c r="BA75" t="s">
        <v>159</v>
      </c>
      <c r="BB75" t="s">
        <v>159</v>
      </c>
      <c r="BC75" t="s">
        <v>159</v>
      </c>
      <c r="BD75" t="s">
        <v>159</v>
      </c>
      <c r="BE75" t="s">
        <v>159</v>
      </c>
      <c r="BF75" t="s">
        <v>159</v>
      </c>
      <c r="BG75" t="s">
        <v>159</v>
      </c>
      <c r="CB75">
        <v>129.25253023323532</v>
      </c>
      <c r="CC75">
        <v>3530.7176827352009</v>
      </c>
      <c r="CD75">
        <v>108.571852082486</v>
      </c>
      <c r="CE75">
        <v>125.239992163184</v>
      </c>
      <c r="CF75">
        <v>70.943967017369005</v>
      </c>
      <c r="CG75">
        <v>102.414270767867</v>
      </c>
      <c r="CH75">
        <v>145.75171354589401</v>
      </c>
      <c r="CI75">
        <v>50.237695116085099</v>
      </c>
      <c r="CJ75">
        <v>151.79943638800799</v>
      </c>
      <c r="CK75">
        <v>113.28935339802</v>
      </c>
      <c r="CL75">
        <v>126.24728661577601</v>
      </c>
      <c r="CM75">
        <v>136.02671317944501</v>
      </c>
      <c r="CN75">
        <v>152.133001203997</v>
      </c>
      <c r="CO75">
        <v>147.16960492194599</v>
      </c>
      <c r="CP75">
        <v>165.78910728224599</v>
      </c>
      <c r="CQ75">
        <v>83.753896851380603</v>
      </c>
      <c r="CR75">
        <v>76.043415312800605</v>
      </c>
      <c r="CS75">
        <v>163.58608580234599</v>
      </c>
      <c r="CT75">
        <v>244.73437369111099</v>
      </c>
      <c r="CU75">
        <v>127.766120707372</v>
      </c>
      <c r="CV75">
        <v>190.41306782249401</v>
      </c>
      <c r="CW75">
        <v>103.139650794879</v>
      </c>
    </row>
    <row r="76" spans="1:101" x14ac:dyDescent="0.25">
      <c r="A76" s="6">
        <v>75</v>
      </c>
      <c r="B76" s="6">
        <v>1</v>
      </c>
      <c r="C76" t="s">
        <v>143</v>
      </c>
      <c r="D76" t="s">
        <v>174</v>
      </c>
      <c r="E76" t="s">
        <v>158</v>
      </c>
      <c r="F76">
        <v>-1</v>
      </c>
      <c r="G76">
        <v>0</v>
      </c>
      <c r="H76">
        <v>-1</v>
      </c>
      <c r="I76">
        <v>-1</v>
      </c>
      <c r="J76">
        <v>-1</v>
      </c>
      <c r="K76">
        <v>1</v>
      </c>
      <c r="L76">
        <v>-1</v>
      </c>
      <c r="M76">
        <v>-1</v>
      </c>
      <c r="N76">
        <v>-1</v>
      </c>
      <c r="O76">
        <v>21.3333333333333</v>
      </c>
      <c r="P76">
        <v>7.3765886675307302</v>
      </c>
      <c r="Q76">
        <v>-1</v>
      </c>
      <c r="R76">
        <v>-1</v>
      </c>
      <c r="S76">
        <v>-1</v>
      </c>
      <c r="T76">
        <v>0.52800000000000002</v>
      </c>
      <c r="AN76" t="s">
        <v>159</v>
      </c>
      <c r="CB76">
        <v>0.52073013543403401</v>
      </c>
      <c r="CC76">
        <v>3.8412120158844378</v>
      </c>
      <c r="CD76">
        <v>0.52073013543403401</v>
      </c>
    </row>
    <row r="77" spans="1:101" x14ac:dyDescent="0.25">
      <c r="A77" s="6">
        <v>76</v>
      </c>
      <c r="B77" s="6">
        <v>1</v>
      </c>
      <c r="C77" t="s">
        <v>143</v>
      </c>
      <c r="D77" t="s">
        <v>153</v>
      </c>
      <c r="E77" t="s">
        <v>154</v>
      </c>
      <c r="F77">
        <v>-1</v>
      </c>
      <c r="G77">
        <v>3</v>
      </c>
      <c r="H77">
        <v>5</v>
      </c>
      <c r="I77">
        <v>-1</v>
      </c>
      <c r="J77">
        <v>-1</v>
      </c>
      <c r="K77">
        <v>14</v>
      </c>
      <c r="L77">
        <v>15</v>
      </c>
      <c r="M77">
        <v>-1</v>
      </c>
      <c r="N77">
        <v>-1</v>
      </c>
      <c r="O77">
        <v>789.33333333333303</v>
      </c>
      <c r="P77">
        <v>272.93378069863701</v>
      </c>
      <c r="Q77">
        <v>-1</v>
      </c>
      <c r="R77">
        <v>-1</v>
      </c>
      <c r="S77">
        <v>-1</v>
      </c>
      <c r="T77">
        <v>1.1180000000000001</v>
      </c>
      <c r="U77">
        <v>1.1040000000000001</v>
      </c>
      <c r="V77">
        <v>1.1839999999999999</v>
      </c>
      <c r="W77">
        <v>1.377</v>
      </c>
      <c r="X77">
        <v>1.1759999999999999</v>
      </c>
      <c r="Y77">
        <v>1.3859999999999999</v>
      </c>
      <c r="Z77">
        <v>0.98799999999999999</v>
      </c>
      <c r="AA77">
        <v>1.1419999999999999</v>
      </c>
      <c r="AB77">
        <v>1.161</v>
      </c>
      <c r="AC77">
        <v>1.18</v>
      </c>
      <c r="AD77">
        <v>1.2030000000000001</v>
      </c>
      <c r="AE77">
        <v>1.1240000000000001</v>
      </c>
      <c r="AF77">
        <v>1.1459999999999999</v>
      </c>
      <c r="AG77">
        <v>1.0960000000000001</v>
      </c>
      <c r="AH77">
        <v>1.0309999999999999</v>
      </c>
      <c r="AI77">
        <v>1.2889999999999999</v>
      </c>
      <c r="AJ77">
        <v>1.2849999999999999</v>
      </c>
      <c r="AK77">
        <v>1.1379999999999999</v>
      </c>
      <c r="AL77">
        <v>1.3839999999999999</v>
      </c>
      <c r="AM77">
        <v>1.1419999999999999</v>
      </c>
      <c r="AN77" t="s">
        <v>156</v>
      </c>
      <c r="AO77" t="s">
        <v>156</v>
      </c>
      <c r="AP77" t="s">
        <v>156</v>
      </c>
      <c r="AQ77" t="s">
        <v>155</v>
      </c>
      <c r="AR77" t="s">
        <v>156</v>
      </c>
      <c r="AS77" t="s">
        <v>155</v>
      </c>
      <c r="AT77" t="s">
        <v>156</v>
      </c>
      <c r="AU77" t="s">
        <v>155</v>
      </c>
      <c r="AV77" t="s">
        <v>156</v>
      </c>
      <c r="AW77" t="s">
        <v>155</v>
      </c>
      <c r="AX77" t="s">
        <v>156</v>
      </c>
      <c r="AY77" t="s">
        <v>156</v>
      </c>
      <c r="AZ77" t="s">
        <v>156</v>
      </c>
      <c r="BA77" t="s">
        <v>155</v>
      </c>
      <c r="BB77" t="s">
        <v>155</v>
      </c>
      <c r="BC77" t="s">
        <v>155</v>
      </c>
      <c r="BD77" t="s">
        <v>155</v>
      </c>
      <c r="BE77" t="s">
        <v>156</v>
      </c>
      <c r="BF77" t="s">
        <v>155</v>
      </c>
      <c r="BG77" t="s">
        <v>156</v>
      </c>
      <c r="CB77">
        <v>7.7031668280688992</v>
      </c>
      <c r="CC77">
        <v>2102.4544457371721</v>
      </c>
      <c r="CD77">
        <v>6.5462486511235296</v>
      </c>
      <c r="CE77">
        <v>6.3360431510445698</v>
      </c>
      <c r="CF77">
        <v>7.5946739793821401</v>
      </c>
      <c r="CG77">
        <v>11.229673553059699</v>
      </c>
      <c r="CH77">
        <v>7.4624801604122801</v>
      </c>
      <c r="CI77">
        <v>11.4207596695109</v>
      </c>
      <c r="CJ77">
        <v>4.7527909532622097</v>
      </c>
      <c r="CK77">
        <v>6.9164530838994196</v>
      </c>
      <c r="CL77">
        <v>7.2184453918647797</v>
      </c>
      <c r="CM77">
        <v>7.5283989446888597</v>
      </c>
      <c r="CN77">
        <v>7.9143672881413698</v>
      </c>
      <c r="CO77">
        <v>6.6376289661728904</v>
      </c>
      <c r="CP77">
        <v>6.9793726281280604</v>
      </c>
      <c r="CQ77">
        <v>6.2178116387736697</v>
      </c>
      <c r="CR77">
        <v>5.3072331798134504</v>
      </c>
      <c r="CS77">
        <v>9.4641863325932807</v>
      </c>
      <c r="CT77">
        <v>9.3883079552064803</v>
      </c>
      <c r="CU77">
        <v>6.85388297594905</v>
      </c>
      <c r="CV77">
        <v>11.3781249744519</v>
      </c>
      <c r="CW77">
        <v>6.9164530838994196</v>
      </c>
    </row>
    <row r="78" spans="1:101" x14ac:dyDescent="0.25">
      <c r="A78" s="6">
        <v>77</v>
      </c>
      <c r="B78" s="6">
        <v>1</v>
      </c>
      <c r="C78" t="s">
        <v>143</v>
      </c>
      <c r="D78" t="s">
        <v>171</v>
      </c>
      <c r="E78" t="s">
        <v>158</v>
      </c>
      <c r="F78">
        <v>3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3</v>
      </c>
      <c r="P78">
        <v>1.0373327813715101</v>
      </c>
      <c r="Q78">
        <v>-1</v>
      </c>
      <c r="R78">
        <v>-1</v>
      </c>
      <c r="S78">
        <v>-1</v>
      </c>
      <c r="T78">
        <v>1.353</v>
      </c>
      <c r="U78">
        <v>2.2109999999999999</v>
      </c>
      <c r="V78">
        <v>1.53</v>
      </c>
      <c r="AN78" t="s">
        <v>159</v>
      </c>
      <c r="AO78" t="s">
        <v>159</v>
      </c>
      <c r="AP78" t="s">
        <v>159</v>
      </c>
      <c r="CB78">
        <v>9.0420586860628358</v>
      </c>
      <c r="CC78">
        <v>9.379623886137983</v>
      </c>
      <c r="CD78">
        <v>4.0105426669632598</v>
      </c>
      <c r="CE78">
        <v>17.3304627840885</v>
      </c>
      <c r="CF78">
        <v>5.7851706071367497</v>
      </c>
    </row>
    <row r="79" spans="1:101" x14ac:dyDescent="0.25">
      <c r="A79" s="6">
        <v>78</v>
      </c>
      <c r="B79" s="6">
        <v>1</v>
      </c>
      <c r="C79" t="s">
        <v>143</v>
      </c>
      <c r="D79" t="s">
        <v>183</v>
      </c>
      <c r="E79" t="s">
        <v>158</v>
      </c>
      <c r="F79">
        <v>-1</v>
      </c>
      <c r="G79">
        <v>2</v>
      </c>
      <c r="H79">
        <v>-1</v>
      </c>
      <c r="I79">
        <v>-1</v>
      </c>
      <c r="J79">
        <v>-1</v>
      </c>
      <c r="K79">
        <v>2</v>
      </c>
      <c r="L79">
        <v>-1</v>
      </c>
      <c r="M79">
        <v>-1</v>
      </c>
      <c r="N79">
        <v>-1</v>
      </c>
      <c r="O79">
        <v>85.3333333333333</v>
      </c>
      <c r="P79">
        <v>29.506354670122899</v>
      </c>
      <c r="Q79">
        <v>-1</v>
      </c>
      <c r="R79">
        <v>-1</v>
      </c>
      <c r="S79">
        <v>-1</v>
      </c>
      <c r="T79">
        <v>0.32500000000000001</v>
      </c>
      <c r="U79">
        <v>0.443</v>
      </c>
      <c r="V79">
        <v>0.55000000000000004</v>
      </c>
      <c r="W79">
        <v>0.499</v>
      </c>
      <c r="AN79" t="s">
        <v>159</v>
      </c>
      <c r="AO79" t="s">
        <v>159</v>
      </c>
      <c r="AP79" t="s">
        <v>159</v>
      </c>
      <c r="AQ79" t="s">
        <v>159</v>
      </c>
      <c r="CB79">
        <v>1.5674488373040163</v>
      </c>
      <c r="CC79">
        <v>46.249701320764068</v>
      </c>
      <c r="CD79">
        <v>0.49145750426016499</v>
      </c>
      <c r="CE79">
        <v>1.3038424645972</v>
      </c>
      <c r="CF79">
        <v>2.5774832739114002</v>
      </c>
      <c r="CG79">
        <v>1.8970121064473</v>
      </c>
    </row>
    <row r="80" spans="1:101" x14ac:dyDescent="0.25">
      <c r="A80" s="6">
        <v>79</v>
      </c>
      <c r="B80" s="6">
        <v>1</v>
      </c>
      <c r="C80" t="s">
        <v>143</v>
      </c>
      <c r="D80" t="s">
        <v>173</v>
      </c>
      <c r="E80" t="s">
        <v>168</v>
      </c>
      <c r="F80">
        <v>-1</v>
      </c>
      <c r="G80">
        <v>2</v>
      </c>
      <c r="H80">
        <v>-1</v>
      </c>
      <c r="I80">
        <v>-1</v>
      </c>
      <c r="J80">
        <v>-1</v>
      </c>
      <c r="K80">
        <v>3</v>
      </c>
      <c r="L80">
        <v>-1</v>
      </c>
      <c r="M80">
        <v>-1</v>
      </c>
      <c r="N80">
        <v>-1</v>
      </c>
      <c r="O80">
        <v>106.666666666667</v>
      </c>
      <c r="P80">
        <v>36.8829433376536</v>
      </c>
      <c r="Q80">
        <v>-1</v>
      </c>
      <c r="R80">
        <v>-1</v>
      </c>
      <c r="S80">
        <v>-1</v>
      </c>
      <c r="T80">
        <v>0.81</v>
      </c>
      <c r="U80">
        <v>0.51100000000000001</v>
      </c>
      <c r="V80">
        <v>0.42099999999999999</v>
      </c>
      <c r="W80">
        <v>0.58299999999999996</v>
      </c>
      <c r="X80">
        <v>0.80500000000000005</v>
      </c>
      <c r="AN80" t="s">
        <v>169</v>
      </c>
      <c r="AO80" t="s">
        <v>169</v>
      </c>
      <c r="AP80" t="s">
        <v>169</v>
      </c>
      <c r="AQ80" t="s">
        <v>169</v>
      </c>
      <c r="AR80" t="s">
        <v>169</v>
      </c>
      <c r="CB80">
        <v>1.1308534783927719</v>
      </c>
      <c r="CC80">
        <v>41.709204766749089</v>
      </c>
      <c r="CD80">
        <v>2.27831812361593</v>
      </c>
      <c r="CE80">
        <v>0.36589781284170098</v>
      </c>
      <c r="CF80">
        <v>0.16956208978183299</v>
      </c>
      <c r="CG80">
        <v>0.61749437011290598</v>
      </c>
      <c r="CH80">
        <v>2.2229949956114901</v>
      </c>
    </row>
    <row r="81" spans="1:101" x14ac:dyDescent="0.25">
      <c r="A81" s="6">
        <v>80</v>
      </c>
      <c r="B81" s="6">
        <v>1</v>
      </c>
      <c r="C81" t="s">
        <v>143</v>
      </c>
      <c r="D81" t="s">
        <v>170</v>
      </c>
      <c r="E81" t="s">
        <v>158</v>
      </c>
      <c r="F81">
        <v>-1</v>
      </c>
      <c r="G81">
        <v>5</v>
      </c>
      <c r="H81">
        <v>-1</v>
      </c>
      <c r="I81">
        <v>-1</v>
      </c>
      <c r="J81">
        <v>-1</v>
      </c>
      <c r="K81">
        <v>6</v>
      </c>
      <c r="L81">
        <v>-1</v>
      </c>
      <c r="M81">
        <v>-1</v>
      </c>
      <c r="N81">
        <v>-1</v>
      </c>
      <c r="O81">
        <v>234.666666666667</v>
      </c>
      <c r="P81">
        <v>81.142475342837997</v>
      </c>
      <c r="Q81">
        <v>-1</v>
      </c>
      <c r="R81">
        <v>-1</v>
      </c>
      <c r="S81">
        <v>-1</v>
      </c>
      <c r="T81">
        <v>0.503</v>
      </c>
      <c r="U81">
        <v>0.83299999999999996</v>
      </c>
      <c r="V81">
        <v>0.69399999999999995</v>
      </c>
      <c r="W81">
        <v>1.123</v>
      </c>
      <c r="X81">
        <v>0.67600000000000005</v>
      </c>
      <c r="Y81">
        <v>0.89600000000000002</v>
      </c>
      <c r="Z81">
        <v>0.751</v>
      </c>
      <c r="AA81">
        <v>0.59499999999999997</v>
      </c>
      <c r="AB81">
        <v>0.504</v>
      </c>
      <c r="AC81">
        <v>0.70899999999999996</v>
      </c>
      <c r="AD81">
        <v>0.54200000000000004</v>
      </c>
      <c r="AN81" t="s">
        <v>159</v>
      </c>
      <c r="AO81" t="s">
        <v>159</v>
      </c>
      <c r="AP81" t="s">
        <v>159</v>
      </c>
      <c r="AQ81" t="s">
        <v>159</v>
      </c>
      <c r="AR81" t="s">
        <v>159</v>
      </c>
      <c r="AS81" t="s">
        <v>159</v>
      </c>
      <c r="AT81" t="s">
        <v>159</v>
      </c>
      <c r="AU81" t="s">
        <v>159</v>
      </c>
      <c r="AV81" t="s">
        <v>159</v>
      </c>
      <c r="AW81" t="s">
        <v>159</v>
      </c>
      <c r="AX81" t="s">
        <v>159</v>
      </c>
      <c r="CB81">
        <v>2.2175390865519415</v>
      </c>
      <c r="CC81">
        <v>179.93661065232041</v>
      </c>
      <c r="CD81">
        <v>0.70571139838156305</v>
      </c>
      <c r="CE81">
        <v>2.9566904495715902</v>
      </c>
      <c r="CF81">
        <v>1.7604956267774601</v>
      </c>
      <c r="CG81">
        <v>6.9064132686487403</v>
      </c>
      <c r="CH81">
        <v>1.6338894590884501</v>
      </c>
      <c r="CI81">
        <v>3.63687857908949</v>
      </c>
      <c r="CJ81">
        <v>2.2028832240052298</v>
      </c>
      <c r="CK81">
        <v>1.1371093672316099</v>
      </c>
      <c r="CL81">
        <v>0.70970322379446105</v>
      </c>
      <c r="CM81">
        <v>1.8707224684938999</v>
      </c>
      <c r="CN81">
        <v>0.87243288698886901</v>
      </c>
    </row>
    <row r="82" spans="1:101" x14ac:dyDescent="0.25">
      <c r="A82" s="6">
        <v>81</v>
      </c>
      <c r="B82" s="6">
        <v>1</v>
      </c>
      <c r="C82" t="s">
        <v>143</v>
      </c>
      <c r="D82" t="s">
        <v>167</v>
      </c>
      <c r="E82" t="s">
        <v>168</v>
      </c>
      <c r="F82">
        <v>-1</v>
      </c>
      <c r="G82">
        <v>55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3520</v>
      </c>
      <c r="P82">
        <v>1217.13713014257</v>
      </c>
      <c r="Q82">
        <v>-1</v>
      </c>
      <c r="R82">
        <v>-1</v>
      </c>
      <c r="S82">
        <v>-1</v>
      </c>
      <c r="T82">
        <v>0.39800000000000002</v>
      </c>
      <c r="U82">
        <v>0.63700000000000001</v>
      </c>
      <c r="V82">
        <v>0.48899999999999999</v>
      </c>
      <c r="W82">
        <v>0.91600000000000004</v>
      </c>
      <c r="X82">
        <v>0.45400000000000001</v>
      </c>
      <c r="Y82">
        <v>0.54900000000000004</v>
      </c>
      <c r="Z82">
        <v>0.54700000000000004</v>
      </c>
      <c r="AA82">
        <v>1.087</v>
      </c>
      <c r="AB82">
        <v>0.64100000000000001</v>
      </c>
      <c r="AC82">
        <v>0.54800000000000004</v>
      </c>
      <c r="AD82">
        <v>0.50700000000000001</v>
      </c>
      <c r="AE82">
        <v>0.86399999999999999</v>
      </c>
      <c r="AF82">
        <v>0.78200000000000003</v>
      </c>
      <c r="AG82">
        <v>0.55100000000000005</v>
      </c>
      <c r="AH82">
        <v>0.79600000000000004</v>
      </c>
      <c r="AI82">
        <v>0.53800000000000003</v>
      </c>
      <c r="AJ82">
        <v>0.64400000000000002</v>
      </c>
      <c r="AK82">
        <v>0.50600000000000001</v>
      </c>
      <c r="AL82">
        <v>0.86</v>
      </c>
      <c r="AM82">
        <v>0.498</v>
      </c>
      <c r="AN82" t="s">
        <v>169</v>
      </c>
      <c r="AO82" t="s">
        <v>169</v>
      </c>
      <c r="AP82" t="s">
        <v>169</v>
      </c>
      <c r="AQ82" t="s">
        <v>169</v>
      </c>
      <c r="AR82" t="s">
        <v>169</v>
      </c>
      <c r="AS82" t="s">
        <v>169</v>
      </c>
      <c r="AT82" t="s">
        <v>169</v>
      </c>
      <c r="AU82" t="s">
        <v>169</v>
      </c>
      <c r="AV82" t="s">
        <v>169</v>
      </c>
      <c r="AW82" t="s">
        <v>169</v>
      </c>
      <c r="AX82" t="s">
        <v>169</v>
      </c>
      <c r="AY82" t="s">
        <v>169</v>
      </c>
      <c r="AZ82" t="s">
        <v>169</v>
      </c>
      <c r="BA82" t="s">
        <v>169</v>
      </c>
      <c r="BB82" t="s">
        <v>169</v>
      </c>
      <c r="BC82" t="s">
        <v>169</v>
      </c>
      <c r="BD82" t="s">
        <v>169</v>
      </c>
      <c r="BE82" t="s">
        <v>169</v>
      </c>
      <c r="BF82" t="s">
        <v>169</v>
      </c>
      <c r="BG82" t="s">
        <v>169</v>
      </c>
      <c r="CB82">
        <v>1.804859606855193</v>
      </c>
      <c r="CC82">
        <v>2196.7616421979765</v>
      </c>
      <c r="CD82">
        <v>0.45105072258378298</v>
      </c>
      <c r="CE82">
        <v>1.5249280602927899</v>
      </c>
      <c r="CF82">
        <v>0.76884389704409295</v>
      </c>
      <c r="CG82">
        <v>3.9069468490230101</v>
      </c>
      <c r="CH82">
        <v>0.63431193808593</v>
      </c>
      <c r="CI82">
        <v>1.0375776263954899</v>
      </c>
      <c r="CJ82">
        <v>1.02781606477645</v>
      </c>
      <c r="CK82">
        <v>6.08643159550539</v>
      </c>
      <c r="CL82">
        <v>1.54985305135717</v>
      </c>
      <c r="CM82">
        <v>1.0326897648953499</v>
      </c>
      <c r="CN82">
        <v>0.84430398851986499</v>
      </c>
      <c r="CO82">
        <v>3.35814016578956</v>
      </c>
      <c r="CP82">
        <v>2.5937834607625501</v>
      </c>
      <c r="CQ82">
        <v>1.0473958944923401</v>
      </c>
      <c r="CR82">
        <v>2.7157705323466002</v>
      </c>
      <c r="CS82">
        <v>0.984587505419938</v>
      </c>
      <c r="CT82">
        <v>1.56870984702197</v>
      </c>
      <c r="CU82">
        <v>0.83999763795320703</v>
      </c>
      <c r="CV82">
        <v>3.31802164610263</v>
      </c>
      <c r="CW82">
        <v>0.80603188873574305</v>
      </c>
    </row>
    <row r="83" spans="1:101" x14ac:dyDescent="0.25">
      <c r="A83" s="6">
        <v>82</v>
      </c>
      <c r="B83" s="6">
        <v>1</v>
      </c>
      <c r="C83" t="s">
        <v>143</v>
      </c>
      <c r="D83" t="s">
        <v>172</v>
      </c>
      <c r="E83" t="s">
        <v>158</v>
      </c>
      <c r="F83">
        <v>-1</v>
      </c>
      <c r="G83">
        <v>7</v>
      </c>
      <c r="H83">
        <v>-1</v>
      </c>
      <c r="I83">
        <v>-1</v>
      </c>
      <c r="J83">
        <v>-1</v>
      </c>
      <c r="K83">
        <v>6</v>
      </c>
      <c r="L83">
        <v>-1</v>
      </c>
      <c r="M83">
        <v>-1</v>
      </c>
      <c r="N83">
        <v>-1</v>
      </c>
      <c r="O83">
        <v>277.33333333333297</v>
      </c>
      <c r="P83">
        <v>95.895652677899406</v>
      </c>
      <c r="Q83">
        <v>-1</v>
      </c>
      <c r="R83">
        <v>-1</v>
      </c>
      <c r="S83">
        <v>-1</v>
      </c>
      <c r="T83">
        <v>0.26</v>
      </c>
      <c r="U83">
        <v>0.437</v>
      </c>
      <c r="V83">
        <v>0.61399999999999999</v>
      </c>
      <c r="W83">
        <v>0.34899999999999998</v>
      </c>
      <c r="X83">
        <v>0.22500000000000001</v>
      </c>
      <c r="Y83">
        <v>0.35199999999999998</v>
      </c>
      <c r="Z83">
        <v>0.314</v>
      </c>
      <c r="AA83">
        <v>0.29399999999999998</v>
      </c>
      <c r="AB83">
        <v>0.22700000000000001</v>
      </c>
      <c r="AC83">
        <v>0.33800000000000002</v>
      </c>
      <c r="AD83">
        <v>0.32900000000000001</v>
      </c>
      <c r="AE83">
        <v>0.246</v>
      </c>
      <c r="AF83">
        <v>0.36399999999999999</v>
      </c>
      <c r="AN83" t="s">
        <v>159</v>
      </c>
      <c r="AO83" t="s">
        <v>159</v>
      </c>
      <c r="AP83" t="s">
        <v>159</v>
      </c>
      <c r="AQ83" t="s">
        <v>159</v>
      </c>
      <c r="AR83" t="s">
        <v>159</v>
      </c>
      <c r="AS83" t="s">
        <v>159</v>
      </c>
      <c r="AT83" t="s">
        <v>159</v>
      </c>
      <c r="AU83" t="s">
        <v>159</v>
      </c>
      <c r="AV83" t="s">
        <v>159</v>
      </c>
      <c r="AW83" t="s">
        <v>159</v>
      </c>
      <c r="AX83" t="s">
        <v>159</v>
      </c>
      <c r="AY83" t="s">
        <v>159</v>
      </c>
      <c r="AZ83" t="s">
        <v>159</v>
      </c>
      <c r="CB83">
        <v>1.11669076441879</v>
      </c>
      <c r="CC83">
        <v>107.08578969332227</v>
      </c>
      <c r="CD83">
        <v>0.49852759783592898</v>
      </c>
      <c r="CE83">
        <v>1.8544907457334101</v>
      </c>
      <c r="CF83">
        <v>4.3840208799095501</v>
      </c>
      <c r="CG83">
        <v>1.04991699361795</v>
      </c>
      <c r="CH83">
        <v>0.34580272058712702</v>
      </c>
      <c r="CI83">
        <v>1.0729008108743201</v>
      </c>
      <c r="CJ83">
        <v>0.80359762501548704</v>
      </c>
      <c r="CK83">
        <v>0.68033902120397705</v>
      </c>
      <c r="CL83">
        <v>0.35363240419414799</v>
      </c>
      <c r="CM83">
        <v>0.96820180203853501</v>
      </c>
      <c r="CN83">
        <v>0.90429942924878204</v>
      </c>
      <c r="CO83">
        <v>0.43338358310331399</v>
      </c>
      <c r="CP83">
        <v>1.16786632408174</v>
      </c>
    </row>
    <row r="84" spans="1:101" x14ac:dyDescent="0.25">
      <c r="A84" s="6">
        <v>83</v>
      </c>
      <c r="B84" s="6">
        <v>1</v>
      </c>
      <c r="C84" t="s">
        <v>144</v>
      </c>
      <c r="D84" t="s">
        <v>170</v>
      </c>
      <c r="E84" t="s">
        <v>158</v>
      </c>
      <c r="F84">
        <v>-1</v>
      </c>
      <c r="G84">
        <v>6</v>
      </c>
      <c r="H84">
        <v>-1</v>
      </c>
      <c r="I84">
        <v>-1</v>
      </c>
      <c r="J84">
        <v>-1</v>
      </c>
      <c r="K84">
        <v>13</v>
      </c>
      <c r="L84">
        <v>-1</v>
      </c>
      <c r="M84">
        <v>-1</v>
      </c>
      <c r="N84">
        <v>-1</v>
      </c>
      <c r="O84">
        <v>1621.3333333333301</v>
      </c>
      <c r="P84">
        <v>679.34042458153601</v>
      </c>
      <c r="Q84">
        <v>-1</v>
      </c>
      <c r="R84">
        <v>-1</v>
      </c>
      <c r="S84">
        <v>-1</v>
      </c>
      <c r="T84">
        <v>0.51700000000000002</v>
      </c>
      <c r="U84">
        <v>1.1819999999999999</v>
      </c>
      <c r="V84">
        <v>0.84099999999999997</v>
      </c>
      <c r="W84">
        <v>0.76900000000000002</v>
      </c>
      <c r="X84">
        <v>0.60499999999999998</v>
      </c>
      <c r="Y84">
        <v>0.80200000000000005</v>
      </c>
      <c r="Z84">
        <v>0.84099999999999997</v>
      </c>
      <c r="AA84">
        <v>0.53100000000000003</v>
      </c>
      <c r="AB84">
        <v>0.58799999999999997</v>
      </c>
      <c r="AC84">
        <v>0.90600000000000003</v>
      </c>
      <c r="AD84">
        <v>0.77100000000000002</v>
      </c>
      <c r="AE84">
        <v>0.60799999999999998</v>
      </c>
      <c r="AF84">
        <v>1.105</v>
      </c>
      <c r="AG84">
        <v>1.0409999999999999</v>
      </c>
      <c r="AH84">
        <v>0.60099999999999998</v>
      </c>
      <c r="AI84">
        <v>0.81299999999999994</v>
      </c>
      <c r="AJ84">
        <v>0.42199999999999999</v>
      </c>
      <c r="AK84">
        <v>0.69899999999999995</v>
      </c>
      <c r="AL84">
        <v>0.74099999999999999</v>
      </c>
      <c r="AN84" t="s">
        <v>159</v>
      </c>
      <c r="AO84" t="s">
        <v>159</v>
      </c>
      <c r="AP84" t="s">
        <v>159</v>
      </c>
      <c r="AQ84" t="s">
        <v>159</v>
      </c>
      <c r="AR84" t="s">
        <v>159</v>
      </c>
      <c r="AS84" t="s">
        <v>159</v>
      </c>
      <c r="AT84" t="s">
        <v>159</v>
      </c>
      <c r="AU84" t="s">
        <v>159</v>
      </c>
      <c r="AV84" t="s">
        <v>159</v>
      </c>
      <c r="AW84" t="s">
        <v>159</v>
      </c>
      <c r="AX84" t="s">
        <v>159</v>
      </c>
      <c r="AY84" t="s">
        <v>159</v>
      </c>
      <c r="AZ84" t="s">
        <v>159</v>
      </c>
      <c r="BA84" t="s">
        <v>159</v>
      </c>
      <c r="BB84" t="s">
        <v>159</v>
      </c>
      <c r="BC84" t="s">
        <v>159</v>
      </c>
      <c r="BD84" t="s">
        <v>159</v>
      </c>
      <c r="BE84" t="s">
        <v>159</v>
      </c>
      <c r="BF84" t="s">
        <v>159</v>
      </c>
      <c r="CB84">
        <v>2.6699382867596646</v>
      </c>
      <c r="CC84">
        <v>1813.7970093338095</v>
      </c>
      <c r="CD84">
        <v>0.76293439931141005</v>
      </c>
      <c r="CE84">
        <v>7.9874414535220604</v>
      </c>
      <c r="CF84">
        <v>3.0380483587837799</v>
      </c>
      <c r="CG84">
        <v>2.3561604379831902</v>
      </c>
      <c r="CH84">
        <v>1.1922280035506201</v>
      </c>
      <c r="CI84">
        <v>2.6547844209943698</v>
      </c>
      <c r="CJ84">
        <v>3.0380483587837799</v>
      </c>
      <c r="CK84">
        <v>0.82308084423420103</v>
      </c>
      <c r="CL84">
        <v>1.0995263978937</v>
      </c>
      <c r="CM84">
        <v>3.75334197655441</v>
      </c>
      <c r="CN84">
        <v>2.37360521864094</v>
      </c>
      <c r="CO84">
        <v>1.2090944276053599</v>
      </c>
      <c r="CP84">
        <v>6.5966421295374298</v>
      </c>
      <c r="CQ84">
        <v>5.5684474598144797</v>
      </c>
      <c r="CR84">
        <v>1.1699776215784501</v>
      </c>
      <c r="CS84">
        <v>2.7595051186263899</v>
      </c>
      <c r="CT84">
        <v>0.42860912734662698</v>
      </c>
      <c r="CU84">
        <v>1.7967565370705301</v>
      </c>
      <c r="CV84">
        <v>2.1205951566019001</v>
      </c>
    </row>
    <row r="85" spans="1:101" x14ac:dyDescent="0.25">
      <c r="A85" s="6">
        <v>84</v>
      </c>
      <c r="B85" s="6">
        <v>1</v>
      </c>
      <c r="C85" t="s">
        <v>144</v>
      </c>
      <c r="D85" t="s">
        <v>160</v>
      </c>
      <c r="E85" t="s">
        <v>154</v>
      </c>
      <c r="F85">
        <v>-1</v>
      </c>
      <c r="G85">
        <v>0</v>
      </c>
      <c r="H85">
        <v>0</v>
      </c>
      <c r="I85">
        <v>-1</v>
      </c>
      <c r="J85">
        <v>-1</v>
      </c>
      <c r="K85">
        <v>0</v>
      </c>
      <c r="L85">
        <v>3</v>
      </c>
      <c r="M85">
        <v>0</v>
      </c>
      <c r="N85">
        <v>1</v>
      </c>
      <c r="O85">
        <v>146.28571428571399</v>
      </c>
      <c r="P85">
        <v>61.293872894574598</v>
      </c>
      <c r="Q85">
        <v>-1</v>
      </c>
      <c r="R85">
        <v>-1</v>
      </c>
      <c r="S85">
        <v>-1</v>
      </c>
      <c r="T85">
        <v>1.383</v>
      </c>
      <c r="U85">
        <v>1.589</v>
      </c>
      <c r="V85">
        <v>1.369</v>
      </c>
      <c r="W85">
        <v>1.393</v>
      </c>
      <c r="AN85" t="s">
        <v>156</v>
      </c>
      <c r="AO85" t="s">
        <v>156</v>
      </c>
      <c r="AP85" t="s">
        <v>156</v>
      </c>
      <c r="AQ85" t="s">
        <v>156</v>
      </c>
      <c r="CB85">
        <v>12.565251771970674</v>
      </c>
      <c r="CC85">
        <v>770.17294499949878</v>
      </c>
      <c r="CD85">
        <v>11.356844325426501</v>
      </c>
      <c r="CE85">
        <v>16.271931974397798</v>
      </c>
      <c r="CF85">
        <v>11.061477923098099</v>
      </c>
      <c r="CG85">
        <v>11.5707528649603</v>
      </c>
    </row>
    <row r="86" spans="1:101" x14ac:dyDescent="0.25">
      <c r="A86" s="6">
        <v>85</v>
      </c>
      <c r="B86" s="6">
        <v>1</v>
      </c>
      <c r="C86" t="s">
        <v>144</v>
      </c>
      <c r="D86" t="s">
        <v>153</v>
      </c>
      <c r="E86" t="s">
        <v>154</v>
      </c>
      <c r="F86">
        <v>-1</v>
      </c>
      <c r="G86">
        <v>2</v>
      </c>
      <c r="H86">
        <v>0</v>
      </c>
      <c r="I86">
        <v>-1</v>
      </c>
      <c r="J86">
        <v>-1</v>
      </c>
      <c r="K86">
        <v>2</v>
      </c>
      <c r="L86">
        <v>0</v>
      </c>
      <c r="M86">
        <v>-1</v>
      </c>
      <c r="N86">
        <v>-1</v>
      </c>
      <c r="O86">
        <v>341.33333333333297</v>
      </c>
      <c r="P86">
        <v>143.019036754007</v>
      </c>
      <c r="Q86">
        <v>-1</v>
      </c>
      <c r="R86">
        <v>-1</v>
      </c>
      <c r="S86">
        <v>-1</v>
      </c>
      <c r="T86">
        <v>1.1819999999999999</v>
      </c>
      <c r="U86">
        <v>1.0740000000000001</v>
      </c>
      <c r="V86">
        <v>1.206</v>
      </c>
      <c r="W86">
        <v>1.1080000000000001</v>
      </c>
      <c r="AN86" t="s">
        <v>155</v>
      </c>
      <c r="AO86" t="s">
        <v>155</v>
      </c>
      <c r="AP86" t="s">
        <v>155</v>
      </c>
      <c r="AQ86" t="s">
        <v>155</v>
      </c>
      <c r="CB86">
        <v>6.9556105756225399</v>
      </c>
      <c r="CC86">
        <v>994.78472456151985</v>
      </c>
      <c r="CD86">
        <v>7.5614918862098204</v>
      </c>
      <c r="CE86">
        <v>5.8996916678785301</v>
      </c>
      <c r="CF86">
        <v>7.9655864148257303</v>
      </c>
      <c r="CG86">
        <v>6.3956723335760799</v>
      </c>
    </row>
    <row r="87" spans="1:101" x14ac:dyDescent="0.25">
      <c r="A87" s="6">
        <v>86</v>
      </c>
      <c r="B87" s="6">
        <v>1</v>
      </c>
      <c r="C87" t="s">
        <v>144</v>
      </c>
      <c r="D87" t="s">
        <v>178</v>
      </c>
      <c r="E87" t="s">
        <v>158</v>
      </c>
      <c r="F87">
        <v>-1</v>
      </c>
      <c r="G87">
        <v>0</v>
      </c>
      <c r="H87">
        <v>-1</v>
      </c>
      <c r="I87">
        <v>-1</v>
      </c>
      <c r="J87">
        <v>-1</v>
      </c>
      <c r="K87">
        <v>1</v>
      </c>
      <c r="L87">
        <v>-1</v>
      </c>
      <c r="M87">
        <v>0</v>
      </c>
      <c r="N87">
        <v>-1</v>
      </c>
      <c r="O87">
        <v>36.571428571428598</v>
      </c>
      <c r="P87">
        <v>15.323468223643699</v>
      </c>
      <c r="Q87">
        <v>-1</v>
      </c>
      <c r="R87">
        <v>-1</v>
      </c>
      <c r="S87">
        <v>-1</v>
      </c>
      <c r="T87">
        <v>0.51700000000000002</v>
      </c>
      <c r="AN87" t="s">
        <v>159</v>
      </c>
      <c r="CB87">
        <v>3.8986031814601501</v>
      </c>
      <c r="CC87">
        <v>59.740121967700837</v>
      </c>
      <c r="CD87">
        <v>3.8986031814601501</v>
      </c>
    </row>
    <row r="88" spans="1:101" x14ac:dyDescent="0.25">
      <c r="A88" s="6">
        <v>87</v>
      </c>
      <c r="B88" s="6">
        <v>1</v>
      </c>
      <c r="C88" t="s">
        <v>144</v>
      </c>
      <c r="D88" t="s">
        <v>165</v>
      </c>
      <c r="E88" t="s">
        <v>158</v>
      </c>
      <c r="F88">
        <v>-1</v>
      </c>
      <c r="G88">
        <v>12</v>
      </c>
      <c r="H88">
        <v>-1</v>
      </c>
      <c r="I88">
        <v>-1</v>
      </c>
      <c r="J88">
        <v>-1</v>
      </c>
      <c r="K88">
        <v>28</v>
      </c>
      <c r="L88">
        <v>-1</v>
      </c>
      <c r="M88">
        <v>-1</v>
      </c>
      <c r="N88">
        <v>-1</v>
      </c>
      <c r="O88">
        <v>3413.3333333333298</v>
      </c>
      <c r="P88">
        <v>1430.1903675400799</v>
      </c>
      <c r="Q88">
        <v>-1</v>
      </c>
      <c r="R88">
        <v>-1</v>
      </c>
      <c r="S88">
        <v>-1</v>
      </c>
      <c r="T88">
        <v>0.68899999999999995</v>
      </c>
      <c r="U88">
        <v>2.5579999999999998</v>
      </c>
      <c r="V88">
        <v>1.4650000000000001</v>
      </c>
      <c r="W88">
        <v>3.363</v>
      </c>
      <c r="X88">
        <v>4.2699999999999996</v>
      </c>
      <c r="Y88">
        <v>0.65900000000000003</v>
      </c>
      <c r="Z88">
        <v>2.395</v>
      </c>
      <c r="AA88">
        <v>2.4049999999999998</v>
      </c>
      <c r="AB88">
        <v>1.978</v>
      </c>
      <c r="AC88">
        <v>1.7470000000000001</v>
      </c>
      <c r="AD88">
        <v>2.3239999999999998</v>
      </c>
      <c r="AE88">
        <v>3.2440000000000002</v>
      </c>
      <c r="AF88">
        <v>0.53200000000000003</v>
      </c>
      <c r="AG88">
        <v>0.97899999999999998</v>
      </c>
      <c r="AH88">
        <v>1.359</v>
      </c>
      <c r="AI88">
        <v>2.0619999999999998</v>
      </c>
      <c r="AJ88">
        <v>1.1659999999999999</v>
      </c>
      <c r="AK88">
        <v>2.0409999999999999</v>
      </c>
      <c r="AL88">
        <v>2.581</v>
      </c>
      <c r="AM88">
        <v>2.0289999999999999</v>
      </c>
      <c r="AN88" t="s">
        <v>159</v>
      </c>
      <c r="AO88" t="s">
        <v>159</v>
      </c>
      <c r="AP88" t="s">
        <v>159</v>
      </c>
      <c r="AQ88" t="s">
        <v>159</v>
      </c>
      <c r="AR88" t="s">
        <v>159</v>
      </c>
      <c r="AS88" t="s">
        <v>159</v>
      </c>
      <c r="AT88" t="s">
        <v>159</v>
      </c>
      <c r="AU88" t="s">
        <v>159</v>
      </c>
      <c r="AV88" t="s">
        <v>159</v>
      </c>
      <c r="AW88" t="s">
        <v>159</v>
      </c>
      <c r="AX88" t="s">
        <v>159</v>
      </c>
      <c r="AY88" t="s">
        <v>159</v>
      </c>
      <c r="AZ88" t="s">
        <v>159</v>
      </c>
      <c r="BA88" t="s">
        <v>159</v>
      </c>
      <c r="BB88" t="s">
        <v>159</v>
      </c>
      <c r="BC88" t="s">
        <v>159</v>
      </c>
      <c r="BD88" t="s">
        <v>159</v>
      </c>
      <c r="BE88" t="s">
        <v>159</v>
      </c>
      <c r="BF88" t="s">
        <v>159</v>
      </c>
      <c r="BG88" t="s">
        <v>159</v>
      </c>
      <c r="CB88">
        <v>4.2011242780910916</v>
      </c>
      <c r="CC88">
        <v>6008.407475364651</v>
      </c>
      <c r="CD88">
        <v>0.16257555990131201</v>
      </c>
      <c r="CE88">
        <v>5.3964030373415701</v>
      </c>
      <c r="CF88">
        <v>1.2184182454250101</v>
      </c>
      <c r="CG88">
        <v>11.2039373481506</v>
      </c>
      <c r="CH88">
        <v>21.1959244173546</v>
      </c>
      <c r="CI88">
        <v>0.144355718554771</v>
      </c>
      <c r="CJ88">
        <v>4.5264285383119498</v>
      </c>
      <c r="CK88">
        <v>4.5770662792278998</v>
      </c>
      <c r="CL88">
        <v>2.7160272496260198</v>
      </c>
      <c r="CM88">
        <v>1.9495392901025199</v>
      </c>
      <c r="CN88">
        <v>4.1769606720065804</v>
      </c>
      <c r="CO88">
        <v>10.1764380577173</v>
      </c>
      <c r="CP88">
        <v>8.1506828388247701E-2</v>
      </c>
      <c r="CQ88">
        <v>0.41533614057127</v>
      </c>
      <c r="CR88">
        <v>0.99702462612591203</v>
      </c>
      <c r="CS88">
        <v>3.0350137334867102</v>
      </c>
      <c r="CT88">
        <v>0.66236147638646403</v>
      </c>
      <c r="CU88">
        <v>2.95318571132221</v>
      </c>
      <c r="CV88">
        <v>5.5269292853352603</v>
      </c>
      <c r="CW88">
        <v>2.9070533464856601</v>
      </c>
    </row>
    <row r="89" spans="1:101" x14ac:dyDescent="0.25">
      <c r="A89" s="6">
        <v>88</v>
      </c>
      <c r="B89" s="6">
        <v>1</v>
      </c>
      <c r="C89" t="s">
        <v>144</v>
      </c>
      <c r="D89" t="s">
        <v>161</v>
      </c>
      <c r="E89" t="s">
        <v>154</v>
      </c>
      <c r="F89">
        <v>-1</v>
      </c>
      <c r="G89">
        <v>10</v>
      </c>
      <c r="H89">
        <v>7</v>
      </c>
      <c r="I89">
        <v>-1</v>
      </c>
      <c r="J89">
        <v>-1</v>
      </c>
      <c r="K89">
        <v>19</v>
      </c>
      <c r="L89">
        <v>13</v>
      </c>
      <c r="M89">
        <v>-1</v>
      </c>
      <c r="N89">
        <v>-1</v>
      </c>
      <c r="O89">
        <v>4181.3333333333303</v>
      </c>
      <c r="P89">
        <v>1751.9832002365899</v>
      </c>
      <c r="Q89">
        <v>-1</v>
      </c>
      <c r="R89">
        <v>-1</v>
      </c>
      <c r="S89">
        <v>-1</v>
      </c>
      <c r="T89">
        <v>0.83899999999999997</v>
      </c>
      <c r="U89">
        <v>0.872</v>
      </c>
      <c r="V89">
        <v>0.97099999999999997</v>
      </c>
      <c r="W89">
        <v>0.85</v>
      </c>
      <c r="X89">
        <v>0.89100000000000001</v>
      </c>
      <c r="Y89">
        <v>0.77300000000000002</v>
      </c>
      <c r="Z89">
        <v>0.879</v>
      </c>
      <c r="AA89">
        <v>0.85899999999999999</v>
      </c>
      <c r="AB89">
        <v>0.89900000000000002</v>
      </c>
      <c r="AC89">
        <v>0.88700000000000001</v>
      </c>
      <c r="AD89">
        <v>0.91800000000000004</v>
      </c>
      <c r="AE89">
        <v>0.82599999999999996</v>
      </c>
      <c r="AF89">
        <v>0.84699999999999998</v>
      </c>
      <c r="AG89">
        <v>0.86</v>
      </c>
      <c r="AH89">
        <v>0.71899999999999997</v>
      </c>
      <c r="AI89">
        <v>0.98299999999999998</v>
      </c>
      <c r="AJ89">
        <v>0.80100000000000005</v>
      </c>
      <c r="AK89">
        <v>0.85699999999999998</v>
      </c>
      <c r="AL89">
        <v>0.89500000000000002</v>
      </c>
      <c r="AM89">
        <v>0.875</v>
      </c>
      <c r="AN89" t="s">
        <v>156</v>
      </c>
      <c r="AO89" t="s">
        <v>155</v>
      </c>
      <c r="AP89" t="s">
        <v>155</v>
      </c>
      <c r="AQ89" t="s">
        <v>156</v>
      </c>
      <c r="AR89" t="s">
        <v>156</v>
      </c>
      <c r="AS89" t="s">
        <v>156</v>
      </c>
      <c r="AT89" t="s">
        <v>155</v>
      </c>
      <c r="AU89" t="s">
        <v>155</v>
      </c>
      <c r="AV89" t="s">
        <v>155</v>
      </c>
      <c r="AW89" t="s">
        <v>155</v>
      </c>
      <c r="AX89" t="s">
        <v>155</v>
      </c>
      <c r="AY89" t="s">
        <v>156</v>
      </c>
      <c r="AZ89" t="s">
        <v>156</v>
      </c>
      <c r="BA89" t="s">
        <v>156</v>
      </c>
      <c r="BB89" t="s">
        <v>155</v>
      </c>
      <c r="BC89" t="s">
        <v>155</v>
      </c>
      <c r="BD89" t="s">
        <v>155</v>
      </c>
      <c r="BE89" t="s">
        <v>155</v>
      </c>
      <c r="BF89" t="s">
        <v>155</v>
      </c>
      <c r="BG89" t="s">
        <v>155</v>
      </c>
      <c r="CB89">
        <v>3.4002302532357236</v>
      </c>
      <c r="CC89">
        <v>5957.1462806051941</v>
      </c>
      <c r="CD89">
        <v>3.1122301436175701</v>
      </c>
      <c r="CE89">
        <v>3.4392672341302801</v>
      </c>
      <c r="CF89">
        <v>4.5438714015847497</v>
      </c>
      <c r="CG89">
        <v>3.21901680413835</v>
      </c>
      <c r="CH89">
        <v>3.6367335216111498</v>
      </c>
      <c r="CI89">
        <v>2.5171732941777201</v>
      </c>
      <c r="CJ89">
        <v>3.5112310849632</v>
      </c>
      <c r="CK89">
        <v>3.3080382347930102</v>
      </c>
      <c r="CL89">
        <v>3.7219096625647698</v>
      </c>
      <c r="CM89">
        <v>3.59459860631015</v>
      </c>
      <c r="CN89">
        <v>3.9290790859357299</v>
      </c>
      <c r="CO89">
        <v>2.9888667161500502</v>
      </c>
      <c r="CP89">
        <v>3.1896737109131599</v>
      </c>
      <c r="CQ89">
        <v>3.31802164610263</v>
      </c>
      <c r="CR89">
        <v>2.0866809551444701</v>
      </c>
      <c r="CS89">
        <v>4.6907451414741397</v>
      </c>
      <c r="CT89">
        <v>2.7601738871727899</v>
      </c>
      <c r="CU89">
        <v>3.2881267857863699</v>
      </c>
      <c r="CV89">
        <v>3.6791702741140599</v>
      </c>
      <c r="CW89">
        <v>3.4699968740301101</v>
      </c>
    </row>
    <row r="90" spans="1:101" x14ac:dyDescent="0.25">
      <c r="A90" s="6">
        <v>89</v>
      </c>
      <c r="B90" s="6">
        <v>1</v>
      </c>
      <c r="C90" t="s">
        <v>144</v>
      </c>
      <c r="D90" t="s">
        <v>163</v>
      </c>
      <c r="E90" t="s">
        <v>158</v>
      </c>
      <c r="F90">
        <v>-1</v>
      </c>
      <c r="G90">
        <v>0</v>
      </c>
      <c r="H90">
        <v>-1</v>
      </c>
      <c r="I90">
        <v>-1</v>
      </c>
      <c r="J90">
        <v>-1</v>
      </c>
      <c r="K90">
        <v>1</v>
      </c>
      <c r="L90">
        <v>-1</v>
      </c>
      <c r="M90">
        <v>0</v>
      </c>
      <c r="N90">
        <v>-1</v>
      </c>
      <c r="O90">
        <v>36.571428571428598</v>
      </c>
      <c r="P90">
        <v>15.323468223643699</v>
      </c>
      <c r="Q90">
        <v>-1</v>
      </c>
      <c r="R90">
        <v>-1</v>
      </c>
      <c r="S90">
        <v>-1</v>
      </c>
      <c r="T90">
        <v>0.53</v>
      </c>
      <c r="AN90" t="s">
        <v>159</v>
      </c>
      <c r="CB90">
        <v>1.0488961347517101</v>
      </c>
      <c r="CC90">
        <v>16.072726590770529</v>
      </c>
      <c r="CD90">
        <v>1.0488961347517101</v>
      </c>
    </row>
    <row r="91" spans="1:101" x14ac:dyDescent="0.25">
      <c r="A91" s="6">
        <v>90</v>
      </c>
      <c r="B91" s="6">
        <v>1</v>
      </c>
      <c r="C91" t="s">
        <v>144</v>
      </c>
      <c r="D91" t="s">
        <v>175</v>
      </c>
      <c r="E91" t="s">
        <v>168</v>
      </c>
      <c r="F91">
        <v>-1</v>
      </c>
      <c r="G91">
        <v>4</v>
      </c>
      <c r="H91">
        <v>-1</v>
      </c>
      <c r="I91">
        <v>-1</v>
      </c>
      <c r="J91">
        <v>-1</v>
      </c>
      <c r="K91">
        <v>3</v>
      </c>
      <c r="L91">
        <v>-1</v>
      </c>
      <c r="M91">
        <v>-1</v>
      </c>
      <c r="N91">
        <v>-1</v>
      </c>
      <c r="O91">
        <v>597.33333333333303</v>
      </c>
      <c r="P91">
        <v>250.28331431951301</v>
      </c>
      <c r="Q91">
        <v>-1</v>
      </c>
      <c r="R91">
        <v>-1</v>
      </c>
      <c r="S91">
        <v>-1</v>
      </c>
      <c r="T91">
        <v>0.84199999999999997</v>
      </c>
      <c r="U91">
        <v>0.52800000000000002</v>
      </c>
      <c r="V91">
        <v>1.226</v>
      </c>
      <c r="W91">
        <v>0.66700000000000004</v>
      </c>
      <c r="X91">
        <v>1.1379999999999999</v>
      </c>
      <c r="Y91">
        <v>0.73699999999999999</v>
      </c>
      <c r="Z91">
        <v>0.47199999999999998</v>
      </c>
      <c r="AN91" t="s">
        <v>169</v>
      </c>
      <c r="AO91" t="s">
        <v>169</v>
      </c>
      <c r="AP91" t="s">
        <v>169</v>
      </c>
      <c r="AQ91" t="s">
        <v>169</v>
      </c>
      <c r="AR91" t="s">
        <v>169</v>
      </c>
      <c r="AS91" t="s">
        <v>169</v>
      </c>
      <c r="AT91" t="s">
        <v>169</v>
      </c>
      <c r="CB91">
        <v>3.4127601610130225</v>
      </c>
      <c r="CC91">
        <v>854.15692407593417</v>
      </c>
      <c r="CD91">
        <v>3.1411345751561801</v>
      </c>
      <c r="CE91">
        <v>0.93788607013383296</v>
      </c>
      <c r="CF91">
        <v>8.3122489927180805</v>
      </c>
      <c r="CG91">
        <v>1.7179643051337801</v>
      </c>
      <c r="CH91">
        <v>6.85388297594905</v>
      </c>
      <c r="CI91">
        <v>2.2246875264528501</v>
      </c>
      <c r="CJ91">
        <v>0.701516681547385</v>
      </c>
    </row>
    <row r="92" spans="1:101" x14ac:dyDescent="0.25">
      <c r="A92" s="6">
        <v>91</v>
      </c>
      <c r="B92" s="6">
        <v>1</v>
      </c>
      <c r="C92" t="s">
        <v>144</v>
      </c>
      <c r="D92" t="s">
        <v>167</v>
      </c>
      <c r="E92" t="s">
        <v>168</v>
      </c>
      <c r="F92">
        <v>-1</v>
      </c>
      <c r="G92">
        <v>40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10240</v>
      </c>
      <c r="P92">
        <v>4290.5711026202298</v>
      </c>
      <c r="Q92">
        <v>-1</v>
      </c>
      <c r="R92">
        <v>-1</v>
      </c>
      <c r="S92">
        <v>-1</v>
      </c>
      <c r="T92">
        <v>0.42899999999999999</v>
      </c>
      <c r="U92">
        <v>0.58899999999999997</v>
      </c>
      <c r="V92">
        <v>0.40200000000000002</v>
      </c>
      <c r="W92">
        <v>0.42</v>
      </c>
      <c r="X92">
        <v>0.437</v>
      </c>
      <c r="Y92">
        <v>0.47299999999999998</v>
      </c>
      <c r="Z92">
        <v>0.76200000000000001</v>
      </c>
      <c r="AA92">
        <v>0.42099999999999999</v>
      </c>
      <c r="AB92">
        <v>0.42</v>
      </c>
      <c r="AC92">
        <v>0.80600000000000005</v>
      </c>
      <c r="AD92">
        <v>0.95599999999999996</v>
      </c>
      <c r="AE92">
        <v>0.38500000000000001</v>
      </c>
      <c r="AF92">
        <v>0.36799999999999999</v>
      </c>
      <c r="AG92">
        <v>0.38300000000000001</v>
      </c>
      <c r="AH92">
        <v>0.80900000000000005</v>
      </c>
      <c r="AI92">
        <v>0.42299999999999999</v>
      </c>
      <c r="AJ92">
        <v>0.45500000000000002</v>
      </c>
      <c r="AK92">
        <v>0.439</v>
      </c>
      <c r="AL92">
        <v>0.84899999999999998</v>
      </c>
      <c r="AM92">
        <v>0.441</v>
      </c>
      <c r="AN92" t="s">
        <v>169</v>
      </c>
      <c r="AO92" t="s">
        <v>169</v>
      </c>
      <c r="AP92" t="s">
        <v>169</v>
      </c>
      <c r="AQ92" t="s">
        <v>169</v>
      </c>
      <c r="AR92" t="s">
        <v>169</v>
      </c>
      <c r="AS92" t="s">
        <v>169</v>
      </c>
      <c r="AT92" t="s">
        <v>169</v>
      </c>
      <c r="AU92" t="s">
        <v>169</v>
      </c>
      <c r="AV92" t="s">
        <v>169</v>
      </c>
      <c r="AW92" t="s">
        <v>169</v>
      </c>
      <c r="AX92" t="s">
        <v>169</v>
      </c>
      <c r="AY92" t="s">
        <v>169</v>
      </c>
      <c r="AZ92" t="s">
        <v>169</v>
      </c>
      <c r="BA92" t="s">
        <v>169</v>
      </c>
      <c r="BB92" t="s">
        <v>169</v>
      </c>
      <c r="BC92" t="s">
        <v>169</v>
      </c>
      <c r="BD92" t="s">
        <v>169</v>
      </c>
      <c r="BE92" t="s">
        <v>169</v>
      </c>
      <c r="BF92" t="s">
        <v>169</v>
      </c>
      <c r="BG92" t="s">
        <v>169</v>
      </c>
      <c r="CB92">
        <v>1.2128289802606687</v>
      </c>
      <c r="CC92">
        <v>5203.7289751267863</v>
      </c>
      <c r="CD92">
        <v>0.54776289855045701</v>
      </c>
      <c r="CE92">
        <v>1.2448781368701101</v>
      </c>
      <c r="CF92">
        <v>0.46288563546584799</v>
      </c>
      <c r="CG92">
        <v>0.51849418295900296</v>
      </c>
      <c r="CH92">
        <v>0.57461260408737302</v>
      </c>
      <c r="CI92">
        <v>0.70537259208184</v>
      </c>
      <c r="CJ92">
        <v>2.4254459555178398</v>
      </c>
      <c r="CK92">
        <v>0.52169761877226095</v>
      </c>
      <c r="CL92">
        <v>0.51849418295900296</v>
      </c>
      <c r="CM92">
        <v>2.8050201443306699</v>
      </c>
      <c r="CN92">
        <v>4.36429568964504</v>
      </c>
      <c r="CO92">
        <v>0.41387721272915101</v>
      </c>
      <c r="CP92">
        <v>0.36819176989299701</v>
      </c>
      <c r="CQ92">
        <v>0.40833165675504501</v>
      </c>
      <c r="CR92">
        <v>2.8321411696171599</v>
      </c>
      <c r="CS92">
        <v>0.52814087147043098</v>
      </c>
      <c r="CT92">
        <v>0.63793692926158996</v>
      </c>
      <c r="CU92">
        <v>0.58144860600090498</v>
      </c>
      <c r="CV92">
        <v>3.2092174423231201</v>
      </c>
      <c r="CW92">
        <v>0.58833430592352998</v>
      </c>
    </row>
    <row r="93" spans="1:101" x14ac:dyDescent="0.25">
      <c r="A93" s="6">
        <v>92</v>
      </c>
      <c r="B93" s="6">
        <v>1</v>
      </c>
      <c r="C93" t="s">
        <v>144</v>
      </c>
      <c r="D93" t="s">
        <v>173</v>
      </c>
      <c r="E93" t="s">
        <v>168</v>
      </c>
      <c r="F93">
        <v>-1</v>
      </c>
      <c r="G93">
        <v>47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12032</v>
      </c>
      <c r="P93">
        <v>5041.4210455787597</v>
      </c>
      <c r="Q93">
        <v>-1</v>
      </c>
      <c r="R93">
        <v>-1</v>
      </c>
      <c r="S93">
        <v>-1</v>
      </c>
      <c r="T93">
        <v>0.40200000000000002</v>
      </c>
      <c r="U93">
        <v>0.501</v>
      </c>
      <c r="V93">
        <v>0.36699999999999999</v>
      </c>
      <c r="W93">
        <v>0.47199999999999998</v>
      </c>
      <c r="X93">
        <v>0.36899999999999999</v>
      </c>
      <c r="Y93">
        <v>0.497</v>
      </c>
      <c r="Z93">
        <v>0.38900000000000001</v>
      </c>
      <c r="AA93">
        <v>0.82499999999999996</v>
      </c>
      <c r="AB93">
        <v>0.82399999999999995</v>
      </c>
      <c r="AC93">
        <v>0.40600000000000003</v>
      </c>
      <c r="AD93">
        <v>0.48699999999999999</v>
      </c>
      <c r="AE93">
        <v>0.78400000000000003</v>
      </c>
      <c r="AF93">
        <v>0.46</v>
      </c>
      <c r="AG93">
        <v>0.61599999999999999</v>
      </c>
      <c r="AH93">
        <v>0.38900000000000001</v>
      </c>
      <c r="AI93">
        <v>0.67900000000000005</v>
      </c>
      <c r="AJ93">
        <v>0.502</v>
      </c>
      <c r="AK93">
        <v>0.67300000000000004</v>
      </c>
      <c r="AL93">
        <v>0.373</v>
      </c>
      <c r="AM93">
        <v>0.374</v>
      </c>
      <c r="AN93" t="s">
        <v>169</v>
      </c>
      <c r="AO93" t="s">
        <v>169</v>
      </c>
      <c r="AP93" t="s">
        <v>169</v>
      </c>
      <c r="AQ93" t="s">
        <v>169</v>
      </c>
      <c r="AR93" t="s">
        <v>169</v>
      </c>
      <c r="AS93" t="s">
        <v>169</v>
      </c>
      <c r="AT93" t="s">
        <v>169</v>
      </c>
      <c r="AU93" t="s">
        <v>169</v>
      </c>
      <c r="AV93" t="s">
        <v>169</v>
      </c>
      <c r="AW93" t="s">
        <v>169</v>
      </c>
      <c r="AX93" t="s">
        <v>169</v>
      </c>
      <c r="AY93" t="s">
        <v>169</v>
      </c>
      <c r="AZ93" t="s">
        <v>169</v>
      </c>
      <c r="BA93" t="s">
        <v>169</v>
      </c>
      <c r="BB93" t="s">
        <v>169</v>
      </c>
      <c r="BC93" t="s">
        <v>169</v>
      </c>
      <c r="BD93" t="s">
        <v>169</v>
      </c>
      <c r="BE93" t="s">
        <v>169</v>
      </c>
      <c r="BF93" t="s">
        <v>169</v>
      </c>
      <c r="BG93" t="s">
        <v>169</v>
      </c>
      <c r="CB93">
        <v>0.63222521303169155</v>
      </c>
      <c r="CC93">
        <v>3187.3134945234847</v>
      </c>
      <c r="CD93">
        <v>0.14115825166425999</v>
      </c>
      <c r="CE93">
        <v>0.33828645708800298</v>
      </c>
      <c r="CF93">
        <v>9.8322545827008598E-2</v>
      </c>
      <c r="CG93">
        <v>0.26697990521414</v>
      </c>
      <c r="CH93">
        <v>0.100467018374927</v>
      </c>
      <c r="CI93">
        <v>0.32769038847774401</v>
      </c>
      <c r="CJ93">
        <v>0.123887861734121</v>
      </c>
      <c r="CK93">
        <v>2.4504791728531501</v>
      </c>
      <c r="CL93">
        <v>2.4387083787608899</v>
      </c>
      <c r="CM93">
        <v>0.14681728655058601</v>
      </c>
      <c r="CN93">
        <v>0.30228654440515801</v>
      </c>
      <c r="CO93">
        <v>2.0015369355845598</v>
      </c>
      <c r="CP93">
        <v>0.24103351366449599</v>
      </c>
      <c r="CQ93">
        <v>0.76835914968136498</v>
      </c>
      <c r="CR93">
        <v>0.123887861734121</v>
      </c>
      <c r="CS93">
        <v>1.13097197610681</v>
      </c>
      <c r="CT93">
        <v>0.34097504629973002</v>
      </c>
      <c r="CU93">
        <v>1.0918139650465</v>
      </c>
      <c r="CV93">
        <v>0.104860736147531</v>
      </c>
      <c r="CW93">
        <v>0.10598126541873</v>
      </c>
    </row>
    <row r="94" spans="1:101" x14ac:dyDescent="0.25">
      <c r="A94" s="6">
        <v>93</v>
      </c>
      <c r="B94" s="6">
        <v>1</v>
      </c>
      <c r="C94" t="s">
        <v>144</v>
      </c>
      <c r="D94" t="s">
        <v>157</v>
      </c>
      <c r="E94" t="s">
        <v>158</v>
      </c>
      <c r="F94">
        <v>42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42</v>
      </c>
      <c r="P94">
        <v>17.598045538090801</v>
      </c>
      <c r="Q94">
        <v>-1</v>
      </c>
      <c r="R94">
        <v>-1</v>
      </c>
      <c r="S94">
        <v>-1</v>
      </c>
      <c r="T94">
        <v>1.879</v>
      </c>
      <c r="U94">
        <v>2.585</v>
      </c>
      <c r="V94">
        <v>1.83</v>
      </c>
      <c r="W94">
        <v>2.4809999999999999</v>
      </c>
      <c r="X94">
        <v>2.532</v>
      </c>
      <c r="Y94">
        <v>2.5649999999999999</v>
      </c>
      <c r="Z94">
        <v>2.76</v>
      </c>
      <c r="AA94">
        <v>3.0539999999999998</v>
      </c>
      <c r="AB94">
        <v>1.89</v>
      </c>
      <c r="AC94">
        <v>3.3929999999999998</v>
      </c>
      <c r="AD94">
        <v>2.1800000000000002</v>
      </c>
      <c r="AE94">
        <v>3.1640000000000001</v>
      </c>
      <c r="AF94">
        <v>2.9649999999999999</v>
      </c>
      <c r="AG94">
        <v>2.1070000000000002</v>
      </c>
      <c r="AH94">
        <v>1.887</v>
      </c>
      <c r="AI94">
        <v>2.23</v>
      </c>
      <c r="AJ94">
        <v>2.8929999999999998</v>
      </c>
      <c r="AK94">
        <v>1.7170000000000001</v>
      </c>
      <c r="AL94">
        <v>1.7529999999999999</v>
      </c>
      <c r="AM94">
        <v>2.3479999999999999</v>
      </c>
      <c r="AN94" t="s">
        <v>159</v>
      </c>
      <c r="AO94" t="s">
        <v>159</v>
      </c>
      <c r="AP94" t="s">
        <v>159</v>
      </c>
      <c r="AQ94" t="s">
        <v>159</v>
      </c>
      <c r="AR94" t="s">
        <v>159</v>
      </c>
      <c r="AS94" t="s">
        <v>159</v>
      </c>
      <c r="AT94" t="s">
        <v>159</v>
      </c>
      <c r="AU94" t="s">
        <v>159</v>
      </c>
      <c r="AV94" t="s">
        <v>159</v>
      </c>
      <c r="AW94" t="s">
        <v>159</v>
      </c>
      <c r="AX94" t="s">
        <v>159</v>
      </c>
      <c r="AY94" t="s">
        <v>159</v>
      </c>
      <c r="AZ94" t="s">
        <v>159</v>
      </c>
      <c r="BA94" t="s">
        <v>159</v>
      </c>
      <c r="BB94" t="s">
        <v>159</v>
      </c>
      <c r="BC94" t="s">
        <v>159</v>
      </c>
      <c r="BD94" t="s">
        <v>159</v>
      </c>
      <c r="BE94" t="s">
        <v>159</v>
      </c>
      <c r="BF94" t="s">
        <v>159</v>
      </c>
      <c r="BG94" t="s">
        <v>159</v>
      </c>
      <c r="CB94">
        <v>111.75905783141759</v>
      </c>
      <c r="CC94">
        <v>1966.7409890114102</v>
      </c>
      <c r="CD94">
        <v>63.322835576695297</v>
      </c>
      <c r="CE94">
        <v>123.337723420402</v>
      </c>
      <c r="CF94">
        <v>59.920601091363501</v>
      </c>
      <c r="CG94">
        <v>113.19397758899601</v>
      </c>
      <c r="CH94">
        <v>118.11159099085801</v>
      </c>
      <c r="CI94">
        <v>121.351733879256</v>
      </c>
      <c r="CJ94">
        <v>141.43385056921201</v>
      </c>
      <c r="CK94">
        <v>174.75502083021601</v>
      </c>
      <c r="CL94">
        <v>64.100077486236799</v>
      </c>
      <c r="CM94">
        <v>217.75776501499001</v>
      </c>
      <c r="CN94">
        <v>86.382835468441399</v>
      </c>
      <c r="CO94">
        <v>188.168800372231</v>
      </c>
      <c r="CP94">
        <v>164.28011643045099</v>
      </c>
      <c r="CQ94">
        <v>80.447446423956194</v>
      </c>
      <c r="CR94">
        <v>63.8876119727298</v>
      </c>
      <c r="CS94">
        <v>90.575459837344795</v>
      </c>
      <c r="CT94">
        <v>156.052816042953</v>
      </c>
      <c r="CU94">
        <v>52.447319944845603</v>
      </c>
      <c r="CV94">
        <v>54.771872487795399</v>
      </c>
      <c r="CW94">
        <v>100.881701199378</v>
      </c>
    </row>
    <row r="95" spans="1:101" x14ac:dyDescent="0.25">
      <c r="A95" s="6">
        <v>94</v>
      </c>
      <c r="B95" s="6">
        <v>1</v>
      </c>
      <c r="C95" t="s">
        <v>144</v>
      </c>
      <c r="D95" t="s">
        <v>172</v>
      </c>
      <c r="E95" t="s">
        <v>158</v>
      </c>
      <c r="F95">
        <v>-1</v>
      </c>
      <c r="G95">
        <v>53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13568</v>
      </c>
      <c r="P95">
        <v>5685.0067109718002</v>
      </c>
      <c r="Q95">
        <v>-1</v>
      </c>
      <c r="R95">
        <v>-1</v>
      </c>
      <c r="S95">
        <v>-1</v>
      </c>
      <c r="T95">
        <v>0.23499999999999999</v>
      </c>
      <c r="U95">
        <v>0.28899999999999998</v>
      </c>
      <c r="V95">
        <v>0.21299999999999999</v>
      </c>
      <c r="W95">
        <v>0.27900000000000003</v>
      </c>
      <c r="X95">
        <v>0.314</v>
      </c>
      <c r="Y95">
        <v>0.26100000000000001</v>
      </c>
      <c r="Z95">
        <v>0.29899999999999999</v>
      </c>
      <c r="AA95">
        <v>0.26300000000000001</v>
      </c>
      <c r="AB95">
        <v>0.30499999999999999</v>
      </c>
      <c r="AC95">
        <v>0.223</v>
      </c>
      <c r="AD95">
        <v>0.33400000000000002</v>
      </c>
      <c r="AE95">
        <v>0.27700000000000002</v>
      </c>
      <c r="AF95">
        <v>0.33</v>
      </c>
      <c r="AG95">
        <v>0.24099999999999999</v>
      </c>
      <c r="AH95">
        <v>0.30599999999999999</v>
      </c>
      <c r="AI95">
        <v>0.20499999999999999</v>
      </c>
      <c r="AJ95">
        <v>0.34499999999999997</v>
      </c>
      <c r="AK95">
        <v>0.27300000000000002</v>
      </c>
      <c r="AL95">
        <v>0.28499999999999998</v>
      </c>
      <c r="AM95">
        <v>0.309</v>
      </c>
      <c r="AN95" t="s">
        <v>159</v>
      </c>
      <c r="AO95" t="s">
        <v>159</v>
      </c>
      <c r="AP95" t="s">
        <v>159</v>
      </c>
      <c r="AQ95" t="s">
        <v>159</v>
      </c>
      <c r="AR95" t="s">
        <v>159</v>
      </c>
      <c r="AS95" t="s">
        <v>159</v>
      </c>
      <c r="AT95" t="s">
        <v>159</v>
      </c>
      <c r="AU95" t="s">
        <v>159</v>
      </c>
      <c r="AV95" t="s">
        <v>159</v>
      </c>
      <c r="AW95" t="s">
        <v>159</v>
      </c>
      <c r="AX95" t="s">
        <v>159</v>
      </c>
      <c r="AY95" t="s">
        <v>159</v>
      </c>
      <c r="AZ95" t="s">
        <v>159</v>
      </c>
      <c r="BA95" t="s">
        <v>159</v>
      </c>
      <c r="BB95" t="s">
        <v>159</v>
      </c>
      <c r="BC95" t="s">
        <v>159</v>
      </c>
      <c r="BD95" t="s">
        <v>159</v>
      </c>
      <c r="BE95" t="s">
        <v>159</v>
      </c>
      <c r="BF95" t="s">
        <v>159</v>
      </c>
      <c r="BG95" t="s">
        <v>159</v>
      </c>
      <c r="CB95">
        <v>0.62034654646282528</v>
      </c>
      <c r="CC95">
        <v>3526.6742797693414</v>
      </c>
      <c r="CD95">
        <v>0.386018684580413</v>
      </c>
      <c r="CE95">
        <v>0.65144563297581304</v>
      </c>
      <c r="CF95">
        <v>0.30102809594482799</v>
      </c>
      <c r="CG95">
        <v>0.595916306080575</v>
      </c>
      <c r="CH95">
        <v>0.80359762501548704</v>
      </c>
      <c r="CI95">
        <v>0.50339293784214301</v>
      </c>
      <c r="CJ95">
        <v>0.70999410262278095</v>
      </c>
      <c r="CK95">
        <v>0.51320949009263905</v>
      </c>
      <c r="CL95">
        <v>0.74659526022016598</v>
      </c>
      <c r="CM95">
        <v>0.33807880018450098</v>
      </c>
      <c r="CN95">
        <v>0.93947493121896597</v>
      </c>
      <c r="CO95">
        <v>0.58516784102181196</v>
      </c>
      <c r="CP95">
        <v>0.91126964277005995</v>
      </c>
      <c r="CQ95">
        <v>0.41144307076181802</v>
      </c>
      <c r="CR95">
        <v>0.75280387152912998</v>
      </c>
      <c r="CS95">
        <v>0.27323976515410697</v>
      </c>
      <c r="CT95">
        <v>1.0197388032564401</v>
      </c>
      <c r="CU95">
        <v>0.56402471134249299</v>
      </c>
      <c r="CV95">
        <v>0.628874710985174</v>
      </c>
      <c r="CW95">
        <v>0.77161664565715904</v>
      </c>
    </row>
    <row r="96" spans="1:101" x14ac:dyDescent="0.25">
      <c r="A96" s="6">
        <v>95</v>
      </c>
      <c r="B96" s="6">
        <v>1</v>
      </c>
      <c r="C96" t="s">
        <v>144</v>
      </c>
      <c r="D96" t="s">
        <v>166</v>
      </c>
      <c r="E96" t="s">
        <v>154</v>
      </c>
      <c r="F96">
        <v>-1</v>
      </c>
      <c r="G96">
        <v>6</v>
      </c>
      <c r="H96">
        <v>7</v>
      </c>
      <c r="I96">
        <v>-1</v>
      </c>
      <c r="J96">
        <v>-1</v>
      </c>
      <c r="K96">
        <v>10</v>
      </c>
      <c r="L96">
        <v>12</v>
      </c>
      <c r="M96">
        <v>-1</v>
      </c>
      <c r="N96">
        <v>-1</v>
      </c>
      <c r="O96">
        <v>2986.6666666666702</v>
      </c>
      <c r="P96">
        <v>1251.4165715975701</v>
      </c>
      <c r="Q96">
        <v>-1</v>
      </c>
      <c r="R96">
        <v>-1</v>
      </c>
      <c r="S96">
        <v>-1</v>
      </c>
      <c r="T96">
        <v>0.73199999999999998</v>
      </c>
      <c r="U96">
        <v>0.73499999999999999</v>
      </c>
      <c r="V96">
        <v>0.82099999999999995</v>
      </c>
      <c r="W96">
        <v>0.84899999999999998</v>
      </c>
      <c r="X96">
        <v>0.73299999999999998</v>
      </c>
      <c r="Y96">
        <v>0.95699999999999996</v>
      </c>
      <c r="Z96">
        <v>0.90600000000000003</v>
      </c>
      <c r="AA96">
        <v>0.66300000000000003</v>
      </c>
      <c r="AB96">
        <v>0.73899999999999999</v>
      </c>
      <c r="AC96">
        <v>0.96899999999999997</v>
      </c>
      <c r="AD96">
        <v>0.82099999999999995</v>
      </c>
      <c r="AE96">
        <v>0.76700000000000002</v>
      </c>
      <c r="AF96">
        <v>0.874</v>
      </c>
      <c r="AG96">
        <v>0.85899999999999999</v>
      </c>
      <c r="AH96">
        <v>0.88</v>
      </c>
      <c r="AI96">
        <v>0.86499999999999999</v>
      </c>
      <c r="AJ96">
        <v>0.85599999999999998</v>
      </c>
      <c r="AK96">
        <v>0.74199999999999999</v>
      </c>
      <c r="AL96">
        <v>0.77800000000000002</v>
      </c>
      <c r="AM96">
        <v>0.79500000000000004</v>
      </c>
      <c r="AN96" t="s">
        <v>156</v>
      </c>
      <c r="AO96" t="s">
        <v>156</v>
      </c>
      <c r="AP96" t="s">
        <v>156</v>
      </c>
      <c r="AQ96" t="s">
        <v>155</v>
      </c>
      <c r="AR96" t="s">
        <v>156</v>
      </c>
      <c r="AS96" t="s">
        <v>155</v>
      </c>
      <c r="AT96" t="s">
        <v>155</v>
      </c>
      <c r="AU96" t="s">
        <v>156</v>
      </c>
      <c r="AV96" t="s">
        <v>156</v>
      </c>
      <c r="AW96" t="s">
        <v>155</v>
      </c>
      <c r="AX96" t="s">
        <v>155</v>
      </c>
      <c r="AY96" t="s">
        <v>156</v>
      </c>
      <c r="AZ96" t="s">
        <v>155</v>
      </c>
      <c r="BA96" t="s">
        <v>155</v>
      </c>
      <c r="BB96" t="s">
        <v>155</v>
      </c>
      <c r="BC96" t="s">
        <v>155</v>
      </c>
      <c r="BD96" t="s">
        <v>155</v>
      </c>
      <c r="BE96" t="s">
        <v>156</v>
      </c>
      <c r="BF96" t="s">
        <v>156</v>
      </c>
      <c r="BG96" t="s">
        <v>156</v>
      </c>
      <c r="CB96">
        <v>2.4900722776527884</v>
      </c>
      <c r="CC96">
        <v>3116.1177127304049</v>
      </c>
      <c r="CD96">
        <v>1.52418552110988</v>
      </c>
      <c r="CE96">
        <v>1.54913610558212</v>
      </c>
      <c r="CF96">
        <v>2.4036496913128098</v>
      </c>
      <c r="CG96">
        <v>2.7459483887317799</v>
      </c>
      <c r="CH96">
        <v>1.53246872215157</v>
      </c>
      <c r="CI96">
        <v>4.41722206537513</v>
      </c>
      <c r="CJ96">
        <v>3.5540847912740001</v>
      </c>
      <c r="CK96">
        <v>1.0288156162506501</v>
      </c>
      <c r="CL96">
        <v>1.5828773344521101</v>
      </c>
      <c r="CM96">
        <v>4.6412422265537403</v>
      </c>
      <c r="CN96">
        <v>2.4036496913128098</v>
      </c>
      <c r="CO96">
        <v>1.8347058040209601</v>
      </c>
      <c r="CP96">
        <v>3.0812662535889501</v>
      </c>
      <c r="CQ96">
        <v>2.8766147326331</v>
      </c>
      <c r="CR96">
        <v>3.1661030665237901</v>
      </c>
      <c r="CS96">
        <v>2.95721422493411</v>
      </c>
      <c r="CT96">
        <v>2.8369369622679099</v>
      </c>
      <c r="CU96">
        <v>1.6085417734779901</v>
      </c>
      <c r="CV96">
        <v>1.94141258251266</v>
      </c>
      <c r="CW96">
        <v>2.1153699989897001</v>
      </c>
    </row>
    <row r="97" spans="1:101" x14ac:dyDescent="0.25">
      <c r="A97" s="6">
        <v>96</v>
      </c>
      <c r="B97" s="6">
        <v>1</v>
      </c>
      <c r="C97" t="s">
        <v>145</v>
      </c>
      <c r="D97" t="s">
        <v>166</v>
      </c>
      <c r="E97" t="s">
        <v>154</v>
      </c>
      <c r="F97">
        <v>-1</v>
      </c>
      <c r="G97">
        <v>19</v>
      </c>
      <c r="H97">
        <v>17</v>
      </c>
      <c r="I97">
        <v>-1</v>
      </c>
      <c r="J97">
        <v>-1</v>
      </c>
      <c r="K97">
        <v>12</v>
      </c>
      <c r="L97">
        <v>9</v>
      </c>
      <c r="M97">
        <v>-1</v>
      </c>
      <c r="N97">
        <v>-1</v>
      </c>
      <c r="O97">
        <v>2432</v>
      </c>
      <c r="P97">
        <v>995.58510499018098</v>
      </c>
      <c r="Q97">
        <v>-1</v>
      </c>
      <c r="R97">
        <v>-1</v>
      </c>
      <c r="S97">
        <v>-1</v>
      </c>
      <c r="T97">
        <v>0.96399999999999997</v>
      </c>
      <c r="U97">
        <v>1.042</v>
      </c>
      <c r="V97">
        <v>0.85499999999999998</v>
      </c>
      <c r="W97">
        <v>1.0149999999999999</v>
      </c>
      <c r="X97">
        <v>1.002</v>
      </c>
      <c r="Y97">
        <v>0.78800000000000003</v>
      </c>
      <c r="Z97">
        <v>0.80900000000000005</v>
      </c>
      <c r="AA97">
        <v>0.97199999999999998</v>
      </c>
      <c r="AB97">
        <v>0.81399999999999995</v>
      </c>
      <c r="AC97">
        <v>0.78100000000000003</v>
      </c>
      <c r="AD97">
        <v>0.95599999999999996</v>
      </c>
      <c r="AE97">
        <v>0.81599999999999995</v>
      </c>
      <c r="AF97">
        <v>0.80900000000000005</v>
      </c>
      <c r="AG97">
        <v>0.82299999999999995</v>
      </c>
      <c r="AH97">
        <v>0.80200000000000005</v>
      </c>
      <c r="AI97">
        <v>1.006</v>
      </c>
      <c r="AJ97">
        <v>0.78900000000000003</v>
      </c>
      <c r="AK97">
        <v>0.79100000000000004</v>
      </c>
      <c r="AL97">
        <v>0.81399999999999995</v>
      </c>
      <c r="AM97">
        <v>0.80200000000000005</v>
      </c>
      <c r="AN97" t="s">
        <v>155</v>
      </c>
      <c r="AO97" t="s">
        <v>155</v>
      </c>
      <c r="AP97" t="s">
        <v>155</v>
      </c>
      <c r="AQ97" t="s">
        <v>155</v>
      </c>
      <c r="AR97" t="s">
        <v>155</v>
      </c>
      <c r="AS97" t="s">
        <v>155</v>
      </c>
      <c r="AT97" t="s">
        <v>156</v>
      </c>
      <c r="AU97" t="s">
        <v>155</v>
      </c>
      <c r="AV97" t="s">
        <v>155</v>
      </c>
      <c r="AW97" t="s">
        <v>156</v>
      </c>
      <c r="AX97" t="s">
        <v>155</v>
      </c>
      <c r="AY97" t="s">
        <v>156</v>
      </c>
      <c r="AZ97" t="s">
        <v>156</v>
      </c>
      <c r="BA97" t="s">
        <v>156</v>
      </c>
      <c r="BB97" t="s">
        <v>156</v>
      </c>
      <c r="BC97" t="s">
        <v>155</v>
      </c>
      <c r="BD97" t="s">
        <v>156</v>
      </c>
      <c r="BE97" t="s">
        <v>156</v>
      </c>
      <c r="BF97" t="s">
        <v>156</v>
      </c>
      <c r="BG97" t="s">
        <v>156</v>
      </c>
      <c r="CB97">
        <v>3.2700743571227471</v>
      </c>
      <c r="CC97">
        <v>3255.6373221617487</v>
      </c>
      <c r="CD97">
        <v>4.5468922701232897</v>
      </c>
      <c r="CE97">
        <v>6.19246676273338</v>
      </c>
      <c r="CF97">
        <v>2.8238024807844102</v>
      </c>
      <c r="CG97">
        <v>5.57954812315272</v>
      </c>
      <c r="CH97">
        <v>5.3011939595321502</v>
      </c>
      <c r="CI97">
        <v>2.0423864634905899</v>
      </c>
      <c r="CJ97">
        <v>2.2671720075279098</v>
      </c>
      <c r="CK97">
        <v>4.6985506374539199</v>
      </c>
      <c r="CL97">
        <v>2.3233130260173298</v>
      </c>
      <c r="CM97">
        <v>1.97130327968347</v>
      </c>
      <c r="CN97">
        <v>4.3989261629137397</v>
      </c>
      <c r="CO97">
        <v>2.3460581379249699</v>
      </c>
      <c r="CP97">
        <v>2.2671720075279098</v>
      </c>
      <c r="CQ97">
        <v>2.4269799345799301</v>
      </c>
      <c r="CR97">
        <v>2.1902872851766801</v>
      </c>
      <c r="CS97">
        <v>5.3857082492001904</v>
      </c>
      <c r="CT97">
        <v>2.05269555890222</v>
      </c>
      <c r="CU97">
        <v>2.07343048453611</v>
      </c>
      <c r="CV97">
        <v>2.3233130260173298</v>
      </c>
      <c r="CW97">
        <v>2.1902872851766801</v>
      </c>
    </row>
    <row r="98" spans="1:101" x14ac:dyDescent="0.25">
      <c r="A98" s="6">
        <v>97</v>
      </c>
      <c r="B98" s="6">
        <v>1</v>
      </c>
      <c r="C98" t="s">
        <v>145</v>
      </c>
      <c r="D98" t="s">
        <v>165</v>
      </c>
      <c r="E98" t="s">
        <v>158</v>
      </c>
      <c r="F98">
        <v>-1</v>
      </c>
      <c r="G98">
        <v>6</v>
      </c>
      <c r="H98">
        <v>-1</v>
      </c>
      <c r="I98">
        <v>-1</v>
      </c>
      <c r="J98">
        <v>-1</v>
      </c>
      <c r="K98">
        <v>9</v>
      </c>
      <c r="L98">
        <v>-1</v>
      </c>
      <c r="M98">
        <v>24</v>
      </c>
      <c r="N98">
        <v>-1</v>
      </c>
      <c r="O98">
        <v>713.142857142857</v>
      </c>
      <c r="P98">
        <v>291.93848943321098</v>
      </c>
      <c r="Q98">
        <v>-1</v>
      </c>
      <c r="R98">
        <v>-1</v>
      </c>
      <c r="S98">
        <v>-1</v>
      </c>
      <c r="T98">
        <v>1.5609999999999999</v>
      </c>
      <c r="U98">
        <v>2.4380000000000002</v>
      </c>
      <c r="V98">
        <v>0.89600000000000002</v>
      </c>
      <c r="W98">
        <v>1.4239999999999999</v>
      </c>
      <c r="X98">
        <v>2.5619999999999998</v>
      </c>
      <c r="Y98">
        <v>2.9689999999999999</v>
      </c>
      <c r="Z98">
        <v>2.4790000000000001</v>
      </c>
      <c r="AA98">
        <v>3.4049999999999998</v>
      </c>
      <c r="AB98">
        <v>3.9079999999999999</v>
      </c>
      <c r="AC98">
        <v>1.369</v>
      </c>
      <c r="AD98">
        <v>2.9750000000000001</v>
      </c>
      <c r="AE98">
        <v>2.6469999999999998</v>
      </c>
      <c r="AF98">
        <v>2.649</v>
      </c>
      <c r="AG98">
        <v>2.391</v>
      </c>
      <c r="AH98">
        <v>0.97499999999999998</v>
      </c>
      <c r="AI98">
        <v>2.5369999999999999</v>
      </c>
      <c r="AJ98">
        <v>1.804</v>
      </c>
      <c r="AK98">
        <v>1.294</v>
      </c>
      <c r="AL98">
        <v>2.0739999999999998</v>
      </c>
      <c r="AM98">
        <v>0.82299999999999995</v>
      </c>
      <c r="AN98" t="s">
        <v>159</v>
      </c>
      <c r="AO98" t="s">
        <v>159</v>
      </c>
      <c r="AP98" t="s">
        <v>159</v>
      </c>
      <c r="AQ98" t="s">
        <v>159</v>
      </c>
      <c r="AR98" t="s">
        <v>159</v>
      </c>
      <c r="AS98" t="s">
        <v>159</v>
      </c>
      <c r="AT98" t="s">
        <v>159</v>
      </c>
      <c r="AU98" t="s">
        <v>159</v>
      </c>
      <c r="AV98" t="s">
        <v>159</v>
      </c>
      <c r="AW98" t="s">
        <v>159</v>
      </c>
      <c r="AX98" t="s">
        <v>159</v>
      </c>
      <c r="AY98" t="s">
        <v>159</v>
      </c>
      <c r="AZ98" t="s">
        <v>159</v>
      </c>
      <c r="BA98" t="s">
        <v>159</v>
      </c>
      <c r="BB98" t="s">
        <v>159</v>
      </c>
      <c r="BC98" t="s">
        <v>159</v>
      </c>
      <c r="BD98" t="s">
        <v>159</v>
      </c>
      <c r="BE98" t="s">
        <v>159</v>
      </c>
      <c r="BF98" t="s">
        <v>159</v>
      </c>
      <c r="BG98" t="s">
        <v>159</v>
      </c>
      <c r="CB98">
        <v>4.5921659398622641</v>
      </c>
      <c r="CC98">
        <v>1340.6299877100309</v>
      </c>
      <c r="CD98">
        <v>1.44342986604171</v>
      </c>
      <c r="CE98">
        <v>4.7466796042560304</v>
      </c>
      <c r="CF98">
        <v>0.32784783620804703</v>
      </c>
      <c r="CG98">
        <v>1.12948796383744</v>
      </c>
      <c r="CH98">
        <v>5.4189631871946897</v>
      </c>
      <c r="CI98">
        <v>8.0330258305165803</v>
      </c>
      <c r="CJ98">
        <v>4.9628170128305102</v>
      </c>
      <c r="CK98">
        <v>11.581441991898901</v>
      </c>
      <c r="CL98">
        <v>16.7312580640546</v>
      </c>
      <c r="CM98">
        <v>1.0167335214961399</v>
      </c>
      <c r="CN98">
        <v>8.0764432527065608</v>
      </c>
      <c r="CO98">
        <v>5.9123884395445003</v>
      </c>
      <c r="CP98">
        <v>5.9243234892581897</v>
      </c>
      <c r="CQ98">
        <v>4.5062720184037701</v>
      </c>
      <c r="CR98">
        <v>0.41082064470158802</v>
      </c>
      <c r="CS98">
        <v>5.2789261124989304</v>
      </c>
      <c r="CT98">
        <v>2.1240340743314698</v>
      </c>
      <c r="CU98">
        <v>0.87473087053278398</v>
      </c>
      <c r="CV98">
        <v>3.0824021849778198</v>
      </c>
      <c r="CW98">
        <v>0.26129283195498598</v>
      </c>
    </row>
    <row r="99" spans="1:101" x14ac:dyDescent="0.25">
      <c r="A99" s="6">
        <v>98</v>
      </c>
      <c r="B99" s="6">
        <v>1</v>
      </c>
      <c r="C99" t="s">
        <v>145</v>
      </c>
      <c r="D99" t="s">
        <v>153</v>
      </c>
      <c r="E99" t="s">
        <v>154</v>
      </c>
      <c r="F99">
        <v>-1</v>
      </c>
      <c r="G99">
        <v>4</v>
      </c>
      <c r="H99">
        <v>2</v>
      </c>
      <c r="I99">
        <v>-1</v>
      </c>
      <c r="J99">
        <v>-1</v>
      </c>
      <c r="K99">
        <v>2</v>
      </c>
      <c r="L99">
        <v>4</v>
      </c>
      <c r="M99">
        <v>-1</v>
      </c>
      <c r="N99">
        <v>-1</v>
      </c>
      <c r="O99">
        <v>512</v>
      </c>
      <c r="P99">
        <v>209.59686420845901</v>
      </c>
      <c r="Q99">
        <v>-1</v>
      </c>
      <c r="R99">
        <v>-1</v>
      </c>
      <c r="S99">
        <v>-1</v>
      </c>
      <c r="T99">
        <v>0.61</v>
      </c>
      <c r="U99">
        <v>1.288</v>
      </c>
      <c r="V99">
        <v>1.107</v>
      </c>
      <c r="W99">
        <v>1.1299999999999999</v>
      </c>
      <c r="X99">
        <v>0.93</v>
      </c>
      <c r="Y99">
        <v>0.96099999999999997</v>
      </c>
      <c r="Z99">
        <v>1.1359999999999999</v>
      </c>
      <c r="AA99">
        <v>1.1639999999999999</v>
      </c>
      <c r="AB99">
        <v>1.357</v>
      </c>
      <c r="AC99">
        <v>1.3759999999999999</v>
      </c>
      <c r="AD99">
        <v>1.131</v>
      </c>
      <c r="AE99">
        <v>1.0609999999999999</v>
      </c>
      <c r="AN99" t="s">
        <v>159</v>
      </c>
      <c r="AO99" t="s">
        <v>155</v>
      </c>
      <c r="AP99" t="s">
        <v>156</v>
      </c>
      <c r="AQ99" t="s">
        <v>156</v>
      </c>
      <c r="AR99" t="s">
        <v>155</v>
      </c>
      <c r="AS99" t="s">
        <v>155</v>
      </c>
      <c r="AT99" t="s">
        <v>156</v>
      </c>
      <c r="AU99" t="s">
        <v>156</v>
      </c>
      <c r="AV99" t="s">
        <v>155</v>
      </c>
      <c r="AW99" t="s">
        <v>155</v>
      </c>
      <c r="AX99" t="s">
        <v>156</v>
      </c>
      <c r="AY99" t="s">
        <v>156</v>
      </c>
      <c r="CB99">
        <v>6.7481623775794572</v>
      </c>
      <c r="CC99">
        <v>1414.3936735101533</v>
      </c>
      <c r="CD99">
        <v>1.36311500632109</v>
      </c>
      <c r="CE99">
        <v>9.4451815794461194</v>
      </c>
      <c r="CF99">
        <v>6.3807328858626402</v>
      </c>
      <c r="CG99">
        <v>6.7297881772509696</v>
      </c>
      <c r="CH99">
        <v>4.0634887617831703</v>
      </c>
      <c r="CI99">
        <v>4.4236606145742297</v>
      </c>
      <c r="CJ99">
        <v>6.8227287347915198</v>
      </c>
      <c r="CK99">
        <v>7.26685417512968</v>
      </c>
      <c r="CL99">
        <v>10.8120994491725</v>
      </c>
      <c r="CM99">
        <v>11.2085638471836</v>
      </c>
      <c r="CN99">
        <v>6.7452239439047297</v>
      </c>
      <c r="CO99">
        <v>5.7165113555332301</v>
      </c>
    </row>
    <row r="100" spans="1:101" x14ac:dyDescent="0.25">
      <c r="A100" s="6">
        <v>99</v>
      </c>
      <c r="B100" s="6">
        <v>1</v>
      </c>
      <c r="C100" t="s">
        <v>145</v>
      </c>
      <c r="D100" t="s">
        <v>161</v>
      </c>
      <c r="E100" t="s">
        <v>154</v>
      </c>
      <c r="F100">
        <v>-1</v>
      </c>
      <c r="G100">
        <v>11</v>
      </c>
      <c r="H100">
        <v>5</v>
      </c>
      <c r="I100">
        <v>-1</v>
      </c>
      <c r="J100">
        <v>-1</v>
      </c>
      <c r="K100">
        <v>4</v>
      </c>
      <c r="L100">
        <v>1</v>
      </c>
      <c r="M100">
        <v>-1</v>
      </c>
      <c r="N100">
        <v>-1</v>
      </c>
      <c r="O100">
        <v>896</v>
      </c>
      <c r="P100">
        <v>366.79451236480401</v>
      </c>
      <c r="Q100">
        <v>-1</v>
      </c>
      <c r="R100">
        <v>-1</v>
      </c>
      <c r="S100">
        <v>-1</v>
      </c>
      <c r="T100">
        <v>0.94499999999999995</v>
      </c>
      <c r="U100">
        <v>0.91200000000000003</v>
      </c>
      <c r="V100">
        <v>0.89100000000000001</v>
      </c>
      <c r="W100">
        <v>0.91400000000000003</v>
      </c>
      <c r="X100">
        <v>0.90700000000000003</v>
      </c>
      <c r="Y100">
        <v>0.84599999999999997</v>
      </c>
      <c r="Z100">
        <v>0.86799999999999999</v>
      </c>
      <c r="AA100">
        <v>0.93100000000000005</v>
      </c>
      <c r="AB100">
        <v>0.95199999999999996</v>
      </c>
      <c r="AC100">
        <v>0.96299999999999997</v>
      </c>
      <c r="AD100">
        <v>0.92800000000000005</v>
      </c>
      <c r="AE100">
        <v>0.96699999999999997</v>
      </c>
      <c r="AF100">
        <v>0.91800000000000004</v>
      </c>
      <c r="AG100">
        <v>0.91200000000000003</v>
      </c>
      <c r="AH100">
        <v>0.94899999999999995</v>
      </c>
      <c r="AI100">
        <v>0.94799999999999995</v>
      </c>
      <c r="AJ100">
        <v>1.006</v>
      </c>
      <c r="AK100">
        <v>0.93700000000000006</v>
      </c>
      <c r="AL100">
        <v>1.0269999999999999</v>
      </c>
      <c r="AM100">
        <v>0.97899999999999998</v>
      </c>
      <c r="AN100" t="s">
        <v>155</v>
      </c>
      <c r="AO100" t="s">
        <v>156</v>
      </c>
      <c r="AP100" t="s">
        <v>156</v>
      </c>
      <c r="AQ100" t="s">
        <v>156</v>
      </c>
      <c r="AR100" t="s">
        <v>155</v>
      </c>
      <c r="AS100" t="s">
        <v>156</v>
      </c>
      <c r="AT100" t="s">
        <v>155</v>
      </c>
      <c r="AU100" t="s">
        <v>155</v>
      </c>
      <c r="AV100" t="s">
        <v>155</v>
      </c>
      <c r="AW100" t="s">
        <v>155</v>
      </c>
      <c r="AX100" t="s">
        <v>155</v>
      </c>
      <c r="AY100" t="s">
        <v>155</v>
      </c>
      <c r="AZ100" t="s">
        <v>155</v>
      </c>
      <c r="BA100" t="s">
        <v>155</v>
      </c>
      <c r="BB100" t="s">
        <v>156</v>
      </c>
      <c r="BC100" t="s">
        <v>155</v>
      </c>
      <c r="BD100" t="s">
        <v>155</v>
      </c>
      <c r="BE100" t="s">
        <v>156</v>
      </c>
      <c r="BF100" t="s">
        <v>155</v>
      </c>
      <c r="BG100" t="s">
        <v>155</v>
      </c>
      <c r="CB100">
        <v>4.1373036138108166</v>
      </c>
      <c r="CC100">
        <v>1517.5402615328799</v>
      </c>
      <c r="CD100">
        <v>4.2354212405745804</v>
      </c>
      <c r="CE100">
        <v>3.86291238060014</v>
      </c>
      <c r="CF100">
        <v>3.6367335216111498</v>
      </c>
      <c r="CG100">
        <v>3.88489131352841</v>
      </c>
      <c r="CH100">
        <v>3.80829953499078</v>
      </c>
      <c r="CI100">
        <v>3.1799293158228501</v>
      </c>
      <c r="CJ100">
        <v>3.3985550921774901</v>
      </c>
      <c r="CK100">
        <v>4.0748150354289097</v>
      </c>
      <c r="CL100">
        <v>4.3171577934322798</v>
      </c>
      <c r="CM100">
        <v>4.4475445794530604</v>
      </c>
      <c r="CN100">
        <v>4.0408942454080998</v>
      </c>
      <c r="CO100">
        <v>4.4955496045989296</v>
      </c>
      <c r="CP100">
        <v>3.9290790859357299</v>
      </c>
      <c r="CQ100">
        <v>3.86291238060014</v>
      </c>
      <c r="CR100">
        <v>4.2820103867250596</v>
      </c>
      <c r="CS100">
        <v>4.2703337606681098</v>
      </c>
      <c r="CT100">
        <v>4.98031710964508</v>
      </c>
      <c r="CU100">
        <v>4.1431796664930802</v>
      </c>
      <c r="CV100">
        <v>5.2540678289887701</v>
      </c>
      <c r="CW100">
        <v>4.6414683995336796</v>
      </c>
    </row>
    <row r="101" spans="1:101" x14ac:dyDescent="0.25">
      <c r="A101" s="6">
        <v>100</v>
      </c>
      <c r="B101" s="6">
        <v>1</v>
      </c>
      <c r="C101" t="s">
        <v>145</v>
      </c>
      <c r="D101" t="s">
        <v>163</v>
      </c>
      <c r="E101" t="s">
        <v>158</v>
      </c>
      <c r="F101">
        <v>-1</v>
      </c>
      <c r="G101">
        <v>103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13184</v>
      </c>
      <c r="P101">
        <v>5397.1192533678304</v>
      </c>
      <c r="Q101">
        <v>-1</v>
      </c>
      <c r="R101">
        <v>-1</v>
      </c>
      <c r="S101">
        <v>-1</v>
      </c>
      <c r="T101">
        <v>0.441</v>
      </c>
      <c r="U101">
        <v>0.71799999999999997</v>
      </c>
      <c r="V101">
        <v>0.32900000000000001</v>
      </c>
      <c r="W101">
        <v>0.39800000000000002</v>
      </c>
      <c r="X101">
        <v>0.86699999999999999</v>
      </c>
      <c r="Y101">
        <v>0.59399999999999997</v>
      </c>
      <c r="Z101">
        <v>0.78500000000000003</v>
      </c>
      <c r="AA101">
        <v>0.35299999999999998</v>
      </c>
      <c r="AB101">
        <v>0.57099999999999995</v>
      </c>
      <c r="AC101">
        <v>0.76300000000000001</v>
      </c>
      <c r="AD101">
        <v>0.57399999999999995</v>
      </c>
      <c r="AE101">
        <v>0.874</v>
      </c>
      <c r="AF101">
        <v>0.65</v>
      </c>
      <c r="AG101">
        <v>0.65300000000000002</v>
      </c>
      <c r="AH101">
        <v>0.78400000000000003</v>
      </c>
      <c r="AI101">
        <v>0.63300000000000001</v>
      </c>
      <c r="AJ101">
        <v>0.38700000000000001</v>
      </c>
      <c r="AK101">
        <v>0.441</v>
      </c>
      <c r="AL101">
        <v>0.747</v>
      </c>
      <c r="AM101">
        <v>0.65500000000000003</v>
      </c>
      <c r="AN101" t="s">
        <v>159</v>
      </c>
      <c r="AO101" t="s">
        <v>159</v>
      </c>
      <c r="AP101" t="s">
        <v>159</v>
      </c>
      <c r="AQ101" t="s">
        <v>159</v>
      </c>
      <c r="AR101" t="s">
        <v>159</v>
      </c>
      <c r="AS101" t="s">
        <v>159</v>
      </c>
      <c r="AT101" t="s">
        <v>159</v>
      </c>
      <c r="AU101" t="s">
        <v>159</v>
      </c>
      <c r="AV101" t="s">
        <v>159</v>
      </c>
      <c r="AW101" t="s">
        <v>159</v>
      </c>
      <c r="AX101" t="s">
        <v>159</v>
      </c>
      <c r="AY101" t="s">
        <v>159</v>
      </c>
      <c r="AZ101" t="s">
        <v>159</v>
      </c>
      <c r="BA101" t="s">
        <v>159</v>
      </c>
      <c r="BB101" t="s">
        <v>159</v>
      </c>
      <c r="BC101" t="s">
        <v>159</v>
      </c>
      <c r="BD101" t="s">
        <v>159</v>
      </c>
      <c r="BE101" t="s">
        <v>159</v>
      </c>
      <c r="BF101" t="s">
        <v>159</v>
      </c>
      <c r="BG101" t="s">
        <v>159</v>
      </c>
      <c r="CB101">
        <v>2.071863136253822</v>
      </c>
      <c r="CC101">
        <v>11182.092423018559</v>
      </c>
      <c r="CD101">
        <v>0.58351437760426395</v>
      </c>
      <c r="CE101">
        <v>2.76267271266375</v>
      </c>
      <c r="CF101">
        <v>0.22916451780337599</v>
      </c>
      <c r="CG101">
        <v>0.42064861265217102</v>
      </c>
      <c r="CH101">
        <v>5.0416579986783701</v>
      </c>
      <c r="CI101">
        <v>1.5089373914222699</v>
      </c>
      <c r="CJ101">
        <v>3.67220287264169</v>
      </c>
      <c r="CK101">
        <v>0.28687570566503701</v>
      </c>
      <c r="CL101">
        <v>1.33033692716872</v>
      </c>
      <c r="CM101">
        <v>3.3538662332186702</v>
      </c>
      <c r="CN101">
        <v>1.35276200809809</v>
      </c>
      <c r="CO101">
        <v>5.1726599762637102</v>
      </c>
      <c r="CP101">
        <v>2.0113426771977498</v>
      </c>
      <c r="CQ101">
        <v>2.0411057645255002</v>
      </c>
      <c r="CR101">
        <v>3.6573009681156399</v>
      </c>
      <c r="CS101">
        <v>1.8482907751215101</v>
      </c>
      <c r="CT101">
        <v>0.38467187947161802</v>
      </c>
      <c r="CU101">
        <v>0.58351437760426395</v>
      </c>
      <c r="CV101">
        <v>3.13462202497703</v>
      </c>
      <c r="CW101">
        <v>2.0611149241829998</v>
      </c>
    </row>
    <row r="102" spans="1:101" x14ac:dyDescent="0.25">
      <c r="A102" s="6">
        <v>101</v>
      </c>
      <c r="B102" s="6">
        <v>1</v>
      </c>
      <c r="C102" t="s">
        <v>145</v>
      </c>
      <c r="D102" t="s">
        <v>164</v>
      </c>
      <c r="E102" t="s">
        <v>158</v>
      </c>
      <c r="F102">
        <v>-1</v>
      </c>
      <c r="G102">
        <v>7</v>
      </c>
      <c r="H102">
        <v>-1</v>
      </c>
      <c r="I102">
        <v>-1</v>
      </c>
      <c r="J102">
        <v>-1</v>
      </c>
      <c r="K102">
        <v>22</v>
      </c>
      <c r="L102">
        <v>-1</v>
      </c>
      <c r="M102">
        <v>-1</v>
      </c>
      <c r="N102">
        <v>-1</v>
      </c>
      <c r="O102">
        <v>1237.3333333333301</v>
      </c>
      <c r="P102">
        <v>506.52575517044301</v>
      </c>
      <c r="Q102">
        <v>-1</v>
      </c>
      <c r="R102">
        <v>-1</v>
      </c>
      <c r="S102">
        <v>-1</v>
      </c>
      <c r="T102">
        <v>0.44700000000000001</v>
      </c>
      <c r="U102">
        <v>0.51800000000000002</v>
      </c>
      <c r="V102">
        <v>0.41099999999999998</v>
      </c>
      <c r="W102">
        <v>0.39100000000000001</v>
      </c>
      <c r="X102">
        <v>0.41499999999999998</v>
      </c>
      <c r="Y102">
        <v>0.317</v>
      </c>
      <c r="Z102">
        <v>0.43099999999999999</v>
      </c>
      <c r="AA102">
        <v>0.32100000000000001</v>
      </c>
      <c r="AB102">
        <v>0.38700000000000001</v>
      </c>
      <c r="AC102">
        <v>0.29499999999999998</v>
      </c>
      <c r="AD102">
        <v>0.28199999999999997</v>
      </c>
      <c r="AE102">
        <v>0.33400000000000002</v>
      </c>
      <c r="AF102">
        <v>0.377</v>
      </c>
      <c r="AG102">
        <v>0.36299999999999999</v>
      </c>
      <c r="AH102">
        <v>0.41299999999999998</v>
      </c>
      <c r="AI102">
        <v>0.41599999999999998</v>
      </c>
      <c r="AJ102">
        <v>0.38</v>
      </c>
      <c r="AK102">
        <v>0.48</v>
      </c>
      <c r="AL102">
        <v>0.32700000000000001</v>
      </c>
      <c r="AM102">
        <v>0.39200000000000002</v>
      </c>
      <c r="AN102" t="s">
        <v>159</v>
      </c>
      <c r="AO102" t="s">
        <v>159</v>
      </c>
      <c r="AP102" t="s">
        <v>159</v>
      </c>
      <c r="AQ102" t="s">
        <v>159</v>
      </c>
      <c r="AR102" t="s">
        <v>159</v>
      </c>
      <c r="AS102" t="s">
        <v>159</v>
      </c>
      <c r="AT102" t="s">
        <v>159</v>
      </c>
      <c r="AU102" t="s">
        <v>159</v>
      </c>
      <c r="AV102" t="s">
        <v>159</v>
      </c>
      <c r="AW102" t="s">
        <v>159</v>
      </c>
      <c r="AX102" t="s">
        <v>159</v>
      </c>
      <c r="AY102" t="s">
        <v>159</v>
      </c>
      <c r="AZ102" t="s">
        <v>159</v>
      </c>
      <c r="BA102" t="s">
        <v>159</v>
      </c>
      <c r="BB102" t="s">
        <v>159</v>
      </c>
      <c r="BC102" t="s">
        <v>159</v>
      </c>
      <c r="BD102" t="s">
        <v>159</v>
      </c>
      <c r="BE102" t="s">
        <v>159</v>
      </c>
      <c r="BF102" t="s">
        <v>159</v>
      </c>
      <c r="BG102" t="s">
        <v>159</v>
      </c>
      <c r="CB102">
        <v>1.4064451226633987</v>
      </c>
      <c r="CC102">
        <v>712.40067786286443</v>
      </c>
      <c r="CD102">
        <v>1.9637430836057901</v>
      </c>
      <c r="CE102">
        <v>2.8514182642847801</v>
      </c>
      <c r="CF102">
        <v>1.58791204950848</v>
      </c>
      <c r="CG102">
        <v>1.39963189644516</v>
      </c>
      <c r="CH102">
        <v>1.62730260477958</v>
      </c>
      <c r="CI102">
        <v>0.82316437806424703</v>
      </c>
      <c r="CJ102">
        <v>1.7907465718366999</v>
      </c>
      <c r="CK102">
        <v>0.84969755173468597</v>
      </c>
      <c r="CL102">
        <v>1.36368912270701</v>
      </c>
      <c r="CM102">
        <v>0.68620888241743205</v>
      </c>
      <c r="CN102">
        <v>0.61226139824096903</v>
      </c>
      <c r="CO102">
        <v>0.93947493121896597</v>
      </c>
      <c r="CP102">
        <v>1.2762925992837899</v>
      </c>
      <c r="CQ102">
        <v>1.1597660628987201</v>
      </c>
      <c r="CR102">
        <v>1.60753436427573</v>
      </c>
      <c r="CS102">
        <v>1.63724156412412</v>
      </c>
      <c r="CT102">
        <v>1.3021443604449601</v>
      </c>
      <c r="CU102">
        <v>2.35151073378516</v>
      </c>
      <c r="CV102">
        <v>0.890455968354951</v>
      </c>
      <c r="CW102">
        <v>1.40870606525675</v>
      </c>
    </row>
    <row r="103" spans="1:101" x14ac:dyDescent="0.25">
      <c r="A103" s="6">
        <v>102</v>
      </c>
      <c r="B103" s="6">
        <v>1</v>
      </c>
      <c r="C103" t="s">
        <v>145</v>
      </c>
      <c r="D103" t="s">
        <v>160</v>
      </c>
      <c r="E103" t="s">
        <v>154</v>
      </c>
      <c r="F103">
        <v>-1</v>
      </c>
      <c r="G103">
        <v>0</v>
      </c>
      <c r="H103">
        <v>1</v>
      </c>
      <c r="I103">
        <v>-1</v>
      </c>
      <c r="J103">
        <v>-1</v>
      </c>
      <c r="K103">
        <v>0</v>
      </c>
      <c r="L103">
        <v>0</v>
      </c>
      <c r="M103">
        <v>1</v>
      </c>
      <c r="N103">
        <v>1</v>
      </c>
      <c r="O103">
        <v>54.857142857142897</v>
      </c>
      <c r="P103">
        <v>22.456806879477799</v>
      </c>
      <c r="Q103">
        <v>-1</v>
      </c>
      <c r="R103">
        <v>-1</v>
      </c>
      <c r="S103">
        <v>-1</v>
      </c>
      <c r="T103">
        <v>1.534</v>
      </c>
      <c r="U103">
        <v>1.07</v>
      </c>
      <c r="V103">
        <v>1.7030000000000001</v>
      </c>
      <c r="AN103" t="s">
        <v>156</v>
      </c>
      <c r="AO103" t="s">
        <v>156</v>
      </c>
      <c r="AP103" t="s">
        <v>155</v>
      </c>
      <c r="CB103">
        <v>13.38879259812034</v>
      </c>
      <c r="CC103">
        <v>300.6695297253703</v>
      </c>
      <c r="CD103">
        <v>14.8530590494119</v>
      </c>
      <c r="CE103">
        <v>5.8429505449105203</v>
      </c>
      <c r="CF103">
        <v>19.4703682000386</v>
      </c>
    </row>
    <row r="104" spans="1:101" x14ac:dyDescent="0.25">
      <c r="A104" s="6">
        <v>103</v>
      </c>
      <c r="B104" s="6">
        <v>1</v>
      </c>
      <c r="C104" t="s">
        <v>145</v>
      </c>
      <c r="D104" t="s">
        <v>179</v>
      </c>
      <c r="E104" t="s">
        <v>158</v>
      </c>
      <c r="F104">
        <v>-1</v>
      </c>
      <c r="G104">
        <v>3</v>
      </c>
      <c r="H104">
        <v>-1</v>
      </c>
      <c r="I104">
        <v>-1</v>
      </c>
      <c r="J104">
        <v>-1</v>
      </c>
      <c r="K104">
        <v>3</v>
      </c>
      <c r="L104">
        <v>-1</v>
      </c>
      <c r="M104">
        <v>-1</v>
      </c>
      <c r="N104">
        <v>-1</v>
      </c>
      <c r="O104">
        <v>256</v>
      </c>
      <c r="P104">
        <v>104.79843210423</v>
      </c>
      <c r="Q104">
        <v>-1</v>
      </c>
      <c r="R104">
        <v>-1</v>
      </c>
      <c r="S104">
        <v>-1</v>
      </c>
      <c r="T104">
        <v>0.78300000000000003</v>
      </c>
      <c r="U104">
        <v>0.55900000000000005</v>
      </c>
      <c r="V104">
        <v>0.7</v>
      </c>
      <c r="W104">
        <v>0.60699999999999998</v>
      </c>
      <c r="X104">
        <v>1.0740000000000001</v>
      </c>
      <c r="Y104">
        <v>1.1930000000000001</v>
      </c>
      <c r="AN104" t="s">
        <v>159</v>
      </c>
      <c r="AO104" t="s">
        <v>159</v>
      </c>
      <c r="AP104" t="s">
        <v>159</v>
      </c>
      <c r="AQ104" t="s">
        <v>159</v>
      </c>
      <c r="AR104" t="s">
        <v>159</v>
      </c>
      <c r="AS104" t="s">
        <v>159</v>
      </c>
      <c r="CB104">
        <v>3.4541403503745571</v>
      </c>
      <c r="CC104">
        <v>361.98849298720927</v>
      </c>
      <c r="CD104">
        <v>2.4800329944562298</v>
      </c>
      <c r="CE104">
        <v>0.95240921529616196</v>
      </c>
      <c r="CF104">
        <v>1.80406627580012</v>
      </c>
      <c r="CG104">
        <v>1.2034552258895601</v>
      </c>
      <c r="CH104">
        <v>6.0845184670418497</v>
      </c>
      <c r="CI104">
        <v>8.2003599237634202</v>
      </c>
    </row>
    <row r="105" spans="1:101" x14ac:dyDescent="0.25">
      <c r="A105" s="6">
        <v>104</v>
      </c>
      <c r="B105" s="6">
        <v>1</v>
      </c>
      <c r="C105" t="s">
        <v>145</v>
      </c>
      <c r="D105" t="s">
        <v>170</v>
      </c>
      <c r="E105" t="s">
        <v>158</v>
      </c>
      <c r="F105">
        <v>-1</v>
      </c>
      <c r="G105">
        <v>14</v>
      </c>
      <c r="H105">
        <v>-1</v>
      </c>
      <c r="I105">
        <v>-1</v>
      </c>
      <c r="J105">
        <v>-1</v>
      </c>
      <c r="K105">
        <v>29</v>
      </c>
      <c r="L105">
        <v>-1</v>
      </c>
      <c r="M105">
        <v>-1</v>
      </c>
      <c r="N105">
        <v>-1</v>
      </c>
      <c r="O105">
        <v>1834.6666666666699</v>
      </c>
      <c r="P105">
        <v>751.05543008031202</v>
      </c>
      <c r="Q105">
        <v>-1</v>
      </c>
      <c r="R105">
        <v>-1</v>
      </c>
      <c r="S105">
        <v>-1</v>
      </c>
      <c r="T105">
        <v>1.129</v>
      </c>
      <c r="U105">
        <v>0.79900000000000004</v>
      </c>
      <c r="V105">
        <v>0.96099999999999997</v>
      </c>
      <c r="W105">
        <v>0.77100000000000002</v>
      </c>
      <c r="X105">
        <v>0.67100000000000004</v>
      </c>
      <c r="Y105">
        <v>0.65200000000000002</v>
      </c>
      <c r="Z105">
        <v>0.57999999999999996</v>
      </c>
      <c r="AA105">
        <v>1.341</v>
      </c>
      <c r="AB105">
        <v>0.86599999999999999</v>
      </c>
      <c r="AC105">
        <v>0.439</v>
      </c>
      <c r="AD105">
        <v>0.74399999999999999</v>
      </c>
      <c r="AE105">
        <v>0.375</v>
      </c>
      <c r="AF105">
        <v>0.78800000000000003</v>
      </c>
      <c r="AG105">
        <v>0.83299999999999996</v>
      </c>
      <c r="AH105">
        <v>0.42</v>
      </c>
      <c r="AI105">
        <v>0.51</v>
      </c>
      <c r="AJ105">
        <v>0.54800000000000004</v>
      </c>
      <c r="AK105">
        <v>0.58299999999999996</v>
      </c>
      <c r="AL105">
        <v>1.052</v>
      </c>
      <c r="AN105" t="s">
        <v>159</v>
      </c>
      <c r="AO105" t="s">
        <v>159</v>
      </c>
      <c r="AP105" t="s">
        <v>159</v>
      </c>
      <c r="AQ105" t="s">
        <v>159</v>
      </c>
      <c r="AR105" t="s">
        <v>159</v>
      </c>
      <c r="AS105" t="s">
        <v>159</v>
      </c>
      <c r="AT105" t="s">
        <v>159</v>
      </c>
      <c r="AU105" t="s">
        <v>159</v>
      </c>
      <c r="AV105" t="s">
        <v>159</v>
      </c>
      <c r="AW105" t="s">
        <v>159</v>
      </c>
      <c r="AX105" t="s">
        <v>159</v>
      </c>
      <c r="AY105" t="s">
        <v>159</v>
      </c>
      <c r="AZ105" t="s">
        <v>159</v>
      </c>
      <c r="BA105" t="s">
        <v>159</v>
      </c>
      <c r="BB105" t="s">
        <v>159</v>
      </c>
      <c r="BC105" t="s">
        <v>159</v>
      </c>
      <c r="BD105" t="s">
        <v>159</v>
      </c>
      <c r="BE105" t="s">
        <v>159</v>
      </c>
      <c r="BF105" t="s">
        <v>159</v>
      </c>
      <c r="CB105">
        <v>2.7680878208322071</v>
      </c>
      <c r="CC105">
        <v>2078.9873887752069</v>
      </c>
      <c r="CD105">
        <v>7.0117245937999098</v>
      </c>
      <c r="CE105">
        <v>2.62667843012846</v>
      </c>
      <c r="CF105">
        <v>4.4371945967538302</v>
      </c>
      <c r="CG105">
        <v>2.37360521864094</v>
      </c>
      <c r="CH105">
        <v>1.59980117626574</v>
      </c>
      <c r="CI105">
        <v>1.47447436499231</v>
      </c>
      <c r="CJ105">
        <v>1.05757105560836</v>
      </c>
      <c r="CK105">
        <v>11.430672542743</v>
      </c>
      <c r="CL105">
        <v>3.30160313174015</v>
      </c>
      <c r="CM105">
        <v>0.47948308616734803</v>
      </c>
      <c r="CN105">
        <v>2.14506862873565</v>
      </c>
      <c r="CO105">
        <v>0.30649461945584</v>
      </c>
      <c r="CP105">
        <v>2.5252740282719799</v>
      </c>
      <c r="CQ105">
        <v>2.9566904495715902</v>
      </c>
      <c r="CR105">
        <v>0.42286529073225199</v>
      </c>
      <c r="CS105">
        <v>0.73396162682141997</v>
      </c>
      <c r="CT105">
        <v>0.90014161559331396</v>
      </c>
      <c r="CU105">
        <v>1.0731804436375001</v>
      </c>
      <c r="CV105">
        <v>5.7371836961523401</v>
      </c>
    </row>
    <row r="106" spans="1:101" x14ac:dyDescent="0.25">
      <c r="A106" s="6">
        <v>105</v>
      </c>
      <c r="B106" s="6">
        <v>1</v>
      </c>
      <c r="C106" t="s">
        <v>145</v>
      </c>
      <c r="D106" t="s">
        <v>173</v>
      </c>
      <c r="E106" t="s">
        <v>168</v>
      </c>
      <c r="F106">
        <v>-1</v>
      </c>
      <c r="G106">
        <v>66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8448</v>
      </c>
      <c r="P106">
        <v>3458.34825943958</v>
      </c>
      <c r="Q106">
        <v>-1</v>
      </c>
      <c r="R106">
        <v>-1</v>
      </c>
      <c r="S106">
        <v>-1</v>
      </c>
      <c r="T106">
        <v>0.41</v>
      </c>
      <c r="U106">
        <v>0.48799999999999999</v>
      </c>
      <c r="V106">
        <v>0.41899999999999998</v>
      </c>
      <c r="W106">
        <v>0.82599999999999996</v>
      </c>
      <c r="X106">
        <v>0.622</v>
      </c>
      <c r="Y106">
        <v>0.35899999999999999</v>
      </c>
      <c r="Z106">
        <v>0.77900000000000003</v>
      </c>
      <c r="AA106">
        <v>0.55000000000000004</v>
      </c>
      <c r="AB106">
        <v>0.48599999999999999</v>
      </c>
      <c r="AC106">
        <v>0.79300000000000004</v>
      </c>
      <c r="AD106">
        <v>0.68</v>
      </c>
      <c r="AE106">
        <v>0.49199999999999999</v>
      </c>
      <c r="AF106">
        <v>0.58299999999999996</v>
      </c>
      <c r="AG106">
        <v>0.41299999999999998</v>
      </c>
      <c r="AH106">
        <v>0.376</v>
      </c>
      <c r="AI106">
        <v>0.71499999999999997</v>
      </c>
      <c r="AJ106">
        <v>0.39100000000000001</v>
      </c>
      <c r="AK106">
        <v>0.80900000000000005</v>
      </c>
      <c r="AL106">
        <v>0.54200000000000004</v>
      </c>
      <c r="AM106">
        <v>0.56799999999999995</v>
      </c>
      <c r="AN106" t="s">
        <v>169</v>
      </c>
      <c r="AO106" t="s">
        <v>169</v>
      </c>
      <c r="AP106" t="s">
        <v>169</v>
      </c>
      <c r="AQ106" t="s">
        <v>169</v>
      </c>
      <c r="AR106" t="s">
        <v>169</v>
      </c>
      <c r="AS106" t="s">
        <v>169</v>
      </c>
      <c r="AT106" t="s">
        <v>169</v>
      </c>
      <c r="AU106" t="s">
        <v>169</v>
      </c>
      <c r="AV106" t="s">
        <v>169</v>
      </c>
      <c r="AW106" t="s">
        <v>169</v>
      </c>
      <c r="AX106" t="s">
        <v>169</v>
      </c>
      <c r="AY106" t="s">
        <v>169</v>
      </c>
      <c r="AZ106" t="s">
        <v>169</v>
      </c>
      <c r="BA106" t="s">
        <v>169</v>
      </c>
      <c r="BB106" t="s">
        <v>169</v>
      </c>
      <c r="BC106" t="s">
        <v>169</v>
      </c>
      <c r="BD106" t="s">
        <v>169</v>
      </c>
      <c r="BE106" t="s">
        <v>169</v>
      </c>
      <c r="BF106" t="s">
        <v>169</v>
      </c>
      <c r="BG106" t="s">
        <v>169</v>
      </c>
      <c r="CB106">
        <v>0.79732520767195558</v>
      </c>
      <c r="CC106">
        <v>2757.4282441596092</v>
      </c>
      <c r="CD106">
        <v>0.15264435606058199</v>
      </c>
      <c r="CE106">
        <v>0.30475829367037099</v>
      </c>
      <c r="CF106">
        <v>0.16638666276363401</v>
      </c>
      <c r="CG106">
        <v>2.4622924181654402</v>
      </c>
      <c r="CH106">
        <v>0.79850321152756698</v>
      </c>
      <c r="CI106">
        <v>9.0085273377207398E-2</v>
      </c>
      <c r="CJ106">
        <v>1.9513382018111001</v>
      </c>
      <c r="CK106">
        <v>0.489969128462592</v>
      </c>
      <c r="CL106">
        <v>0.29982982338060699</v>
      </c>
      <c r="CM106">
        <v>2.0943217047443201</v>
      </c>
      <c r="CN106">
        <v>1.1375990570546499</v>
      </c>
      <c r="CO106">
        <v>0.31479679200106903</v>
      </c>
      <c r="CP106">
        <v>0.61749437011290598</v>
      </c>
      <c r="CQ106">
        <v>0.15712690099898699</v>
      </c>
      <c r="CR106">
        <v>0.10824917230183401</v>
      </c>
      <c r="CS106">
        <v>1.3884294787254301</v>
      </c>
      <c r="CT106">
        <v>0.126435947311136</v>
      </c>
      <c r="CU106">
        <v>2.2671720075279098</v>
      </c>
      <c r="CV106">
        <v>0.46228096109554601</v>
      </c>
      <c r="CW106">
        <v>0.55679039234622396</v>
      </c>
    </row>
    <row r="107" spans="1:101" x14ac:dyDescent="0.25">
      <c r="A107" s="6">
        <v>106</v>
      </c>
      <c r="B107" s="6">
        <v>1</v>
      </c>
      <c r="C107" t="s">
        <v>145</v>
      </c>
      <c r="D107" t="s">
        <v>157</v>
      </c>
      <c r="E107" t="s">
        <v>158</v>
      </c>
      <c r="F107">
        <v>12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12</v>
      </c>
      <c r="P107">
        <v>4.9124265048857598</v>
      </c>
      <c r="Q107">
        <v>-1</v>
      </c>
      <c r="R107">
        <v>-1</v>
      </c>
      <c r="S107">
        <v>-1</v>
      </c>
      <c r="T107">
        <v>2.3940000000000001</v>
      </c>
      <c r="U107">
        <v>1.8959999999999999</v>
      </c>
      <c r="V107">
        <v>2.4500000000000002</v>
      </c>
      <c r="W107">
        <v>3.1240000000000001</v>
      </c>
      <c r="X107">
        <v>2.552</v>
      </c>
      <c r="Y107">
        <v>2.645</v>
      </c>
      <c r="Z107">
        <v>1.909</v>
      </c>
      <c r="AA107">
        <v>2.1680000000000001</v>
      </c>
      <c r="AB107">
        <v>3.0609999999999999</v>
      </c>
      <c r="AC107">
        <v>2.41</v>
      </c>
      <c r="AD107">
        <v>1.89</v>
      </c>
      <c r="AN107" t="s">
        <v>159</v>
      </c>
      <c r="AO107" t="s">
        <v>159</v>
      </c>
      <c r="AP107" t="s">
        <v>159</v>
      </c>
      <c r="AQ107" t="s">
        <v>159</v>
      </c>
      <c r="AR107" t="s">
        <v>159</v>
      </c>
      <c r="AS107" t="s">
        <v>159</v>
      </c>
      <c r="AT107" t="s">
        <v>159</v>
      </c>
      <c r="AU107" t="s">
        <v>159</v>
      </c>
      <c r="AV107" t="s">
        <v>159</v>
      </c>
      <c r="AW107" t="s">
        <v>159</v>
      </c>
      <c r="AX107" t="s">
        <v>159</v>
      </c>
      <c r="CB107">
        <v>109.96429429186554</v>
      </c>
      <c r="CC107">
        <v>540.19151387041813</v>
      </c>
      <c r="CD107">
        <v>105.056480904879</v>
      </c>
      <c r="CE107">
        <v>64.526112317730394</v>
      </c>
      <c r="CF107">
        <v>110.258098931313</v>
      </c>
      <c r="CG107">
        <v>183.23120025951599</v>
      </c>
      <c r="CH107">
        <v>120.069854453142</v>
      </c>
      <c r="CI107">
        <v>129.39665433270801</v>
      </c>
      <c r="CJ107">
        <v>65.454238427787303</v>
      </c>
      <c r="CK107">
        <v>85.392017512635206</v>
      </c>
      <c r="CL107">
        <v>175.59321988516101</v>
      </c>
      <c r="CM107">
        <v>106.52928269941199</v>
      </c>
      <c r="CN107">
        <v>64.100077486236799</v>
      </c>
    </row>
    <row r="108" spans="1:101" x14ac:dyDescent="0.25">
      <c r="A108" s="6">
        <v>107</v>
      </c>
      <c r="B108" s="6">
        <v>1</v>
      </c>
      <c r="C108" t="s">
        <v>145</v>
      </c>
      <c r="D108" t="s">
        <v>172</v>
      </c>
      <c r="E108" t="s">
        <v>158</v>
      </c>
      <c r="F108">
        <v>-1</v>
      </c>
      <c r="G108">
        <v>38</v>
      </c>
      <c r="H108">
        <v>-1</v>
      </c>
      <c r="I108">
        <v>-1</v>
      </c>
      <c r="J108">
        <v>-1</v>
      </c>
      <c r="K108">
        <v>0</v>
      </c>
      <c r="L108">
        <v>-1</v>
      </c>
      <c r="M108">
        <v>-1</v>
      </c>
      <c r="N108">
        <v>-1</v>
      </c>
      <c r="O108">
        <v>1621.3333333333301</v>
      </c>
      <c r="P108">
        <v>663.723403326788</v>
      </c>
      <c r="Q108">
        <v>-1</v>
      </c>
      <c r="R108">
        <v>-1</v>
      </c>
      <c r="S108">
        <v>-1</v>
      </c>
      <c r="T108">
        <v>0.28799999999999998</v>
      </c>
      <c r="U108">
        <v>0.21</v>
      </c>
      <c r="V108">
        <v>0.33600000000000002</v>
      </c>
      <c r="W108">
        <v>0.33100000000000002</v>
      </c>
      <c r="X108">
        <v>0.28000000000000003</v>
      </c>
      <c r="Y108">
        <v>0.254</v>
      </c>
      <c r="Z108">
        <v>0.24099999999999999</v>
      </c>
      <c r="AA108">
        <v>0.25800000000000001</v>
      </c>
      <c r="AB108">
        <v>0.245</v>
      </c>
      <c r="AC108">
        <v>0.26500000000000001</v>
      </c>
      <c r="AD108">
        <v>0.251</v>
      </c>
      <c r="AE108">
        <v>0.26900000000000002</v>
      </c>
      <c r="AF108">
        <v>0.26100000000000001</v>
      </c>
      <c r="AG108">
        <v>0.23</v>
      </c>
      <c r="AH108">
        <v>0.24299999999999999</v>
      </c>
      <c r="AI108">
        <v>0.253</v>
      </c>
      <c r="AJ108">
        <v>0.33500000000000002</v>
      </c>
      <c r="AK108">
        <v>0.253</v>
      </c>
      <c r="AL108">
        <v>0.251</v>
      </c>
      <c r="AM108">
        <v>0.252</v>
      </c>
      <c r="AN108" t="s">
        <v>159</v>
      </c>
      <c r="AO108" t="s">
        <v>159</v>
      </c>
      <c r="AP108" t="s">
        <v>159</v>
      </c>
      <c r="AQ108" t="s">
        <v>159</v>
      </c>
      <c r="AR108" t="s">
        <v>159</v>
      </c>
      <c r="AS108" t="s">
        <v>159</v>
      </c>
      <c r="AT108" t="s">
        <v>159</v>
      </c>
      <c r="AU108" t="s">
        <v>159</v>
      </c>
      <c r="AV108" t="s">
        <v>159</v>
      </c>
      <c r="AW108" t="s">
        <v>159</v>
      </c>
      <c r="AX108" t="s">
        <v>159</v>
      </c>
      <c r="AY108" t="s">
        <v>159</v>
      </c>
      <c r="AZ108" t="s">
        <v>159</v>
      </c>
      <c r="BA108" t="s">
        <v>159</v>
      </c>
      <c r="BB108" t="s">
        <v>159</v>
      </c>
      <c r="BC108" t="s">
        <v>159</v>
      </c>
      <c r="BD108" t="s">
        <v>159</v>
      </c>
      <c r="BE108" t="s">
        <v>159</v>
      </c>
      <c r="BF108" t="s">
        <v>159</v>
      </c>
      <c r="BG108" t="s">
        <v>159</v>
      </c>
      <c r="CB108">
        <v>0.54070762324681632</v>
      </c>
      <c r="CC108">
        <v>358.88030390611561</v>
      </c>
      <c r="CD108">
        <v>0.645757752872818</v>
      </c>
      <c r="CE108">
        <v>0.29041660929947799</v>
      </c>
      <c r="CF108">
        <v>0.95377296206094597</v>
      </c>
      <c r="CG108">
        <v>0.91827224777882899</v>
      </c>
      <c r="CH108">
        <v>0.60133496127780905</v>
      </c>
      <c r="CI108">
        <v>0.469932994061591</v>
      </c>
      <c r="CJ108">
        <v>0.41144307076181802</v>
      </c>
      <c r="CK108">
        <v>0.488882499367434</v>
      </c>
      <c r="CL108">
        <v>0.428940277450781</v>
      </c>
      <c r="CM108">
        <v>0.523140925035116</v>
      </c>
      <c r="CN108">
        <v>0.45601712296021801</v>
      </c>
      <c r="CO108">
        <v>0.54335029017132197</v>
      </c>
      <c r="CP108">
        <v>0.50339293784214301</v>
      </c>
      <c r="CQ108">
        <v>0.36557632273868002</v>
      </c>
      <c r="CR108">
        <v>0.42013659088921601</v>
      </c>
      <c r="CS108">
        <v>0.465266253381179</v>
      </c>
      <c r="CT108">
        <v>0.94660762129906295</v>
      </c>
      <c r="CU108">
        <v>0.465266253381179</v>
      </c>
      <c r="CV108">
        <v>0.45601712296021801</v>
      </c>
      <c r="CW108">
        <v>0.46062764934648998</v>
      </c>
    </row>
    <row r="109" spans="1:101" x14ac:dyDescent="0.25">
      <c r="A109" s="6">
        <v>108</v>
      </c>
      <c r="B109" s="6">
        <v>1</v>
      </c>
      <c r="C109" t="s">
        <v>145</v>
      </c>
      <c r="D109" t="s">
        <v>167</v>
      </c>
      <c r="E109" t="s">
        <v>168</v>
      </c>
      <c r="F109">
        <v>-1</v>
      </c>
      <c r="G109">
        <v>13</v>
      </c>
      <c r="H109">
        <v>-1</v>
      </c>
      <c r="I109">
        <v>-1</v>
      </c>
      <c r="J109">
        <v>-1</v>
      </c>
      <c r="K109">
        <v>37</v>
      </c>
      <c r="L109">
        <v>-1</v>
      </c>
      <c r="M109">
        <v>-1</v>
      </c>
      <c r="N109">
        <v>-1</v>
      </c>
      <c r="O109">
        <v>2133.3333333333298</v>
      </c>
      <c r="P109">
        <v>873.32026753524701</v>
      </c>
      <c r="Q109">
        <v>-1</v>
      </c>
      <c r="R109">
        <v>-1</v>
      </c>
      <c r="S109">
        <v>-1</v>
      </c>
      <c r="T109">
        <v>0.76500000000000001</v>
      </c>
      <c r="U109">
        <v>0.497</v>
      </c>
      <c r="V109">
        <v>0.78400000000000003</v>
      </c>
      <c r="W109">
        <v>0.53500000000000003</v>
      </c>
      <c r="X109">
        <v>0.84299999999999997</v>
      </c>
      <c r="Y109">
        <v>0.76200000000000001</v>
      </c>
      <c r="Z109">
        <v>0.41299999999999998</v>
      </c>
      <c r="AA109">
        <v>0.80700000000000005</v>
      </c>
      <c r="AB109">
        <v>0.82299999999999995</v>
      </c>
      <c r="AC109">
        <v>0.83899999999999997</v>
      </c>
      <c r="AD109">
        <v>0.44800000000000001</v>
      </c>
      <c r="AE109">
        <v>0.749</v>
      </c>
      <c r="AF109">
        <v>0.438</v>
      </c>
      <c r="AG109">
        <v>0.79600000000000004</v>
      </c>
      <c r="AH109">
        <v>0.46400000000000002</v>
      </c>
      <c r="AI109">
        <v>0.71299999999999997</v>
      </c>
      <c r="AJ109">
        <v>0.47599999999999998</v>
      </c>
      <c r="AK109">
        <v>0.42499999999999999</v>
      </c>
      <c r="AL109">
        <v>0.61599999999999999</v>
      </c>
      <c r="AM109">
        <v>0.73</v>
      </c>
      <c r="AN109" t="s">
        <v>169</v>
      </c>
      <c r="AO109" t="s">
        <v>169</v>
      </c>
      <c r="AP109" t="s">
        <v>169</v>
      </c>
      <c r="AQ109" t="s">
        <v>169</v>
      </c>
      <c r="AR109" t="s">
        <v>169</v>
      </c>
      <c r="AS109" t="s">
        <v>169</v>
      </c>
      <c r="AT109" t="s">
        <v>169</v>
      </c>
      <c r="AU109" t="s">
        <v>169</v>
      </c>
      <c r="AV109" t="s">
        <v>169</v>
      </c>
      <c r="AW109" t="s">
        <v>169</v>
      </c>
      <c r="AX109" t="s">
        <v>169</v>
      </c>
      <c r="AY109" t="s">
        <v>169</v>
      </c>
      <c r="AZ109" t="s">
        <v>169</v>
      </c>
      <c r="BA109" t="s">
        <v>169</v>
      </c>
      <c r="BB109" t="s">
        <v>169</v>
      </c>
      <c r="BC109" t="s">
        <v>169</v>
      </c>
      <c r="BD109" t="s">
        <v>169</v>
      </c>
      <c r="BE109" t="s">
        <v>169</v>
      </c>
      <c r="BF109" t="s">
        <v>169</v>
      </c>
      <c r="BG109" t="s">
        <v>169</v>
      </c>
      <c r="CB109">
        <v>1.7776397238731381</v>
      </c>
      <c r="CC109">
        <v>1552.4487992341715</v>
      </c>
      <c r="CD109">
        <v>2.4502553339056399</v>
      </c>
      <c r="CE109">
        <v>0.80184656492513995</v>
      </c>
      <c r="CF109">
        <v>2.6109997400144702</v>
      </c>
      <c r="CG109">
        <v>0.97043068768626195</v>
      </c>
      <c r="CH109">
        <v>3.1508058599075199</v>
      </c>
      <c r="CI109">
        <v>2.4254459555178398</v>
      </c>
      <c r="CJ109">
        <v>0.49640810074672398</v>
      </c>
      <c r="CK109">
        <v>2.81404268747472</v>
      </c>
      <c r="CL109">
        <v>2.96083222877968</v>
      </c>
      <c r="CM109">
        <v>3.1122301436175701</v>
      </c>
      <c r="CN109">
        <v>0.61282755207478401</v>
      </c>
      <c r="CO109">
        <v>2.31972302957114</v>
      </c>
      <c r="CP109">
        <v>0.578024401144001</v>
      </c>
      <c r="CQ109">
        <v>2.7157705323466002</v>
      </c>
      <c r="CR109">
        <v>0.671134857517246</v>
      </c>
      <c r="CS109">
        <v>2.0418794981250898</v>
      </c>
      <c r="CT109">
        <v>0.71701828966870895</v>
      </c>
      <c r="CU109">
        <v>0.53463274537461503</v>
      </c>
      <c r="CV109">
        <v>1.3981129897744999</v>
      </c>
      <c r="CW109">
        <v>2.1703732792905099</v>
      </c>
    </row>
    <row r="110" spans="1:101" x14ac:dyDescent="0.25">
      <c r="A110" s="6">
        <v>109</v>
      </c>
      <c r="B110" s="6">
        <v>1</v>
      </c>
      <c r="C110" t="s">
        <v>146</v>
      </c>
      <c r="D110" t="s">
        <v>166</v>
      </c>
      <c r="E110" t="s">
        <v>154</v>
      </c>
      <c r="F110">
        <v>-1</v>
      </c>
      <c r="G110">
        <v>4</v>
      </c>
      <c r="H110">
        <v>0</v>
      </c>
      <c r="I110">
        <v>-1</v>
      </c>
      <c r="J110">
        <v>-1</v>
      </c>
      <c r="K110">
        <v>10</v>
      </c>
      <c r="L110">
        <v>8</v>
      </c>
      <c r="M110">
        <v>-1</v>
      </c>
      <c r="N110">
        <v>-1</v>
      </c>
      <c r="O110">
        <v>938.66666666666697</v>
      </c>
      <c r="P110">
        <v>334.30699841249299</v>
      </c>
      <c r="Q110">
        <v>-1</v>
      </c>
      <c r="R110">
        <v>-1</v>
      </c>
      <c r="S110">
        <v>-1</v>
      </c>
      <c r="T110">
        <v>0.94499999999999995</v>
      </c>
      <c r="U110">
        <v>1.1040000000000001</v>
      </c>
      <c r="V110">
        <v>0.98699999999999999</v>
      </c>
      <c r="W110">
        <v>1.002</v>
      </c>
      <c r="X110">
        <v>0.94899999999999995</v>
      </c>
      <c r="Y110">
        <v>1.014</v>
      </c>
      <c r="Z110">
        <v>1.014</v>
      </c>
      <c r="AA110">
        <v>1.0169999999999999</v>
      </c>
      <c r="AB110">
        <v>0.84899999999999998</v>
      </c>
      <c r="AC110">
        <v>0.78300000000000003</v>
      </c>
      <c r="AD110">
        <v>0.82499999999999996</v>
      </c>
      <c r="AE110">
        <v>0.99199999999999999</v>
      </c>
      <c r="AF110">
        <v>1.012</v>
      </c>
      <c r="AG110">
        <v>0.85299999999999998</v>
      </c>
      <c r="AH110">
        <v>0.96199999999999997</v>
      </c>
      <c r="AI110">
        <v>0.94399999999999995</v>
      </c>
      <c r="AJ110">
        <v>0.71599999999999997</v>
      </c>
      <c r="AK110">
        <v>1.008</v>
      </c>
      <c r="AL110">
        <v>1.077</v>
      </c>
      <c r="AM110">
        <v>1.0049999999999999</v>
      </c>
      <c r="AN110" t="s">
        <v>155</v>
      </c>
      <c r="AO110" t="s">
        <v>155</v>
      </c>
      <c r="AP110" t="s">
        <v>155</v>
      </c>
      <c r="AQ110" t="s">
        <v>155</v>
      </c>
      <c r="AR110" t="s">
        <v>155</v>
      </c>
      <c r="AS110" t="s">
        <v>156</v>
      </c>
      <c r="AT110" t="s">
        <v>155</v>
      </c>
      <c r="AU110" t="s">
        <v>155</v>
      </c>
      <c r="AV110" t="s">
        <v>156</v>
      </c>
      <c r="AW110" t="s">
        <v>156</v>
      </c>
      <c r="AX110" t="s">
        <v>156</v>
      </c>
      <c r="AY110" t="s">
        <v>155</v>
      </c>
      <c r="AZ110" t="s">
        <v>155</v>
      </c>
      <c r="BA110" t="s">
        <v>156</v>
      </c>
      <c r="BB110" t="s">
        <v>155</v>
      </c>
      <c r="BC110" t="s">
        <v>156</v>
      </c>
      <c r="BD110" t="s">
        <v>156</v>
      </c>
      <c r="BE110" t="s">
        <v>155</v>
      </c>
      <c r="BF110" t="s">
        <v>155</v>
      </c>
      <c r="BG110" t="s">
        <v>155</v>
      </c>
      <c r="CB110">
        <v>4.5916660269167622</v>
      </c>
      <c r="CC110">
        <v>1535.02608717116</v>
      </c>
      <c r="CD110">
        <v>4.2013911834202204</v>
      </c>
      <c r="CE110">
        <v>7.7896162203130999</v>
      </c>
      <c r="CF110">
        <v>4.9930732352316003</v>
      </c>
      <c r="CG110">
        <v>5.3011939595321502</v>
      </c>
      <c r="CH110">
        <v>4.2724373524274499</v>
      </c>
      <c r="CI110">
        <v>5.5577565771615802</v>
      </c>
      <c r="CJ110">
        <v>5.5577565771615802</v>
      </c>
      <c r="CK110">
        <v>5.6233229125411599</v>
      </c>
      <c r="CL110">
        <v>2.7459483887317799</v>
      </c>
      <c r="CM110">
        <v>1.9914207834592199</v>
      </c>
      <c r="CN110">
        <v>2.4504791728531501</v>
      </c>
      <c r="CO110">
        <v>5.0942491118835704</v>
      </c>
      <c r="CP110">
        <v>5.5143645631778799</v>
      </c>
      <c r="CQ110">
        <v>2.79767005058727</v>
      </c>
      <c r="CR110">
        <v>4.5095569506553899</v>
      </c>
      <c r="CS110">
        <v>4.1837686114329999</v>
      </c>
      <c r="CT110">
        <v>1.3961546866741199</v>
      </c>
      <c r="CU110">
        <v>5.4283413859848899</v>
      </c>
      <c r="CV110">
        <v>7.0603329521320202</v>
      </c>
      <c r="CW110">
        <v>5.3644858629741003</v>
      </c>
    </row>
    <row r="111" spans="1:101" x14ac:dyDescent="0.25">
      <c r="A111" s="6">
        <v>110</v>
      </c>
      <c r="B111" s="6">
        <v>1</v>
      </c>
      <c r="C111" t="s">
        <v>146</v>
      </c>
      <c r="D111" t="s">
        <v>172</v>
      </c>
      <c r="E111" t="s">
        <v>158</v>
      </c>
      <c r="F111">
        <v>-1</v>
      </c>
      <c r="G111">
        <v>17</v>
      </c>
      <c r="H111">
        <v>-1</v>
      </c>
      <c r="I111">
        <v>-1</v>
      </c>
      <c r="J111">
        <v>-1</v>
      </c>
      <c r="K111">
        <v>23</v>
      </c>
      <c r="L111">
        <v>-1</v>
      </c>
      <c r="M111">
        <v>-1</v>
      </c>
      <c r="N111">
        <v>-1</v>
      </c>
      <c r="O111">
        <v>1706.6666666666699</v>
      </c>
      <c r="P111">
        <v>607.83090620453197</v>
      </c>
      <c r="Q111">
        <v>-1</v>
      </c>
      <c r="R111">
        <v>-1</v>
      </c>
      <c r="S111">
        <v>-1</v>
      </c>
      <c r="T111">
        <v>0.34899999999999998</v>
      </c>
      <c r="U111">
        <v>0.217</v>
      </c>
      <c r="V111">
        <v>0.39600000000000002</v>
      </c>
      <c r="W111">
        <v>0.33100000000000002</v>
      </c>
      <c r="X111">
        <v>0.379</v>
      </c>
      <c r="Y111">
        <v>0.23799999999999999</v>
      </c>
      <c r="Z111">
        <v>0.28999999999999998</v>
      </c>
      <c r="AA111">
        <v>0.40699999999999997</v>
      </c>
      <c r="AB111">
        <v>0.32400000000000001</v>
      </c>
      <c r="AC111">
        <v>0.47399999999999998</v>
      </c>
      <c r="AD111">
        <v>0.48799999999999999</v>
      </c>
      <c r="AE111">
        <v>0.32900000000000001</v>
      </c>
      <c r="AF111">
        <v>0.30599999999999999</v>
      </c>
      <c r="AG111">
        <v>0.29199999999999998</v>
      </c>
      <c r="AH111">
        <v>0.33500000000000002</v>
      </c>
      <c r="AI111">
        <v>0.38200000000000001</v>
      </c>
      <c r="AJ111">
        <v>0.371</v>
      </c>
      <c r="AK111">
        <v>0.34</v>
      </c>
      <c r="AL111">
        <v>0.35499999999999998</v>
      </c>
      <c r="AM111">
        <v>0.27600000000000002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CB111">
        <v>1.0851719682265859</v>
      </c>
      <c r="CC111">
        <v>659.60106083492133</v>
      </c>
      <c r="CD111">
        <v>1.04991699361795</v>
      </c>
      <c r="CE111">
        <v>0.315536614521782</v>
      </c>
      <c r="CF111">
        <v>1.4453580822477501</v>
      </c>
      <c r="CG111">
        <v>0.91827224777882899</v>
      </c>
      <c r="CH111">
        <v>1.29349226539731</v>
      </c>
      <c r="CI111">
        <v>0.39860829884570198</v>
      </c>
      <c r="CJ111">
        <v>0.65716370524932799</v>
      </c>
      <c r="CK111">
        <v>1.54910369648972</v>
      </c>
      <c r="CL111">
        <v>0.86993240924878301</v>
      </c>
      <c r="CM111">
        <v>2.2778537640162702</v>
      </c>
      <c r="CN111">
        <v>2.45193404922151</v>
      </c>
      <c r="CO111">
        <v>0.90429942924878204</v>
      </c>
      <c r="CP111">
        <v>0.75280387152912998</v>
      </c>
      <c r="CQ111">
        <v>0.66869064751763696</v>
      </c>
      <c r="CR111">
        <v>0.94660762129906295</v>
      </c>
      <c r="CS111">
        <v>1.3195533180986501</v>
      </c>
      <c r="CT111">
        <v>1.22552627326874</v>
      </c>
      <c r="CU111">
        <v>0.98276186324897996</v>
      </c>
      <c r="CV111">
        <v>1.09618629530351</v>
      </c>
      <c r="CW111">
        <v>0.57983791838228904</v>
      </c>
    </row>
    <row r="112" spans="1:101" x14ac:dyDescent="0.25">
      <c r="A112" s="6">
        <v>111</v>
      </c>
      <c r="B112" s="6">
        <v>1</v>
      </c>
      <c r="C112" t="s">
        <v>146</v>
      </c>
      <c r="D112" t="s">
        <v>153</v>
      </c>
      <c r="E112" t="s">
        <v>154</v>
      </c>
      <c r="F112">
        <v>-1</v>
      </c>
      <c r="G112">
        <v>3</v>
      </c>
      <c r="H112">
        <v>0</v>
      </c>
      <c r="I112">
        <v>-1</v>
      </c>
      <c r="J112">
        <v>-1</v>
      </c>
      <c r="K112">
        <v>8</v>
      </c>
      <c r="L112">
        <v>2</v>
      </c>
      <c r="M112">
        <v>-1</v>
      </c>
      <c r="N112">
        <v>-1</v>
      </c>
      <c r="O112">
        <v>554.66666666666697</v>
      </c>
      <c r="P112">
        <v>197.54504451647301</v>
      </c>
      <c r="Q112">
        <v>-1</v>
      </c>
      <c r="R112">
        <v>-1</v>
      </c>
      <c r="S112">
        <v>-1</v>
      </c>
      <c r="T112">
        <v>1.1990000000000001</v>
      </c>
      <c r="U112">
        <v>1.0720000000000001</v>
      </c>
      <c r="V112">
        <v>1.353</v>
      </c>
      <c r="W112">
        <v>1.002</v>
      </c>
      <c r="X112">
        <v>1.0129999999999999</v>
      </c>
      <c r="Y112">
        <v>1.0580000000000001</v>
      </c>
      <c r="Z112">
        <v>1.006</v>
      </c>
      <c r="AA112">
        <v>1.117</v>
      </c>
      <c r="AB112">
        <v>1.0880000000000001</v>
      </c>
      <c r="AC112">
        <v>1.0069999999999999</v>
      </c>
      <c r="AD112">
        <v>1.2509999999999999</v>
      </c>
      <c r="AE112">
        <v>0.91300000000000003</v>
      </c>
      <c r="AF112">
        <v>1.3180000000000001</v>
      </c>
      <c r="AN112" t="s">
        <v>155</v>
      </c>
      <c r="AO112" t="s">
        <v>155</v>
      </c>
      <c r="AP112" t="s">
        <v>155</v>
      </c>
      <c r="AQ112" t="s">
        <v>155</v>
      </c>
      <c r="AR112" t="s">
        <v>155</v>
      </c>
      <c r="AS112" t="s">
        <v>155</v>
      </c>
      <c r="AT112" t="s">
        <v>155</v>
      </c>
      <c r="AU112" t="s">
        <v>156</v>
      </c>
      <c r="AV112" t="s">
        <v>155</v>
      </c>
      <c r="AW112" t="s">
        <v>155</v>
      </c>
      <c r="AX112" t="s">
        <v>155</v>
      </c>
      <c r="AY112" t="s">
        <v>156</v>
      </c>
      <c r="AZ112" t="s">
        <v>155</v>
      </c>
      <c r="CB112">
        <v>6.5680988584684616</v>
      </c>
      <c r="CC112">
        <v>1297.4953813847478</v>
      </c>
      <c r="CD112">
        <v>7.8463903573914102</v>
      </c>
      <c r="CE112">
        <v>5.8712790269495203</v>
      </c>
      <c r="CF112">
        <v>10.7297479311827</v>
      </c>
      <c r="CG112">
        <v>4.9291907519150699</v>
      </c>
      <c r="CH112">
        <v>5.0705689155121503</v>
      </c>
      <c r="CI112">
        <v>5.6747417946910801</v>
      </c>
      <c r="CJ112">
        <v>4.98031710964508</v>
      </c>
      <c r="CK112">
        <v>6.5310941522602404</v>
      </c>
      <c r="CL112">
        <v>6.10094437300544</v>
      </c>
      <c r="CM112">
        <v>4.9931493331710497</v>
      </c>
      <c r="CN112">
        <v>8.7583976324413904</v>
      </c>
      <c r="CO112">
        <v>3.8738922779251799</v>
      </c>
      <c r="CP112">
        <v>10.0255715039997</v>
      </c>
    </row>
    <row r="113" spans="1:101" x14ac:dyDescent="0.25">
      <c r="A113" s="6">
        <v>112</v>
      </c>
      <c r="B113" s="6">
        <v>1</v>
      </c>
      <c r="C113" t="s">
        <v>146</v>
      </c>
      <c r="D113" t="s">
        <v>176</v>
      </c>
      <c r="E113" t="s">
        <v>168</v>
      </c>
      <c r="F113">
        <v>-1</v>
      </c>
      <c r="G113">
        <v>0</v>
      </c>
      <c r="H113">
        <v>-1</v>
      </c>
      <c r="I113">
        <v>-1</v>
      </c>
      <c r="J113">
        <v>-1</v>
      </c>
      <c r="K113">
        <v>1</v>
      </c>
      <c r="L113">
        <v>-1</v>
      </c>
      <c r="M113">
        <v>-1</v>
      </c>
      <c r="N113">
        <v>-1</v>
      </c>
      <c r="O113">
        <v>42.6666666666667</v>
      </c>
      <c r="P113">
        <v>15.1957726551133</v>
      </c>
      <c r="Q113">
        <v>-1</v>
      </c>
      <c r="R113">
        <v>-1</v>
      </c>
      <c r="S113">
        <v>-1</v>
      </c>
      <c r="T113">
        <v>0.51600000000000001</v>
      </c>
      <c r="AN113" t="s">
        <v>169</v>
      </c>
      <c r="CB113">
        <v>0.38031911643132399</v>
      </c>
      <c r="CC113">
        <v>5.7792428296839642</v>
      </c>
      <c r="CD113">
        <v>0.38031911643132399</v>
      </c>
    </row>
    <row r="114" spans="1:101" x14ac:dyDescent="0.25">
      <c r="A114" s="6">
        <v>113</v>
      </c>
      <c r="B114" s="6">
        <v>1</v>
      </c>
      <c r="C114" t="s">
        <v>146</v>
      </c>
      <c r="D114" t="s">
        <v>165</v>
      </c>
      <c r="E114" t="s">
        <v>158</v>
      </c>
      <c r="F114">
        <v>-1</v>
      </c>
      <c r="G114">
        <v>22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2816</v>
      </c>
      <c r="P114">
        <v>1002.92099523748</v>
      </c>
      <c r="Q114">
        <v>-1</v>
      </c>
      <c r="R114">
        <v>-1</v>
      </c>
      <c r="S114">
        <v>-1</v>
      </c>
      <c r="T114">
        <v>3.7360000000000002</v>
      </c>
      <c r="U114">
        <v>1.143</v>
      </c>
      <c r="V114">
        <v>1.4139999999999999</v>
      </c>
      <c r="W114">
        <v>2.9940000000000002</v>
      </c>
      <c r="X114">
        <v>1.611</v>
      </c>
      <c r="Y114">
        <v>2.8250000000000002</v>
      </c>
      <c r="Z114">
        <v>2.9279999999999999</v>
      </c>
      <c r="AA114">
        <v>0.67400000000000004</v>
      </c>
      <c r="AB114">
        <v>1.958</v>
      </c>
      <c r="AC114">
        <v>3.2690000000000001</v>
      </c>
      <c r="AD114">
        <v>1.6060000000000001</v>
      </c>
      <c r="AE114">
        <v>2.2799999999999998</v>
      </c>
      <c r="AF114">
        <v>2.1880000000000002</v>
      </c>
      <c r="AG114">
        <v>4.17</v>
      </c>
      <c r="AH114">
        <v>1.706</v>
      </c>
      <c r="AI114">
        <v>3.2970000000000002</v>
      </c>
      <c r="AJ114">
        <v>1.3839999999999999</v>
      </c>
      <c r="AK114">
        <v>3.3620000000000001</v>
      </c>
      <c r="AL114">
        <v>3.2050000000000001</v>
      </c>
      <c r="AM114">
        <v>6.4829999999999997</v>
      </c>
      <c r="AN114" t="s">
        <v>159</v>
      </c>
      <c r="AO114" t="s">
        <v>159</v>
      </c>
      <c r="AP114" t="s">
        <v>159</v>
      </c>
      <c r="AQ114" t="s">
        <v>159</v>
      </c>
      <c r="AR114" t="s">
        <v>159</v>
      </c>
      <c r="AS114" t="s">
        <v>159</v>
      </c>
      <c r="AT114" t="s">
        <v>159</v>
      </c>
      <c r="AU114" t="s">
        <v>159</v>
      </c>
      <c r="AV114" t="s">
        <v>159</v>
      </c>
      <c r="AW114" t="s">
        <v>159</v>
      </c>
      <c r="AX114" t="s">
        <v>159</v>
      </c>
      <c r="AY114" t="s">
        <v>159</v>
      </c>
      <c r="AZ114" t="s">
        <v>159</v>
      </c>
      <c r="BA114" t="s">
        <v>159</v>
      </c>
      <c r="BB114" t="s">
        <v>159</v>
      </c>
      <c r="BC114" t="s">
        <v>159</v>
      </c>
      <c r="BD114" t="s">
        <v>159</v>
      </c>
      <c r="BE114" t="s">
        <v>159</v>
      </c>
      <c r="BF114" t="s">
        <v>159</v>
      </c>
      <c r="BG114" t="s">
        <v>159</v>
      </c>
      <c r="CB114">
        <v>9.1239449017993728</v>
      </c>
      <c r="CC114">
        <v>9150.5959014045584</v>
      </c>
      <c r="CD114">
        <v>14.836664367267799</v>
      </c>
      <c r="CE114">
        <v>0.62804877235105705</v>
      </c>
      <c r="CF114">
        <v>1.1084340518456099</v>
      </c>
      <c r="CG114">
        <v>8.2148990557182398</v>
      </c>
      <c r="CH114">
        <v>1.57020020164227</v>
      </c>
      <c r="CI114">
        <v>7.0344347105944198</v>
      </c>
      <c r="CJ114">
        <v>7.7402448509001802</v>
      </c>
      <c r="CK114">
        <v>0.153296365968143</v>
      </c>
      <c r="CL114">
        <v>2.6433204227712501</v>
      </c>
      <c r="CM114">
        <v>10.3871827798363</v>
      </c>
      <c r="CN114">
        <v>1.5572219982470701</v>
      </c>
      <c r="CO114">
        <v>3.9691359759795799</v>
      </c>
      <c r="CP114">
        <v>3.5557913902599898</v>
      </c>
      <c r="CQ114">
        <v>19.896340405834099</v>
      </c>
      <c r="CR114">
        <v>1.8297591918020999</v>
      </c>
      <c r="CS114">
        <v>10.6264334018356</v>
      </c>
      <c r="CT114">
        <v>1.04675078798826</v>
      </c>
      <c r="CU114">
        <v>11.195044369937101</v>
      </c>
      <c r="CV114">
        <v>9.8530522600031993</v>
      </c>
      <c r="CW114">
        <v>64.632642675205204</v>
      </c>
    </row>
    <row r="115" spans="1:101" x14ac:dyDescent="0.25">
      <c r="A115" s="6">
        <v>114</v>
      </c>
      <c r="B115" s="6">
        <v>1</v>
      </c>
      <c r="C115" t="s">
        <v>146</v>
      </c>
      <c r="D115" t="s">
        <v>161</v>
      </c>
      <c r="E115" t="s">
        <v>154</v>
      </c>
      <c r="F115">
        <v>-1</v>
      </c>
      <c r="G115">
        <v>19</v>
      </c>
      <c r="H115">
        <v>11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3840</v>
      </c>
      <c r="P115">
        <v>1367.6195389602001</v>
      </c>
      <c r="Q115">
        <v>-1</v>
      </c>
      <c r="R115">
        <v>-1</v>
      </c>
      <c r="S115">
        <v>-1</v>
      </c>
      <c r="T115">
        <v>1.028</v>
      </c>
      <c r="U115">
        <v>0.873</v>
      </c>
      <c r="V115">
        <v>0.66600000000000004</v>
      </c>
      <c r="W115">
        <v>0.91500000000000004</v>
      </c>
      <c r="X115">
        <v>0.95699999999999996</v>
      </c>
      <c r="Y115">
        <v>0.82299999999999995</v>
      </c>
      <c r="Z115">
        <v>0.95</v>
      </c>
      <c r="AA115">
        <v>0.92300000000000004</v>
      </c>
      <c r="AB115">
        <v>0.96199999999999997</v>
      </c>
      <c r="AC115">
        <v>0.84</v>
      </c>
      <c r="AD115">
        <v>0.91300000000000003</v>
      </c>
      <c r="AE115">
        <v>0.97199999999999998</v>
      </c>
      <c r="AF115">
        <v>0.99299999999999999</v>
      </c>
      <c r="AG115">
        <v>0.92500000000000004</v>
      </c>
      <c r="AH115">
        <v>0.95799999999999996</v>
      </c>
      <c r="AI115">
        <v>0.95899999999999996</v>
      </c>
      <c r="AJ115">
        <v>1.0129999999999999</v>
      </c>
      <c r="AK115">
        <v>1.0549999999999999</v>
      </c>
      <c r="AL115">
        <v>1.022</v>
      </c>
      <c r="AM115">
        <v>0.91</v>
      </c>
      <c r="AN115" t="s">
        <v>155</v>
      </c>
      <c r="AO115" t="s">
        <v>155</v>
      </c>
      <c r="AP115" t="s">
        <v>159</v>
      </c>
      <c r="AQ115" t="s">
        <v>155</v>
      </c>
      <c r="AR115" t="s">
        <v>155</v>
      </c>
      <c r="AS115" t="s">
        <v>155</v>
      </c>
      <c r="AT115" t="s">
        <v>155</v>
      </c>
      <c r="AU115" t="s">
        <v>155</v>
      </c>
      <c r="AV115" t="s">
        <v>156</v>
      </c>
      <c r="AW115" t="s">
        <v>156</v>
      </c>
      <c r="AX115" t="s">
        <v>156</v>
      </c>
      <c r="AY115" t="s">
        <v>155</v>
      </c>
      <c r="AZ115" t="s">
        <v>155</v>
      </c>
      <c r="BA115" t="s">
        <v>156</v>
      </c>
      <c r="BB115" t="s">
        <v>155</v>
      </c>
      <c r="BC115" t="s">
        <v>155</v>
      </c>
      <c r="BD115" t="s">
        <v>155</v>
      </c>
      <c r="BE115" t="s">
        <v>155</v>
      </c>
      <c r="BF115" t="s">
        <v>156</v>
      </c>
      <c r="BG115" t="s">
        <v>156</v>
      </c>
      <c r="CB115">
        <v>4.1634956648745689</v>
      </c>
      <c r="CC115">
        <v>5694.0780216585499</v>
      </c>
      <c r="CD115">
        <v>5.2673283661506396</v>
      </c>
      <c r="CE115">
        <v>3.4494918041937002</v>
      </c>
      <c r="CF115">
        <v>1.71130129808076</v>
      </c>
      <c r="CG115">
        <v>3.8959094997746</v>
      </c>
      <c r="CH115">
        <v>4.3761292959926203</v>
      </c>
      <c r="CI115">
        <v>2.96083222877968</v>
      </c>
      <c r="CJ115">
        <v>4.2937065927586904</v>
      </c>
      <c r="CK115">
        <v>3.9847458948394499</v>
      </c>
      <c r="CL115">
        <v>4.4355927281215202</v>
      </c>
      <c r="CM115">
        <v>3.1218467298023902</v>
      </c>
      <c r="CN115">
        <v>3.8738922779251799</v>
      </c>
      <c r="CO115">
        <v>4.5560014369802397</v>
      </c>
      <c r="CP115">
        <v>4.8153380347994101</v>
      </c>
      <c r="CQ115">
        <v>4.0071473638990396</v>
      </c>
      <c r="CR115">
        <v>4.3879825795333298</v>
      </c>
      <c r="CS115">
        <v>4.3998555523957696</v>
      </c>
      <c r="CT115">
        <v>5.0705689155121503</v>
      </c>
      <c r="CU115">
        <v>5.6331601283618697</v>
      </c>
      <c r="CV115">
        <v>5.1880726182926997</v>
      </c>
      <c r="CW115">
        <v>3.8410099512976501</v>
      </c>
    </row>
    <row r="116" spans="1:101" x14ac:dyDescent="0.25">
      <c r="A116" s="6">
        <v>115</v>
      </c>
      <c r="B116" s="6">
        <v>1</v>
      </c>
      <c r="C116" t="s">
        <v>146</v>
      </c>
      <c r="D116" t="s">
        <v>175</v>
      </c>
      <c r="E116" t="s">
        <v>168</v>
      </c>
      <c r="F116">
        <v>-1</v>
      </c>
      <c r="G116">
        <v>11</v>
      </c>
      <c r="H116">
        <v>-1</v>
      </c>
      <c r="I116">
        <v>-1</v>
      </c>
      <c r="J116">
        <v>-1</v>
      </c>
      <c r="K116">
        <v>6</v>
      </c>
      <c r="L116">
        <v>-1</v>
      </c>
      <c r="M116">
        <v>-1</v>
      </c>
      <c r="N116">
        <v>-1</v>
      </c>
      <c r="O116">
        <v>725.33333333333303</v>
      </c>
      <c r="P116">
        <v>258.32813513692599</v>
      </c>
      <c r="Q116">
        <v>-1</v>
      </c>
      <c r="R116">
        <v>-1</v>
      </c>
      <c r="S116">
        <v>-1</v>
      </c>
      <c r="T116">
        <v>1.069</v>
      </c>
      <c r="U116">
        <v>0.436</v>
      </c>
      <c r="V116">
        <v>0.78700000000000003</v>
      </c>
      <c r="W116">
        <v>0.51</v>
      </c>
      <c r="X116">
        <v>0.66100000000000003</v>
      </c>
      <c r="Y116">
        <v>0.54800000000000004</v>
      </c>
      <c r="Z116">
        <v>1.1259999999999999</v>
      </c>
      <c r="AA116">
        <v>0.67700000000000005</v>
      </c>
      <c r="AB116">
        <v>0.86</v>
      </c>
      <c r="AC116">
        <v>0.7</v>
      </c>
      <c r="AD116">
        <v>1.04</v>
      </c>
      <c r="AE116">
        <v>0.70499999999999996</v>
      </c>
      <c r="AF116">
        <v>0.52</v>
      </c>
      <c r="AG116">
        <v>0.754</v>
      </c>
      <c r="AH116">
        <v>0.71799999999999997</v>
      </c>
      <c r="AI116">
        <v>0.83499999999999996</v>
      </c>
      <c r="AJ116">
        <v>1.0209999999999999</v>
      </c>
      <c r="AN116" t="s">
        <v>169</v>
      </c>
      <c r="AO116" t="s">
        <v>169</v>
      </c>
      <c r="AP116" t="s">
        <v>169</v>
      </c>
      <c r="AQ116" t="s">
        <v>169</v>
      </c>
      <c r="AR116" t="s">
        <v>169</v>
      </c>
      <c r="AS116" t="s">
        <v>169</v>
      </c>
      <c r="AT116" t="s">
        <v>169</v>
      </c>
      <c r="AU116" t="s">
        <v>169</v>
      </c>
      <c r="AV116" t="s">
        <v>169</v>
      </c>
      <c r="AW116" t="s">
        <v>169</v>
      </c>
      <c r="AX116" t="s">
        <v>169</v>
      </c>
      <c r="AY116" t="s">
        <v>169</v>
      </c>
      <c r="AZ116" t="s">
        <v>169</v>
      </c>
      <c r="BA116" t="s">
        <v>169</v>
      </c>
      <c r="BB116" t="s">
        <v>169</v>
      </c>
      <c r="BC116" t="s">
        <v>169</v>
      </c>
      <c r="BD116" t="s">
        <v>169</v>
      </c>
      <c r="CB116">
        <v>2.7837974925809057</v>
      </c>
      <c r="CC116">
        <v>719.1332148572759</v>
      </c>
      <c r="CD116">
        <v>5.8288178345172197</v>
      </c>
      <c r="CE116">
        <v>0.57121319810948101</v>
      </c>
      <c r="CF116">
        <v>2.63695539147766</v>
      </c>
      <c r="CG116">
        <v>0.85730426108673596</v>
      </c>
      <c r="CH116">
        <v>1.67822430420118</v>
      </c>
      <c r="CI116">
        <v>1.0326897648953499</v>
      </c>
      <c r="CJ116">
        <v>6.66826203807656</v>
      </c>
      <c r="CK116">
        <v>1.7854713183631301</v>
      </c>
      <c r="CL116">
        <v>3.31802164610263</v>
      </c>
      <c r="CM116">
        <v>1.9468484685673999</v>
      </c>
      <c r="CN116">
        <v>5.4280591931750299</v>
      </c>
      <c r="CO116">
        <v>1.9830699757172801</v>
      </c>
      <c r="CP116">
        <v>0.90152315600597699</v>
      </c>
      <c r="CQ116">
        <v>2.36004352243418</v>
      </c>
      <c r="CR116">
        <v>2.0791725691415301</v>
      </c>
      <c r="CS116">
        <v>3.0739457434061399</v>
      </c>
      <c r="CT116">
        <v>5.1749349885979203</v>
      </c>
    </row>
    <row r="117" spans="1:101" x14ac:dyDescent="0.25">
      <c r="A117" s="6">
        <v>116</v>
      </c>
      <c r="B117" s="6">
        <v>1</v>
      </c>
      <c r="C117" t="s">
        <v>146</v>
      </c>
      <c r="D117" t="s">
        <v>182</v>
      </c>
      <c r="E117" t="s">
        <v>154</v>
      </c>
      <c r="F117">
        <v>-1</v>
      </c>
      <c r="G117">
        <v>0</v>
      </c>
      <c r="H117">
        <v>1</v>
      </c>
      <c r="I117">
        <v>-1</v>
      </c>
      <c r="J117">
        <v>-1</v>
      </c>
      <c r="K117">
        <v>0</v>
      </c>
      <c r="L117">
        <v>1</v>
      </c>
      <c r="M117">
        <v>-1</v>
      </c>
      <c r="N117">
        <v>-1</v>
      </c>
      <c r="O117">
        <v>85.3333333333333</v>
      </c>
      <c r="P117">
        <v>30.391545310226601</v>
      </c>
      <c r="Q117">
        <v>-1</v>
      </c>
      <c r="R117">
        <v>-1</v>
      </c>
      <c r="S117">
        <v>-1</v>
      </c>
      <c r="T117">
        <v>0.443</v>
      </c>
      <c r="U117">
        <v>0.42699999999999999</v>
      </c>
      <c r="AN117" t="s">
        <v>156</v>
      </c>
      <c r="AO117" t="s">
        <v>156</v>
      </c>
      <c r="CB117">
        <v>0.19346229890598499</v>
      </c>
      <c r="CC117">
        <v>5.8796182230218452</v>
      </c>
      <c r="CD117">
        <v>0.20756380959176099</v>
      </c>
      <c r="CE117">
        <v>0.17936078822020901</v>
      </c>
    </row>
    <row r="118" spans="1:101" x14ac:dyDescent="0.25">
      <c r="A118" s="6">
        <v>117</v>
      </c>
      <c r="B118" s="6">
        <v>1</v>
      </c>
      <c r="C118" t="s">
        <v>146</v>
      </c>
      <c r="D118" t="s">
        <v>167</v>
      </c>
      <c r="E118" t="s">
        <v>168</v>
      </c>
      <c r="F118">
        <v>-1</v>
      </c>
      <c r="G118">
        <v>65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8320</v>
      </c>
      <c r="P118">
        <v>2963.1756677470898</v>
      </c>
      <c r="Q118">
        <v>-1</v>
      </c>
      <c r="R118">
        <v>-1</v>
      </c>
      <c r="S118">
        <v>-1</v>
      </c>
      <c r="T118">
        <v>0.41599999999999998</v>
      </c>
      <c r="U118">
        <v>0.51600000000000001</v>
      </c>
      <c r="V118">
        <v>0.83299999999999996</v>
      </c>
      <c r="W118">
        <v>0.74299999999999999</v>
      </c>
      <c r="X118">
        <v>0.875</v>
      </c>
      <c r="Y118">
        <v>0.49</v>
      </c>
      <c r="Z118">
        <v>0.80800000000000005</v>
      </c>
      <c r="AA118">
        <v>0.47299999999999998</v>
      </c>
      <c r="AB118">
        <v>0.59499999999999997</v>
      </c>
      <c r="AC118">
        <v>0.437</v>
      </c>
      <c r="AD118">
        <v>0.374</v>
      </c>
      <c r="AE118">
        <v>0.53300000000000003</v>
      </c>
      <c r="AF118">
        <v>0.45200000000000001</v>
      </c>
      <c r="AG118">
        <v>0.41499999999999998</v>
      </c>
      <c r="AH118">
        <v>0.67900000000000005</v>
      </c>
      <c r="AI118">
        <v>0.46600000000000003</v>
      </c>
      <c r="AJ118">
        <v>0.46400000000000002</v>
      </c>
      <c r="AK118">
        <v>0.39200000000000002</v>
      </c>
      <c r="AL118">
        <v>0.72099999999999997</v>
      </c>
      <c r="AM118">
        <v>0.78200000000000003</v>
      </c>
      <c r="AN118" t="s">
        <v>169</v>
      </c>
      <c r="AO118" t="s">
        <v>169</v>
      </c>
      <c r="AP118" t="s">
        <v>169</v>
      </c>
      <c r="AQ118" t="s">
        <v>169</v>
      </c>
      <c r="AR118" t="s">
        <v>169</v>
      </c>
      <c r="AS118" t="s">
        <v>169</v>
      </c>
      <c r="AT118" t="s">
        <v>169</v>
      </c>
      <c r="AU118" t="s">
        <v>169</v>
      </c>
      <c r="AV118" t="s">
        <v>169</v>
      </c>
      <c r="AW118" t="s">
        <v>169</v>
      </c>
      <c r="AX118" t="s">
        <v>169</v>
      </c>
      <c r="AY118" t="s">
        <v>169</v>
      </c>
      <c r="AZ118" t="s">
        <v>169</v>
      </c>
      <c r="BA118" t="s">
        <v>169</v>
      </c>
      <c r="BB118" t="s">
        <v>169</v>
      </c>
      <c r="BC118" t="s">
        <v>169</v>
      </c>
      <c r="BD118" t="s">
        <v>169</v>
      </c>
      <c r="BE118" t="s">
        <v>169</v>
      </c>
      <c r="BF118" t="s">
        <v>169</v>
      </c>
      <c r="BG118" t="s">
        <v>169</v>
      </c>
      <c r="CB118">
        <v>1.3546579544999582</v>
      </c>
      <c r="CC118">
        <v>4014.0894888943203</v>
      </c>
      <c r="CD118">
        <v>0.50580131318961297</v>
      </c>
      <c r="CE118">
        <v>0.88367171365022601</v>
      </c>
      <c r="CF118">
        <v>3.0549125305680702</v>
      </c>
      <c r="CG118">
        <v>2.2719002213955601</v>
      </c>
      <c r="CH118">
        <v>3.4699968740301101</v>
      </c>
      <c r="CI118">
        <v>0.77292271993554296</v>
      </c>
      <c r="CJ118">
        <v>2.8230830249015</v>
      </c>
      <c r="CK118">
        <v>0.70537259208184</v>
      </c>
      <c r="CL118">
        <v>1.2779891521828</v>
      </c>
      <c r="CM118">
        <v>0.57461260408737302</v>
      </c>
      <c r="CN118">
        <v>0.38394204692113998</v>
      </c>
      <c r="CO118">
        <v>0.96106264582397305</v>
      </c>
      <c r="CP118">
        <v>0.62709995900955096</v>
      </c>
      <c r="CQ118">
        <v>0.50265822893265399</v>
      </c>
      <c r="CR118">
        <v>1.79916478307432</v>
      </c>
      <c r="CS118">
        <v>0.67865296439029199</v>
      </c>
      <c r="CT118">
        <v>0.671134857517246</v>
      </c>
      <c r="CU118">
        <v>0.43364978939586302</v>
      </c>
      <c r="CV118">
        <v>2.1017476081489401</v>
      </c>
      <c r="CW118">
        <v>2.5937834607625501</v>
      </c>
    </row>
    <row r="119" spans="1:101" x14ac:dyDescent="0.25">
      <c r="A119" s="6">
        <v>118</v>
      </c>
      <c r="B119" s="6">
        <v>1</v>
      </c>
      <c r="C119" t="s">
        <v>146</v>
      </c>
      <c r="D119" t="s">
        <v>170</v>
      </c>
      <c r="E119" t="s">
        <v>158</v>
      </c>
      <c r="F119">
        <v>-1</v>
      </c>
      <c r="G119">
        <v>5</v>
      </c>
      <c r="H119">
        <v>-1</v>
      </c>
      <c r="I119">
        <v>-1</v>
      </c>
      <c r="J119">
        <v>-1</v>
      </c>
      <c r="K119">
        <v>7</v>
      </c>
      <c r="L119">
        <v>-1</v>
      </c>
      <c r="M119">
        <v>-1</v>
      </c>
      <c r="N119">
        <v>-1</v>
      </c>
      <c r="O119">
        <v>512</v>
      </c>
      <c r="P119">
        <v>182.34927186135999</v>
      </c>
      <c r="Q119">
        <v>-1</v>
      </c>
      <c r="R119">
        <v>-1</v>
      </c>
      <c r="S119">
        <v>-1</v>
      </c>
      <c r="T119">
        <v>0.59499999999999997</v>
      </c>
      <c r="U119">
        <v>0.873</v>
      </c>
      <c r="V119">
        <v>0.91100000000000003</v>
      </c>
      <c r="W119">
        <v>0.88500000000000001</v>
      </c>
      <c r="X119">
        <v>0.85499999999999998</v>
      </c>
      <c r="Y119">
        <v>0.88</v>
      </c>
      <c r="Z119">
        <v>0.86799999999999999</v>
      </c>
      <c r="AA119">
        <v>1.7410000000000001</v>
      </c>
      <c r="AB119">
        <v>0.64900000000000002</v>
      </c>
      <c r="AC119">
        <v>0.70299999999999996</v>
      </c>
      <c r="AD119">
        <v>0.878</v>
      </c>
      <c r="AE119">
        <v>1.403</v>
      </c>
      <c r="AN119" t="s">
        <v>159</v>
      </c>
      <c r="AO119" t="s">
        <v>159</v>
      </c>
      <c r="AP119" t="s">
        <v>159</v>
      </c>
      <c r="AQ119" t="s">
        <v>159</v>
      </c>
      <c r="AR119" t="s">
        <v>159</v>
      </c>
      <c r="AS119" t="s">
        <v>159</v>
      </c>
      <c r="AT119" t="s">
        <v>159</v>
      </c>
      <c r="AU119" t="s">
        <v>159</v>
      </c>
      <c r="AV119" t="s">
        <v>159</v>
      </c>
      <c r="AW119" t="s">
        <v>159</v>
      </c>
      <c r="AX119" t="s">
        <v>159</v>
      </c>
      <c r="AY119" t="s">
        <v>159</v>
      </c>
      <c r="CB119">
        <v>5.4586001809720273</v>
      </c>
      <c r="CC119">
        <v>995.37176838253708</v>
      </c>
      <c r="CD119">
        <v>1.1371093672316099</v>
      </c>
      <c r="CE119">
        <v>3.3779600313675</v>
      </c>
      <c r="CF119">
        <v>3.8124683334130398</v>
      </c>
      <c r="CG119">
        <v>3.5115021873010801</v>
      </c>
      <c r="CH119">
        <v>3.18388828014101</v>
      </c>
      <c r="CI119">
        <v>3.4554518319187402</v>
      </c>
      <c r="CJ119">
        <v>3.3233040283772901</v>
      </c>
      <c r="CK119">
        <v>23.990680360788399</v>
      </c>
      <c r="CL119">
        <v>1.4552881512767999</v>
      </c>
      <c r="CM119">
        <v>1.82611102099811</v>
      </c>
      <c r="CN119">
        <v>3.4331950656455499</v>
      </c>
      <c r="CO119">
        <v>12.996243513205201</v>
      </c>
    </row>
    <row r="120" spans="1:101" x14ac:dyDescent="0.25">
      <c r="A120" s="6">
        <v>119</v>
      </c>
      <c r="B120" s="6">
        <v>1</v>
      </c>
      <c r="C120" t="s">
        <v>146</v>
      </c>
      <c r="D120" t="s">
        <v>173</v>
      </c>
      <c r="E120" t="s">
        <v>168</v>
      </c>
      <c r="F120">
        <v>-1</v>
      </c>
      <c r="G120">
        <v>29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3712</v>
      </c>
      <c r="P120">
        <v>1322.0322209948599</v>
      </c>
      <c r="Q120">
        <v>-1</v>
      </c>
      <c r="R120">
        <v>-1</v>
      </c>
      <c r="S120">
        <v>-1</v>
      </c>
      <c r="T120">
        <v>0.55300000000000005</v>
      </c>
      <c r="U120">
        <v>0.46500000000000002</v>
      </c>
      <c r="V120">
        <v>0.51</v>
      </c>
      <c r="W120">
        <v>0.63200000000000001</v>
      </c>
      <c r="X120">
        <v>0.67400000000000004</v>
      </c>
      <c r="Y120">
        <v>0.52</v>
      </c>
      <c r="Z120">
        <v>0.44600000000000001</v>
      </c>
      <c r="AA120">
        <v>0.58699999999999997</v>
      </c>
      <c r="AB120">
        <v>0.40899999999999997</v>
      </c>
      <c r="AC120">
        <v>0.39</v>
      </c>
      <c r="AD120">
        <v>0.45</v>
      </c>
      <c r="AE120">
        <v>0.44</v>
      </c>
      <c r="AF120">
        <v>0.54800000000000004</v>
      </c>
      <c r="AG120">
        <v>0.63400000000000001</v>
      </c>
      <c r="AH120">
        <v>0.54200000000000004</v>
      </c>
      <c r="AI120">
        <v>0.439</v>
      </c>
      <c r="AJ120">
        <v>0.41199999999999998</v>
      </c>
      <c r="AK120">
        <v>0.68799999999999994</v>
      </c>
      <c r="AL120">
        <v>0.47199999999999998</v>
      </c>
      <c r="AM120">
        <v>0.44</v>
      </c>
      <c r="AN120" t="s">
        <v>169</v>
      </c>
      <c r="AO120" t="s">
        <v>169</v>
      </c>
      <c r="AP120" t="s">
        <v>169</v>
      </c>
      <c r="AQ120" t="s">
        <v>169</v>
      </c>
      <c r="AR120" t="s">
        <v>169</v>
      </c>
      <c r="AS120" t="s">
        <v>169</v>
      </c>
      <c r="AT120" t="s">
        <v>169</v>
      </c>
      <c r="AU120" t="s">
        <v>169</v>
      </c>
      <c r="AV120" t="s">
        <v>169</v>
      </c>
      <c r="AW120" t="s">
        <v>169</v>
      </c>
      <c r="AX120" t="s">
        <v>169</v>
      </c>
      <c r="AY120" t="s">
        <v>169</v>
      </c>
      <c r="AZ120" t="s">
        <v>169</v>
      </c>
      <c r="BA120" t="s">
        <v>169</v>
      </c>
      <c r="BB120" t="s">
        <v>169</v>
      </c>
      <c r="BC120" t="s">
        <v>169</v>
      </c>
      <c r="BD120" t="s">
        <v>169</v>
      </c>
      <c r="BE120" t="s">
        <v>169</v>
      </c>
      <c r="BF120" t="s">
        <v>169</v>
      </c>
      <c r="BG120" t="s">
        <v>169</v>
      </c>
      <c r="CB120">
        <v>0.44132942955593907</v>
      </c>
      <c r="CC120">
        <v>583.45172594623273</v>
      </c>
      <c r="CD120">
        <v>0.500665436936093</v>
      </c>
      <c r="CE120">
        <v>0.25160372289703198</v>
      </c>
      <c r="CF120">
        <v>0.36306337380979697</v>
      </c>
      <c r="CG120">
        <v>0.85069844849835996</v>
      </c>
      <c r="CH120">
        <v>1.09826875705004</v>
      </c>
      <c r="CI120">
        <v>0.39215893473719099</v>
      </c>
      <c r="CJ120">
        <v>0.213200504996995</v>
      </c>
      <c r="CK120">
        <v>0.63448608492430103</v>
      </c>
      <c r="CL120">
        <v>0.151171656764609</v>
      </c>
      <c r="CM120">
        <v>0.125157053385726</v>
      </c>
      <c r="CN120">
        <v>0.220893287960822</v>
      </c>
      <c r="CO120">
        <v>0.20203935138497001</v>
      </c>
      <c r="CP120">
        <v>0.48293386103757002</v>
      </c>
      <c r="CQ120">
        <v>0.86143635005422303</v>
      </c>
      <c r="CR120">
        <v>0.46228096109554601</v>
      </c>
      <c r="CS120">
        <v>0.20022254868470499</v>
      </c>
      <c r="CT120">
        <v>0.155621926611163</v>
      </c>
      <c r="CU120">
        <v>1.1916670736905299</v>
      </c>
      <c r="CV120">
        <v>0.26697990521414</v>
      </c>
      <c r="CW120">
        <v>0.20203935138497001</v>
      </c>
    </row>
    <row r="121" spans="1:101" x14ac:dyDescent="0.25">
      <c r="A121" s="6">
        <v>120</v>
      </c>
      <c r="B121" s="6">
        <v>1</v>
      </c>
      <c r="C121" t="s">
        <v>146</v>
      </c>
      <c r="D121" t="s">
        <v>157</v>
      </c>
      <c r="E121" t="s">
        <v>158</v>
      </c>
      <c r="F121">
        <v>35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35</v>
      </c>
      <c r="P121">
        <v>12.465282256147599</v>
      </c>
      <c r="Q121">
        <v>-1</v>
      </c>
      <c r="R121">
        <v>-1</v>
      </c>
      <c r="S121">
        <v>-1</v>
      </c>
      <c r="T121">
        <v>2.6379999999999999</v>
      </c>
      <c r="U121">
        <v>2.419</v>
      </c>
      <c r="V121">
        <v>3.18</v>
      </c>
      <c r="W121">
        <v>2.6160000000000001</v>
      </c>
      <c r="X121">
        <v>1.9910000000000001</v>
      </c>
      <c r="Y121">
        <v>2.669</v>
      </c>
      <c r="Z121">
        <v>1.998</v>
      </c>
      <c r="AA121">
        <v>4.0830000000000002</v>
      </c>
      <c r="AB121">
        <v>3.0950000000000002</v>
      </c>
      <c r="AC121">
        <v>2.4340000000000002</v>
      </c>
      <c r="AD121">
        <v>2.286</v>
      </c>
      <c r="AE121">
        <v>2.198</v>
      </c>
      <c r="AF121">
        <v>2.5619999999999998</v>
      </c>
      <c r="AG121">
        <v>3.0990000000000002</v>
      </c>
      <c r="AH121">
        <v>3.13</v>
      </c>
      <c r="AI121">
        <v>2.698</v>
      </c>
      <c r="AJ121">
        <v>2.891</v>
      </c>
      <c r="AK121">
        <v>1.8560000000000001</v>
      </c>
      <c r="AL121">
        <v>2.766</v>
      </c>
      <c r="AM121">
        <v>2.1709999999999998</v>
      </c>
      <c r="AN121" t="s">
        <v>159</v>
      </c>
      <c r="AO121" t="s">
        <v>159</v>
      </c>
      <c r="AP121" t="s">
        <v>159</v>
      </c>
      <c r="AQ121" t="s">
        <v>159</v>
      </c>
      <c r="AR121" t="s">
        <v>159</v>
      </c>
      <c r="AS121" t="s">
        <v>159</v>
      </c>
      <c r="AT121" t="s">
        <v>159</v>
      </c>
      <c r="AU121" t="s">
        <v>159</v>
      </c>
      <c r="AV121" t="s">
        <v>159</v>
      </c>
      <c r="AW121" t="s">
        <v>159</v>
      </c>
      <c r="AX121" t="s">
        <v>159</v>
      </c>
      <c r="AY121" t="s">
        <v>159</v>
      </c>
      <c r="AZ121" t="s">
        <v>159</v>
      </c>
      <c r="BA121" t="s">
        <v>159</v>
      </c>
      <c r="BB121" t="s">
        <v>159</v>
      </c>
      <c r="BC121" t="s">
        <v>159</v>
      </c>
      <c r="BD121" t="s">
        <v>159</v>
      </c>
      <c r="BE121" t="s">
        <v>159</v>
      </c>
      <c r="BF121" t="s">
        <v>159</v>
      </c>
      <c r="BG121" t="s">
        <v>159</v>
      </c>
      <c r="CB121">
        <v>134.28356637678962</v>
      </c>
      <c r="CC121">
        <v>1673.882557248814</v>
      </c>
      <c r="CD121">
        <v>128.68196896138099</v>
      </c>
      <c r="CE121">
        <v>107.362433973151</v>
      </c>
      <c r="CF121">
        <v>190.16301943075899</v>
      </c>
      <c r="CG121">
        <v>126.44925054539701</v>
      </c>
      <c r="CH121">
        <v>71.4681133019253</v>
      </c>
      <c r="CI121">
        <v>131.862681465983</v>
      </c>
      <c r="CJ121">
        <v>71.994272099158295</v>
      </c>
      <c r="CK121">
        <v>320.62714494360603</v>
      </c>
      <c r="CL121">
        <v>179.694237119859</v>
      </c>
      <c r="CM121">
        <v>108.758543591245</v>
      </c>
      <c r="CN121">
        <v>95.394359467605497</v>
      </c>
      <c r="CO121">
        <v>87.880243558419807</v>
      </c>
      <c r="CP121">
        <v>121.05528538568301</v>
      </c>
      <c r="CQ121">
        <v>180.17995666319001</v>
      </c>
      <c r="CR121">
        <v>183.967475705364</v>
      </c>
      <c r="CS121">
        <v>134.87487324366199</v>
      </c>
      <c r="CT121">
        <v>155.82742544225999</v>
      </c>
      <c r="CU121">
        <v>61.713665898114797</v>
      </c>
      <c r="CV121">
        <v>142.07721358748299</v>
      </c>
      <c r="CW121">
        <v>85.639163151545603</v>
      </c>
    </row>
    <row r="122" spans="1:101" x14ac:dyDescent="0.25">
      <c r="A122" s="6">
        <v>121</v>
      </c>
      <c r="B122" s="6">
        <v>1</v>
      </c>
      <c r="C122" t="s">
        <v>146</v>
      </c>
      <c r="D122" t="s">
        <v>160</v>
      </c>
      <c r="E122" t="s">
        <v>154</v>
      </c>
      <c r="F122">
        <v>-1</v>
      </c>
      <c r="G122">
        <v>0</v>
      </c>
      <c r="H122">
        <v>0</v>
      </c>
      <c r="I122">
        <v>-1</v>
      </c>
      <c r="J122">
        <v>-1</v>
      </c>
      <c r="K122">
        <v>1</v>
      </c>
      <c r="L122">
        <v>0</v>
      </c>
      <c r="M122">
        <v>1</v>
      </c>
      <c r="N122">
        <v>2</v>
      </c>
      <c r="O122">
        <v>73.142857142857096</v>
      </c>
      <c r="P122">
        <v>26.049895980194201</v>
      </c>
      <c r="Q122">
        <v>-1</v>
      </c>
      <c r="R122">
        <v>-1</v>
      </c>
      <c r="S122">
        <v>-1</v>
      </c>
      <c r="T122">
        <v>1.5720000000000001</v>
      </c>
      <c r="U122">
        <v>1.3360000000000001</v>
      </c>
      <c r="V122">
        <v>1.431</v>
      </c>
      <c r="W122">
        <v>1.716</v>
      </c>
      <c r="AN122" t="s">
        <v>159</v>
      </c>
      <c r="AO122" t="s">
        <v>156</v>
      </c>
      <c r="AP122" t="s">
        <v>155</v>
      </c>
      <c r="AQ122" t="s">
        <v>156</v>
      </c>
      <c r="CB122">
        <v>14.618168760830827</v>
      </c>
      <c r="CC122">
        <v>380.80177564056737</v>
      </c>
      <c r="CD122">
        <v>15.824875765501099</v>
      </c>
      <c r="CE122">
        <v>10.3840543560698</v>
      </c>
      <c r="CF122">
        <v>12.406088578368999</v>
      </c>
      <c r="CG122">
        <v>19.8576563433834</v>
      </c>
    </row>
    <row r="123" spans="1:101" x14ac:dyDescent="0.25">
      <c r="A123" s="6">
        <v>122</v>
      </c>
      <c r="B123" s="6">
        <v>1</v>
      </c>
      <c r="C123" t="s">
        <v>148</v>
      </c>
      <c r="D123" t="s">
        <v>179</v>
      </c>
      <c r="E123" t="s">
        <v>158</v>
      </c>
      <c r="F123">
        <v>-1</v>
      </c>
      <c r="G123">
        <v>20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10240</v>
      </c>
      <c r="P123">
        <v>3256.23699752428</v>
      </c>
      <c r="Q123">
        <v>-1</v>
      </c>
      <c r="R123">
        <v>-1</v>
      </c>
      <c r="S123">
        <v>-1</v>
      </c>
      <c r="T123">
        <v>0.81200000000000006</v>
      </c>
      <c r="U123">
        <v>0.86199999999999999</v>
      </c>
      <c r="V123">
        <v>0.63100000000000001</v>
      </c>
      <c r="W123">
        <v>0.66600000000000004</v>
      </c>
      <c r="X123">
        <v>0.97899999999999998</v>
      </c>
      <c r="Y123">
        <v>0.6</v>
      </c>
      <c r="Z123">
        <v>0.93200000000000005</v>
      </c>
      <c r="AA123">
        <v>0.76300000000000001</v>
      </c>
      <c r="AB123">
        <v>0.59499999999999997</v>
      </c>
      <c r="AC123">
        <v>1.0189999999999999</v>
      </c>
      <c r="AD123">
        <v>0.44500000000000001</v>
      </c>
      <c r="AE123">
        <v>1.0369999999999999</v>
      </c>
      <c r="AF123">
        <v>0.56200000000000006</v>
      </c>
      <c r="AG123">
        <v>0.64800000000000002</v>
      </c>
      <c r="AH123">
        <v>0.77300000000000002</v>
      </c>
      <c r="AI123">
        <v>0.76600000000000001</v>
      </c>
      <c r="AJ123">
        <v>0.69</v>
      </c>
      <c r="AK123">
        <v>0.41099999999999998</v>
      </c>
      <c r="AL123">
        <v>1.0580000000000001</v>
      </c>
      <c r="AM123">
        <v>0.70199999999999996</v>
      </c>
      <c r="AN123" t="s">
        <v>159</v>
      </c>
      <c r="AO123" t="s">
        <v>159</v>
      </c>
      <c r="AP123" t="s">
        <v>159</v>
      </c>
      <c r="AQ123" t="s">
        <v>159</v>
      </c>
      <c r="AR123" t="s">
        <v>159</v>
      </c>
      <c r="AS123" t="s">
        <v>159</v>
      </c>
      <c r="AT123" t="s">
        <v>159</v>
      </c>
      <c r="AU123" t="s">
        <v>159</v>
      </c>
      <c r="AV123" t="s">
        <v>159</v>
      </c>
      <c r="AW123" t="s">
        <v>159</v>
      </c>
      <c r="AX123" t="s">
        <v>159</v>
      </c>
      <c r="AY123" t="s">
        <v>159</v>
      </c>
      <c r="AZ123" t="s">
        <v>159</v>
      </c>
      <c r="BA123" t="s">
        <v>159</v>
      </c>
      <c r="BB123" t="s">
        <v>159</v>
      </c>
      <c r="BC123" t="s">
        <v>159</v>
      </c>
      <c r="BD123" t="s">
        <v>159</v>
      </c>
      <c r="BE123" t="s">
        <v>159</v>
      </c>
      <c r="BF123" t="s">
        <v>159</v>
      </c>
      <c r="BG123" t="s">
        <v>159</v>
      </c>
      <c r="CB123">
        <v>2.5215812312365649</v>
      </c>
      <c r="CC123">
        <v>8210.8660974153299</v>
      </c>
      <c r="CD123">
        <v>2.7498764234730499</v>
      </c>
      <c r="CE123">
        <v>3.2584772218133802</v>
      </c>
      <c r="CF123">
        <v>1.34356114170409</v>
      </c>
      <c r="CG123">
        <v>1.5661770846110701</v>
      </c>
      <c r="CH123">
        <v>4.6773180175036702</v>
      </c>
      <c r="CI123">
        <v>1.1644574012292099</v>
      </c>
      <c r="CJ123">
        <v>4.0673846525694302</v>
      </c>
      <c r="CK123">
        <v>2.3043250567441298</v>
      </c>
      <c r="CL123">
        <v>1.1371093672316099</v>
      </c>
      <c r="CM123">
        <v>5.2406932124914203</v>
      </c>
      <c r="CN123">
        <v>0.49832937203178701</v>
      </c>
      <c r="CO123">
        <v>5.5078958898485002</v>
      </c>
      <c r="CP123">
        <v>0.966997142439596</v>
      </c>
      <c r="CQ123">
        <v>1.44892888771238</v>
      </c>
      <c r="CR123">
        <v>2.3911334626566698</v>
      </c>
      <c r="CS123">
        <v>2.3301493628582102</v>
      </c>
      <c r="CT123">
        <v>1.7318308519774399</v>
      </c>
      <c r="CU123">
        <v>0.39763520548390102</v>
      </c>
      <c r="CV123">
        <v>5.8306013756699198</v>
      </c>
      <c r="CW123">
        <v>1.8187434946818399</v>
      </c>
    </row>
    <row r="124" spans="1:101" x14ac:dyDescent="0.25">
      <c r="A124" s="6">
        <v>123</v>
      </c>
      <c r="B124" s="6">
        <v>1</v>
      </c>
      <c r="C124" t="s">
        <v>148</v>
      </c>
      <c r="D124" t="s">
        <v>165</v>
      </c>
      <c r="E124" t="s">
        <v>158</v>
      </c>
      <c r="F124">
        <v>-1</v>
      </c>
      <c r="G124">
        <v>0</v>
      </c>
      <c r="H124">
        <v>-1</v>
      </c>
      <c r="I124">
        <v>-1</v>
      </c>
      <c r="J124">
        <v>-1</v>
      </c>
      <c r="K124">
        <v>2</v>
      </c>
      <c r="L124">
        <v>-1</v>
      </c>
      <c r="M124">
        <v>2</v>
      </c>
      <c r="N124">
        <v>-1</v>
      </c>
      <c r="O124">
        <v>292.57142857142901</v>
      </c>
      <c r="P124">
        <v>93.035342786407895</v>
      </c>
      <c r="Q124">
        <v>-1</v>
      </c>
      <c r="R124">
        <v>-1</v>
      </c>
      <c r="S124">
        <v>-1</v>
      </c>
      <c r="T124">
        <v>1.595</v>
      </c>
      <c r="U124">
        <v>2.5289999999999999</v>
      </c>
      <c r="V124">
        <v>4.2130000000000001</v>
      </c>
      <c r="W124">
        <v>1.7390000000000001</v>
      </c>
      <c r="AN124" t="s">
        <v>159</v>
      </c>
      <c r="AO124" t="s">
        <v>159</v>
      </c>
      <c r="AP124" t="s">
        <v>159</v>
      </c>
      <c r="AQ124" t="s">
        <v>159</v>
      </c>
      <c r="CB124">
        <v>7.2845399337771806</v>
      </c>
      <c r="CC124">
        <v>677.71966978023704</v>
      </c>
      <c r="CD124">
        <v>1.5289066555728099</v>
      </c>
      <c r="CE124">
        <v>5.2345977025885402</v>
      </c>
      <c r="CF124">
        <v>20.4488614189051</v>
      </c>
      <c r="CG124">
        <v>1.92579395804227</v>
      </c>
    </row>
    <row r="125" spans="1:101" x14ac:dyDescent="0.25">
      <c r="A125" s="6">
        <v>124</v>
      </c>
      <c r="B125" s="6">
        <v>1</v>
      </c>
      <c r="C125" t="s">
        <v>148</v>
      </c>
      <c r="D125" t="s">
        <v>161</v>
      </c>
      <c r="E125" t="s">
        <v>154</v>
      </c>
      <c r="F125">
        <v>-1</v>
      </c>
      <c r="G125">
        <v>2</v>
      </c>
      <c r="H125">
        <v>0</v>
      </c>
      <c r="I125">
        <v>-1</v>
      </c>
      <c r="J125">
        <v>-1</v>
      </c>
      <c r="K125">
        <v>0</v>
      </c>
      <c r="L125">
        <v>2</v>
      </c>
      <c r="M125">
        <v>-1</v>
      </c>
      <c r="N125">
        <v>-1</v>
      </c>
      <c r="O125">
        <v>682.66666666666697</v>
      </c>
      <c r="P125">
        <v>217.082466501619</v>
      </c>
      <c r="Q125">
        <v>-1</v>
      </c>
      <c r="R125">
        <v>-1</v>
      </c>
      <c r="S125">
        <v>-1</v>
      </c>
      <c r="T125">
        <v>0.77200000000000002</v>
      </c>
      <c r="U125">
        <v>1.0229999999999999</v>
      </c>
      <c r="V125">
        <v>0.9</v>
      </c>
      <c r="W125">
        <v>0.95099999999999996</v>
      </c>
      <c r="AN125" t="s">
        <v>155</v>
      </c>
      <c r="AO125" t="s">
        <v>155</v>
      </c>
      <c r="AP125" t="s">
        <v>156</v>
      </c>
      <c r="AQ125" t="s">
        <v>156</v>
      </c>
      <c r="CB125">
        <v>3.9370107385283974</v>
      </c>
      <c r="CC125">
        <v>854.65600176310511</v>
      </c>
      <c r="CD125">
        <v>2.5087479701010098</v>
      </c>
      <c r="CE125">
        <v>5.2012307030652298</v>
      </c>
      <c r="CF125">
        <v>3.7326418900079599</v>
      </c>
      <c r="CG125">
        <v>4.3054223909393903</v>
      </c>
    </row>
    <row r="126" spans="1:101" x14ac:dyDescent="0.25">
      <c r="A126" s="6">
        <v>125</v>
      </c>
      <c r="B126" s="6">
        <v>1</v>
      </c>
      <c r="C126" t="s">
        <v>148</v>
      </c>
      <c r="D126" t="s">
        <v>178</v>
      </c>
      <c r="E126" t="s">
        <v>158</v>
      </c>
      <c r="F126">
        <v>-1</v>
      </c>
      <c r="G126">
        <v>4</v>
      </c>
      <c r="H126">
        <v>-1</v>
      </c>
      <c r="I126">
        <v>-1</v>
      </c>
      <c r="J126">
        <v>-1</v>
      </c>
      <c r="K126">
        <v>6</v>
      </c>
      <c r="L126">
        <v>-1</v>
      </c>
      <c r="M126">
        <v>4</v>
      </c>
      <c r="N126">
        <v>-1</v>
      </c>
      <c r="O126">
        <v>1024</v>
      </c>
      <c r="P126">
        <v>325.62369975242802</v>
      </c>
      <c r="Q126">
        <v>-1</v>
      </c>
      <c r="R126">
        <v>-1</v>
      </c>
      <c r="S126">
        <v>-1</v>
      </c>
      <c r="T126">
        <v>0.53700000000000003</v>
      </c>
      <c r="U126">
        <v>0.56899999999999995</v>
      </c>
      <c r="V126">
        <v>0.437</v>
      </c>
      <c r="W126">
        <v>0.52700000000000002</v>
      </c>
      <c r="X126">
        <v>0.54300000000000004</v>
      </c>
      <c r="Y126">
        <v>0.36899999999999999</v>
      </c>
      <c r="Z126">
        <v>0.624</v>
      </c>
      <c r="AA126">
        <v>0.56499999999999995</v>
      </c>
      <c r="AB126">
        <v>0.503</v>
      </c>
      <c r="AC126">
        <v>0.498</v>
      </c>
      <c r="AD126">
        <v>0.70199999999999996</v>
      </c>
      <c r="AE126">
        <v>0.46700000000000003</v>
      </c>
      <c r="AF126">
        <v>0.79100000000000004</v>
      </c>
      <c r="AG126">
        <v>0.90200000000000002</v>
      </c>
      <c r="AN126" t="s">
        <v>159</v>
      </c>
      <c r="AO126" t="s">
        <v>159</v>
      </c>
      <c r="AP126" t="s">
        <v>159</v>
      </c>
      <c r="AQ126" t="s">
        <v>159</v>
      </c>
      <c r="AR126" t="s">
        <v>159</v>
      </c>
      <c r="AS126" t="s">
        <v>159</v>
      </c>
      <c r="AT126" t="s">
        <v>159</v>
      </c>
      <c r="AU126" t="s">
        <v>159</v>
      </c>
      <c r="AV126" t="s">
        <v>159</v>
      </c>
      <c r="AW126" t="s">
        <v>159</v>
      </c>
      <c r="AX126" t="s">
        <v>159</v>
      </c>
      <c r="AY126" t="s">
        <v>159</v>
      </c>
      <c r="AZ126" t="s">
        <v>159</v>
      </c>
      <c r="BA126" t="s">
        <v>159</v>
      </c>
      <c r="CB126">
        <v>5.224138898011323</v>
      </c>
      <c r="CC126">
        <v>1701.1034359910193</v>
      </c>
      <c r="CD126">
        <v>4.2300848560228097</v>
      </c>
      <c r="CE126">
        <v>4.7906642855950397</v>
      </c>
      <c r="CF126">
        <v>2.7160605944932699</v>
      </c>
      <c r="CG126">
        <v>4.0625356766111</v>
      </c>
      <c r="CH126">
        <v>4.3323546273023199</v>
      </c>
      <c r="CI126">
        <v>1.88803939759447</v>
      </c>
      <c r="CJ126">
        <v>5.8418611853137001</v>
      </c>
      <c r="CK126">
        <v>4.7185496373428704</v>
      </c>
      <c r="CL126">
        <v>3.6751539241232098</v>
      </c>
      <c r="CM126">
        <v>3.5970580958964402</v>
      </c>
      <c r="CN126">
        <v>7.5253925007584002</v>
      </c>
      <c r="CO126">
        <v>3.1328215563148301</v>
      </c>
      <c r="CP126">
        <v>9.7271094974704599</v>
      </c>
      <c r="CQ126">
        <v>12.9002587373196</v>
      </c>
    </row>
    <row r="127" spans="1:101" x14ac:dyDescent="0.25">
      <c r="A127" s="6">
        <v>126</v>
      </c>
      <c r="B127" s="6">
        <v>1</v>
      </c>
      <c r="C127" t="s">
        <v>148</v>
      </c>
      <c r="D127" t="s">
        <v>163</v>
      </c>
      <c r="E127" t="s">
        <v>158</v>
      </c>
      <c r="F127">
        <v>-1</v>
      </c>
      <c r="G127">
        <v>20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10240</v>
      </c>
      <c r="P127">
        <v>3256.23699752428</v>
      </c>
      <c r="Q127">
        <v>-1</v>
      </c>
      <c r="R127">
        <v>-1</v>
      </c>
      <c r="S127">
        <v>-1</v>
      </c>
      <c r="T127">
        <v>0.628</v>
      </c>
      <c r="U127">
        <v>0.46800000000000003</v>
      </c>
      <c r="V127">
        <v>0.34799999999999998</v>
      </c>
      <c r="W127">
        <v>0.67900000000000005</v>
      </c>
      <c r="X127">
        <v>0.25900000000000001</v>
      </c>
      <c r="Y127">
        <v>0.53400000000000003</v>
      </c>
      <c r="Z127">
        <v>0.499</v>
      </c>
      <c r="AA127">
        <v>0.91500000000000004</v>
      </c>
      <c r="AB127">
        <v>0.59299999999999997</v>
      </c>
      <c r="AC127">
        <v>0.46</v>
      </c>
      <c r="AD127">
        <v>0.53300000000000003</v>
      </c>
      <c r="AE127">
        <v>0.64900000000000002</v>
      </c>
      <c r="AF127">
        <v>0.42599999999999999</v>
      </c>
      <c r="AG127">
        <v>0.35099999999999998</v>
      </c>
      <c r="AH127">
        <v>0.34200000000000003</v>
      </c>
      <c r="AI127">
        <v>0.42599999999999999</v>
      </c>
      <c r="AJ127">
        <v>0.496</v>
      </c>
      <c r="AK127">
        <v>0.59199999999999997</v>
      </c>
      <c r="AL127">
        <v>0.42599999999999999</v>
      </c>
      <c r="AM127">
        <v>0.625</v>
      </c>
      <c r="AN127" t="s">
        <v>159</v>
      </c>
      <c r="AO127" t="s">
        <v>159</v>
      </c>
      <c r="AP127" t="s">
        <v>159</v>
      </c>
      <c r="AQ127" t="s">
        <v>159</v>
      </c>
      <c r="AR127" t="s">
        <v>159</v>
      </c>
      <c r="AS127" t="s">
        <v>159</v>
      </c>
      <c r="AT127" t="s">
        <v>159</v>
      </c>
      <c r="AU127" t="s">
        <v>159</v>
      </c>
      <c r="AV127" t="s">
        <v>159</v>
      </c>
      <c r="AW127" t="s">
        <v>159</v>
      </c>
      <c r="AX127" t="s">
        <v>159</v>
      </c>
      <c r="AY127" t="s">
        <v>159</v>
      </c>
      <c r="AZ127" t="s">
        <v>159</v>
      </c>
      <c r="BA127" t="s">
        <v>159</v>
      </c>
      <c r="BB127" t="s">
        <v>159</v>
      </c>
      <c r="BC127" t="s">
        <v>159</v>
      </c>
      <c r="BD127" t="s">
        <v>159</v>
      </c>
      <c r="BE127" t="s">
        <v>159</v>
      </c>
      <c r="BF127" t="s">
        <v>159</v>
      </c>
      <c r="BG127" t="s">
        <v>159</v>
      </c>
      <c r="CB127">
        <v>1.2295119145157867</v>
      </c>
      <c r="CC127">
        <v>4003.5821849432145</v>
      </c>
      <c r="CD127">
        <v>1.80212007467405</v>
      </c>
      <c r="CE127">
        <v>0.705304625931365</v>
      </c>
      <c r="CF127">
        <v>0.274113389070681</v>
      </c>
      <c r="CG127">
        <v>2.3118360992265501</v>
      </c>
      <c r="CH127">
        <v>0.10683626788851899</v>
      </c>
      <c r="CI127">
        <v>1.0743581208150099</v>
      </c>
      <c r="CJ127">
        <v>0.86543250216612</v>
      </c>
      <c r="CK127">
        <v>5.98722736862105</v>
      </c>
      <c r="CL127">
        <v>1.5008487671570201</v>
      </c>
      <c r="CM127">
        <v>0.66755944365915698</v>
      </c>
      <c r="CN127">
        <v>1.0679532894762001</v>
      </c>
      <c r="CO127">
        <v>2.0014882449899201</v>
      </c>
      <c r="CP127">
        <v>0.52252741618424003</v>
      </c>
      <c r="CQ127">
        <v>0.28172290793110799</v>
      </c>
      <c r="CR127">
        <v>0.25931983661601299</v>
      </c>
      <c r="CS127">
        <v>0.52252741618424003</v>
      </c>
      <c r="CT127">
        <v>0.84894393301715798</v>
      </c>
      <c r="CU127">
        <v>1.49278995978344</v>
      </c>
      <c r="CV127">
        <v>0.52252741618424003</v>
      </c>
      <c r="CW127">
        <v>1.77480121073966</v>
      </c>
    </row>
    <row r="128" spans="1:101" x14ac:dyDescent="0.25">
      <c r="A128" s="6">
        <v>127</v>
      </c>
      <c r="B128" s="6">
        <v>1</v>
      </c>
      <c r="C128" t="s">
        <v>148</v>
      </c>
      <c r="D128" t="s">
        <v>166</v>
      </c>
      <c r="E128" t="s">
        <v>154</v>
      </c>
      <c r="F128">
        <v>-1</v>
      </c>
      <c r="G128">
        <v>9</v>
      </c>
      <c r="H128">
        <v>20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14848</v>
      </c>
      <c r="P128">
        <v>4721.5436464102004</v>
      </c>
      <c r="Q128">
        <v>-1</v>
      </c>
      <c r="R128">
        <v>-1</v>
      </c>
      <c r="S128">
        <v>-1</v>
      </c>
      <c r="T128">
        <v>0.83599999999999997</v>
      </c>
      <c r="U128">
        <v>0.89800000000000002</v>
      </c>
      <c r="V128">
        <v>0.749</v>
      </c>
      <c r="W128">
        <v>0.84899999999999998</v>
      </c>
      <c r="X128">
        <v>0.86399999999999999</v>
      </c>
      <c r="Y128">
        <v>0.83599999999999997</v>
      </c>
      <c r="Z128">
        <v>0.96799999999999997</v>
      </c>
      <c r="AA128">
        <v>0.877</v>
      </c>
      <c r="AB128">
        <v>0.72099999999999997</v>
      </c>
      <c r="AC128">
        <v>1.0529999999999999</v>
      </c>
      <c r="AD128">
        <v>0.89400000000000002</v>
      </c>
      <c r="AE128">
        <v>0.88900000000000001</v>
      </c>
      <c r="AF128">
        <v>0.67600000000000005</v>
      </c>
      <c r="AG128">
        <v>0.83</v>
      </c>
      <c r="AH128">
        <v>0.79900000000000004</v>
      </c>
      <c r="AI128">
        <v>0.85199999999999998</v>
      </c>
      <c r="AJ128">
        <v>0.86</v>
      </c>
      <c r="AK128">
        <v>0.65500000000000003</v>
      </c>
      <c r="AL128">
        <v>1.06</v>
      </c>
      <c r="AM128">
        <v>0.82199999999999995</v>
      </c>
      <c r="AN128" t="s">
        <v>156</v>
      </c>
      <c r="AO128" t="s">
        <v>155</v>
      </c>
      <c r="AP128" t="s">
        <v>156</v>
      </c>
      <c r="AQ128" t="s">
        <v>156</v>
      </c>
      <c r="AR128" t="s">
        <v>156</v>
      </c>
      <c r="AS128" t="s">
        <v>156</v>
      </c>
      <c r="AT128" t="s">
        <v>155</v>
      </c>
      <c r="AU128" t="s">
        <v>156</v>
      </c>
      <c r="AV128" t="s">
        <v>156</v>
      </c>
      <c r="AW128" t="s">
        <v>155</v>
      </c>
      <c r="AX128" t="s">
        <v>155</v>
      </c>
      <c r="AY128" t="s">
        <v>156</v>
      </c>
      <c r="AZ128" t="s">
        <v>156</v>
      </c>
      <c r="BA128" t="s">
        <v>156</v>
      </c>
      <c r="BB128" t="s">
        <v>156</v>
      </c>
      <c r="BC128" t="s">
        <v>156</v>
      </c>
      <c r="BD128" t="s">
        <v>156</v>
      </c>
      <c r="BE128" t="s">
        <v>156</v>
      </c>
      <c r="BF128" t="s">
        <v>155</v>
      </c>
      <c r="BG128" t="s">
        <v>156</v>
      </c>
      <c r="CB128">
        <v>2.9869060251336603</v>
      </c>
      <c r="CC128">
        <v>14102.807165394181</v>
      </c>
      <c r="CD128">
        <v>2.5827820615271002</v>
      </c>
      <c r="CE128">
        <v>3.43111991459967</v>
      </c>
      <c r="CF128">
        <v>1.66963544635729</v>
      </c>
      <c r="CG128">
        <v>2.7459483887317799</v>
      </c>
      <c r="CH128">
        <v>2.9436650911415101</v>
      </c>
      <c r="CI128">
        <v>2.5827820615271002</v>
      </c>
      <c r="CJ128">
        <v>4.62225614482601</v>
      </c>
      <c r="CK128">
        <v>3.1234691843475599</v>
      </c>
      <c r="CL128">
        <v>1.43526416225078</v>
      </c>
      <c r="CM128">
        <v>6.4560884777953698</v>
      </c>
      <c r="CN128">
        <v>3.37084505092071</v>
      </c>
      <c r="CO128">
        <v>3.2966195591682199</v>
      </c>
      <c r="CP128">
        <v>1.1112639423694799</v>
      </c>
      <c r="CQ128">
        <v>2.5099719419613802</v>
      </c>
      <c r="CR128">
        <v>2.1579409369893798</v>
      </c>
      <c r="CS128">
        <v>2.7846718922278502</v>
      </c>
      <c r="CT128">
        <v>2.8899324488583402</v>
      </c>
      <c r="CU128">
        <v>0.98040789739012901</v>
      </c>
      <c r="CV128">
        <v>6.6281621605628596</v>
      </c>
      <c r="CW128">
        <v>2.4152937391206901</v>
      </c>
    </row>
    <row r="129" spans="1:101" x14ac:dyDescent="0.25">
      <c r="A129" s="6">
        <v>128</v>
      </c>
      <c r="B129" s="6">
        <v>1</v>
      </c>
      <c r="C129" t="s">
        <v>148</v>
      </c>
      <c r="D129" t="s">
        <v>167</v>
      </c>
      <c r="E129" t="s">
        <v>168</v>
      </c>
      <c r="F129">
        <v>-1</v>
      </c>
      <c r="G129">
        <v>19</v>
      </c>
      <c r="H129">
        <v>-1</v>
      </c>
      <c r="I129">
        <v>-1</v>
      </c>
      <c r="J129">
        <v>-1</v>
      </c>
      <c r="K129">
        <v>18</v>
      </c>
      <c r="L129">
        <v>-1</v>
      </c>
      <c r="M129">
        <v>-1</v>
      </c>
      <c r="N129">
        <v>-1</v>
      </c>
      <c r="O129">
        <v>6314.6666666666697</v>
      </c>
      <c r="P129">
        <v>2008.0128151399699</v>
      </c>
      <c r="Q129">
        <v>-1</v>
      </c>
      <c r="R129">
        <v>-1</v>
      </c>
      <c r="S129">
        <v>-1</v>
      </c>
      <c r="T129">
        <v>1.196</v>
      </c>
      <c r="U129">
        <v>0.74</v>
      </c>
      <c r="V129">
        <v>0.627</v>
      </c>
      <c r="W129">
        <v>0.65700000000000003</v>
      </c>
      <c r="X129">
        <v>0.49199999999999999</v>
      </c>
      <c r="Y129">
        <v>0.44800000000000001</v>
      </c>
      <c r="Z129">
        <v>0.67300000000000004</v>
      </c>
      <c r="AA129">
        <v>0.68600000000000005</v>
      </c>
      <c r="AB129">
        <v>0.77200000000000002</v>
      </c>
      <c r="AC129">
        <v>0.98</v>
      </c>
      <c r="AD129">
        <v>1.109</v>
      </c>
      <c r="AE129">
        <v>0.56599999999999995</v>
      </c>
      <c r="AF129">
        <v>0.53500000000000003</v>
      </c>
      <c r="AG129">
        <v>0.70099999999999996</v>
      </c>
      <c r="AH129">
        <v>0.54700000000000004</v>
      </c>
      <c r="AI129">
        <v>0.72499999999999998</v>
      </c>
      <c r="AJ129">
        <v>0.45400000000000001</v>
      </c>
      <c r="AK129">
        <v>0.503</v>
      </c>
      <c r="AL129">
        <v>0.53900000000000003</v>
      </c>
      <c r="AM129">
        <v>0.39</v>
      </c>
      <c r="AN129" t="s">
        <v>169</v>
      </c>
      <c r="AO129" t="s">
        <v>169</v>
      </c>
      <c r="AP129" t="s">
        <v>169</v>
      </c>
      <c r="AQ129" t="s">
        <v>169</v>
      </c>
      <c r="AR129" t="s">
        <v>169</v>
      </c>
      <c r="AS129" t="s">
        <v>169</v>
      </c>
      <c r="AT129" t="s">
        <v>169</v>
      </c>
      <c r="AU129" t="s">
        <v>169</v>
      </c>
      <c r="AV129" t="s">
        <v>169</v>
      </c>
      <c r="AW129" t="s">
        <v>169</v>
      </c>
      <c r="AX129" t="s">
        <v>169</v>
      </c>
      <c r="AY129" t="s">
        <v>169</v>
      </c>
      <c r="AZ129" t="s">
        <v>169</v>
      </c>
      <c r="BA129" t="s">
        <v>169</v>
      </c>
      <c r="BB129" t="s">
        <v>169</v>
      </c>
      <c r="BC129" t="s">
        <v>169</v>
      </c>
      <c r="BD129" t="s">
        <v>169</v>
      </c>
      <c r="BE129" t="s">
        <v>169</v>
      </c>
      <c r="BF129" t="s">
        <v>169</v>
      </c>
      <c r="BG129" t="s">
        <v>169</v>
      </c>
      <c r="CB129">
        <v>2.0909278485508471</v>
      </c>
      <c r="CC129">
        <v>4198.609915423147</v>
      </c>
      <c r="CD129">
        <v>7.7956437011095696</v>
      </c>
      <c r="CE129">
        <v>2.2482177915250299</v>
      </c>
      <c r="CF129">
        <v>1.46369691330551</v>
      </c>
      <c r="CG129">
        <v>1.65204751255448</v>
      </c>
      <c r="CH129">
        <v>0.78112015226286602</v>
      </c>
      <c r="CI129">
        <v>0.61282755207478401</v>
      </c>
      <c r="CJ129">
        <v>1.75827678716059</v>
      </c>
      <c r="CK129">
        <v>1.8475988612727301</v>
      </c>
      <c r="CL129">
        <v>2.5087479701010098</v>
      </c>
      <c r="CM129">
        <v>4.65375764073237</v>
      </c>
      <c r="CN129">
        <v>6.4106332350568396</v>
      </c>
      <c r="CO129">
        <v>1.1228526880388501</v>
      </c>
      <c r="CP129">
        <v>0.97043068768626195</v>
      </c>
      <c r="CQ129">
        <v>1.9540599911345999</v>
      </c>
      <c r="CR129">
        <v>1.02781606477645</v>
      </c>
      <c r="CS129">
        <v>2.1320808196955898</v>
      </c>
      <c r="CT129">
        <v>0.63431193808593</v>
      </c>
      <c r="CU129">
        <v>0.82715958666094402</v>
      </c>
      <c r="CV129">
        <v>0.989334440846659</v>
      </c>
      <c r="CW129">
        <v>0.42794263693587298</v>
      </c>
    </row>
    <row r="130" spans="1:101" x14ac:dyDescent="0.25">
      <c r="A130" s="6">
        <v>129</v>
      </c>
      <c r="B130" s="6">
        <v>1</v>
      </c>
      <c r="C130" t="s">
        <v>148</v>
      </c>
      <c r="D130" t="s">
        <v>170</v>
      </c>
      <c r="E130" t="s">
        <v>158</v>
      </c>
      <c r="F130">
        <v>-1</v>
      </c>
      <c r="G130">
        <v>20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10240</v>
      </c>
      <c r="P130">
        <v>3256.23699752428</v>
      </c>
      <c r="Q130">
        <v>-1</v>
      </c>
      <c r="R130">
        <v>-1</v>
      </c>
      <c r="S130">
        <v>-1</v>
      </c>
      <c r="T130">
        <v>0.66100000000000003</v>
      </c>
      <c r="U130">
        <v>0.61299999999999999</v>
      </c>
      <c r="V130">
        <v>0.49399999999999999</v>
      </c>
      <c r="W130">
        <v>0.56999999999999995</v>
      </c>
      <c r="X130">
        <v>0.68799999999999994</v>
      </c>
      <c r="Y130">
        <v>0.64100000000000001</v>
      </c>
      <c r="Z130">
        <v>0.67200000000000004</v>
      </c>
      <c r="AA130">
        <v>0.59</v>
      </c>
      <c r="AB130">
        <v>0.56899999999999995</v>
      </c>
      <c r="AC130">
        <v>0.64200000000000002</v>
      </c>
      <c r="AD130">
        <v>0.76800000000000002</v>
      </c>
      <c r="AE130">
        <v>1.18</v>
      </c>
      <c r="AF130">
        <v>0.69199999999999995</v>
      </c>
      <c r="AG130">
        <v>0.65700000000000003</v>
      </c>
      <c r="AH130">
        <v>1.222</v>
      </c>
      <c r="AI130">
        <v>0.92500000000000004</v>
      </c>
      <c r="AJ130">
        <v>0.77900000000000003</v>
      </c>
      <c r="AK130">
        <v>0.59299999999999997</v>
      </c>
      <c r="AL130">
        <v>0.76500000000000001</v>
      </c>
      <c r="AM130">
        <v>0.58099999999999996</v>
      </c>
      <c r="AN130" t="s">
        <v>159</v>
      </c>
      <c r="AO130" t="s">
        <v>159</v>
      </c>
      <c r="AP130" t="s">
        <v>159</v>
      </c>
      <c r="AQ130" t="s">
        <v>159</v>
      </c>
      <c r="AR130" t="s">
        <v>159</v>
      </c>
      <c r="AS130" t="s">
        <v>159</v>
      </c>
      <c r="AT130" t="s">
        <v>159</v>
      </c>
      <c r="AU130" t="s">
        <v>159</v>
      </c>
      <c r="AV130" t="s">
        <v>159</v>
      </c>
      <c r="AW130" t="s">
        <v>159</v>
      </c>
      <c r="AX130" t="s">
        <v>159</v>
      </c>
      <c r="AY130" t="s">
        <v>159</v>
      </c>
      <c r="AZ130" t="s">
        <v>159</v>
      </c>
      <c r="BA130" t="s">
        <v>159</v>
      </c>
      <c r="BB130" t="s">
        <v>159</v>
      </c>
      <c r="BC130" t="s">
        <v>159</v>
      </c>
      <c r="BD130" t="s">
        <v>159</v>
      </c>
      <c r="BE130" t="s">
        <v>159</v>
      </c>
      <c r="BF130" t="s">
        <v>159</v>
      </c>
      <c r="BG130" t="s">
        <v>159</v>
      </c>
      <c r="CB130">
        <v>2.2982204245754869</v>
      </c>
      <c r="CC130">
        <v>7483.5503749686595</v>
      </c>
      <c r="CD130">
        <v>1.53301427686458</v>
      </c>
      <c r="CE130">
        <v>1.2375472861358701</v>
      </c>
      <c r="CF130">
        <v>0.67043794995014605</v>
      </c>
      <c r="CG130">
        <v>1.0066039832084499</v>
      </c>
      <c r="CH130">
        <v>1.7176126069537201</v>
      </c>
      <c r="CI130">
        <v>1.40491761681181</v>
      </c>
      <c r="CJ130">
        <v>1.60658160456568</v>
      </c>
      <c r="CK130">
        <v>1.1101809415957</v>
      </c>
      <c r="CL130">
        <v>1.0015967140019999</v>
      </c>
      <c r="CM130">
        <v>1.4111511506049299</v>
      </c>
      <c r="CN130">
        <v>2.3474692895716802</v>
      </c>
      <c r="CO130">
        <v>7.9491182079566203</v>
      </c>
      <c r="CP130">
        <v>1.7461251302248499</v>
      </c>
      <c r="CQ130">
        <v>1.5068141991726001</v>
      </c>
      <c r="CR130">
        <v>8.7792270154461303</v>
      </c>
      <c r="CS130">
        <v>3.9812236517275199</v>
      </c>
      <c r="CT130">
        <v>2.4442207927558202</v>
      </c>
      <c r="CU130">
        <v>1.1262878098651301</v>
      </c>
      <c r="CV130">
        <v>2.3215205390519702</v>
      </c>
      <c r="CW130">
        <v>1.0627577250445299</v>
      </c>
    </row>
    <row r="131" spans="1:101" x14ac:dyDescent="0.25">
      <c r="A131" s="6">
        <v>130</v>
      </c>
      <c r="B131" s="6">
        <v>1</v>
      </c>
      <c r="C131" t="s">
        <v>148</v>
      </c>
      <c r="D131" t="s">
        <v>173</v>
      </c>
      <c r="E131" t="s">
        <v>168</v>
      </c>
      <c r="F131">
        <v>-1</v>
      </c>
      <c r="G131">
        <v>118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60416</v>
      </c>
      <c r="P131">
        <v>19211.798285393201</v>
      </c>
      <c r="Q131">
        <v>-1</v>
      </c>
      <c r="R131">
        <v>-1</v>
      </c>
      <c r="S131">
        <v>-1</v>
      </c>
      <c r="T131">
        <v>0.38600000000000001</v>
      </c>
      <c r="U131">
        <v>0.55100000000000005</v>
      </c>
      <c r="V131">
        <v>0.72699999999999998</v>
      </c>
      <c r="W131">
        <v>0.373</v>
      </c>
      <c r="X131">
        <v>0.47099999999999997</v>
      </c>
      <c r="Y131">
        <v>0.71</v>
      </c>
      <c r="Z131">
        <v>0.55600000000000005</v>
      </c>
      <c r="AA131">
        <v>0.53100000000000003</v>
      </c>
      <c r="AB131">
        <v>0.57499999999999996</v>
      </c>
      <c r="AC131">
        <v>0.38100000000000001</v>
      </c>
      <c r="AD131">
        <v>0.51500000000000001</v>
      </c>
      <c r="AE131">
        <v>0.49</v>
      </c>
      <c r="AF131">
        <v>0.54200000000000004</v>
      </c>
      <c r="AG131">
        <v>0.438</v>
      </c>
      <c r="AH131">
        <v>0.56299999999999994</v>
      </c>
      <c r="AI131">
        <v>0.83599999999999997</v>
      </c>
      <c r="AJ131">
        <v>0.90400000000000003</v>
      </c>
      <c r="AK131">
        <v>0.438</v>
      </c>
      <c r="AL131">
        <v>0.503</v>
      </c>
      <c r="AM131">
        <v>0.59799999999999998</v>
      </c>
      <c r="AN131" t="s">
        <v>169</v>
      </c>
      <c r="AO131" t="s">
        <v>169</v>
      </c>
      <c r="AP131" t="s">
        <v>169</v>
      </c>
      <c r="AQ131" t="s">
        <v>169</v>
      </c>
      <c r="AR131" t="s">
        <v>169</v>
      </c>
      <c r="AS131" t="s">
        <v>169</v>
      </c>
      <c r="AT131" t="s">
        <v>169</v>
      </c>
      <c r="AU131" t="s">
        <v>169</v>
      </c>
      <c r="AV131" t="s">
        <v>169</v>
      </c>
      <c r="AW131" t="s">
        <v>169</v>
      </c>
      <c r="AX131" t="s">
        <v>169</v>
      </c>
      <c r="AY131" t="s">
        <v>169</v>
      </c>
      <c r="AZ131" t="s">
        <v>169</v>
      </c>
      <c r="BA131" t="s">
        <v>169</v>
      </c>
      <c r="BB131" t="s">
        <v>169</v>
      </c>
      <c r="BC131" t="s">
        <v>169</v>
      </c>
      <c r="BD131" t="s">
        <v>169</v>
      </c>
      <c r="BE131" t="s">
        <v>169</v>
      </c>
      <c r="BF131" t="s">
        <v>169</v>
      </c>
      <c r="BG131" t="s">
        <v>169</v>
      </c>
      <c r="CB131">
        <v>0.73347340781222548</v>
      </c>
      <c r="CC131">
        <v>14091.343158588421</v>
      </c>
      <c r="CD131">
        <v>0.120138011552454</v>
      </c>
      <c r="CE131">
        <v>0.493515375176036</v>
      </c>
      <c r="CF131">
        <v>1.48327081324704</v>
      </c>
      <c r="CG131">
        <v>0.104860736147531</v>
      </c>
      <c r="CH131">
        <v>0.26474138787200902</v>
      </c>
      <c r="CI131">
        <v>1.35028201884497</v>
      </c>
      <c r="CJ131">
        <v>0.51153548102200497</v>
      </c>
      <c r="CK131">
        <v>0.42614175355962097</v>
      </c>
      <c r="CL131">
        <v>0.58453454641834102</v>
      </c>
      <c r="CM131">
        <v>0.114077762229817</v>
      </c>
      <c r="CN131">
        <v>0.377401428130962</v>
      </c>
      <c r="CO131">
        <v>0.30974712045328301</v>
      </c>
      <c r="CP131">
        <v>0.46228096109554601</v>
      </c>
      <c r="CQ131">
        <v>0.198417995848234</v>
      </c>
      <c r="CR131">
        <v>0.53758503123565704</v>
      </c>
      <c r="CS131">
        <v>2.5827820615271002</v>
      </c>
      <c r="CT131">
        <v>3.5230394713450499</v>
      </c>
      <c r="CU131">
        <v>0.198417995848234</v>
      </c>
      <c r="CV131">
        <v>0.34367958924716602</v>
      </c>
      <c r="CW131">
        <v>0.68301861544345399</v>
      </c>
    </row>
    <row r="132" spans="1:101" x14ac:dyDescent="0.25">
      <c r="A132" s="6">
        <v>131</v>
      </c>
      <c r="B132" s="6">
        <v>1</v>
      </c>
      <c r="C132" t="s">
        <v>148</v>
      </c>
      <c r="D132" t="s">
        <v>183</v>
      </c>
      <c r="E132" t="s">
        <v>158</v>
      </c>
      <c r="F132">
        <v>-1</v>
      </c>
      <c r="G132">
        <v>0</v>
      </c>
      <c r="H132">
        <v>-1</v>
      </c>
      <c r="I132">
        <v>-1</v>
      </c>
      <c r="J132">
        <v>-1</v>
      </c>
      <c r="K132">
        <v>1</v>
      </c>
      <c r="L132">
        <v>-1</v>
      </c>
      <c r="M132">
        <v>-1</v>
      </c>
      <c r="N132">
        <v>-1</v>
      </c>
      <c r="O132">
        <v>170.666666666667</v>
      </c>
      <c r="P132">
        <v>54.2706166254046</v>
      </c>
      <c r="Q132">
        <v>-1</v>
      </c>
      <c r="R132">
        <v>-1</v>
      </c>
      <c r="S132">
        <v>-1</v>
      </c>
      <c r="T132">
        <v>0.38900000000000001</v>
      </c>
      <c r="AN132" t="s">
        <v>159</v>
      </c>
      <c r="CB132">
        <v>0.865754241582811</v>
      </c>
      <c r="CC132">
        <v>46.98501653675865</v>
      </c>
      <c r="CD132">
        <v>0.865754241582811</v>
      </c>
    </row>
    <row r="133" spans="1:101" x14ac:dyDescent="0.25">
      <c r="A133" s="6">
        <v>132</v>
      </c>
      <c r="B133" s="6">
        <v>1</v>
      </c>
      <c r="C133" t="s">
        <v>148</v>
      </c>
      <c r="D133" t="s">
        <v>171</v>
      </c>
      <c r="E133" t="s">
        <v>158</v>
      </c>
      <c r="F133">
        <v>338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338</v>
      </c>
      <c r="P133">
        <v>107.481260269844</v>
      </c>
      <c r="Q133">
        <v>-1</v>
      </c>
      <c r="R133">
        <v>-1</v>
      </c>
      <c r="S133">
        <v>-1</v>
      </c>
      <c r="T133">
        <v>1.111</v>
      </c>
      <c r="U133">
        <v>1.244</v>
      </c>
      <c r="V133">
        <v>1.149</v>
      </c>
      <c r="W133">
        <v>1.181</v>
      </c>
      <c r="X133">
        <v>1.004</v>
      </c>
      <c r="Y133">
        <v>1.0609999999999999</v>
      </c>
      <c r="Z133">
        <v>1.175</v>
      </c>
      <c r="AA133">
        <v>0.79700000000000004</v>
      </c>
      <c r="AB133">
        <v>0.88400000000000001</v>
      </c>
      <c r="AC133">
        <v>0.94499999999999995</v>
      </c>
      <c r="AD133">
        <v>0.91700000000000004</v>
      </c>
      <c r="AE133">
        <v>1.508</v>
      </c>
      <c r="AF133">
        <v>1.034</v>
      </c>
      <c r="AG133">
        <v>1.7989999999999999</v>
      </c>
      <c r="AH133">
        <v>0.68799999999999994</v>
      </c>
      <c r="AI133">
        <v>0.97099999999999997</v>
      </c>
      <c r="AJ133">
        <v>1.359</v>
      </c>
      <c r="AK133">
        <v>1.3979999999999999</v>
      </c>
      <c r="AL133">
        <v>0.95299999999999996</v>
      </c>
      <c r="AM133">
        <v>1.3009999999999999</v>
      </c>
      <c r="AN133" t="s">
        <v>159</v>
      </c>
      <c r="AO133" t="s">
        <v>159</v>
      </c>
      <c r="AP133" t="s">
        <v>159</v>
      </c>
      <c r="AQ133" t="s">
        <v>159</v>
      </c>
      <c r="AR133" t="s">
        <v>159</v>
      </c>
      <c r="AS133" t="s">
        <v>159</v>
      </c>
      <c r="AT133" t="s">
        <v>159</v>
      </c>
      <c r="AU133" t="s">
        <v>159</v>
      </c>
      <c r="AV133" t="s">
        <v>159</v>
      </c>
      <c r="AW133" t="s">
        <v>159</v>
      </c>
      <c r="AX133" t="s">
        <v>159</v>
      </c>
      <c r="AY133" t="s">
        <v>159</v>
      </c>
      <c r="AZ133" t="s">
        <v>159</v>
      </c>
      <c r="BA133" t="s">
        <v>159</v>
      </c>
      <c r="BB133" t="s">
        <v>159</v>
      </c>
      <c r="BC133" t="s">
        <v>159</v>
      </c>
      <c r="BD133" t="s">
        <v>159</v>
      </c>
      <c r="BE133" t="s">
        <v>159</v>
      </c>
      <c r="BF133" t="s">
        <v>159</v>
      </c>
      <c r="BG133" t="s">
        <v>159</v>
      </c>
      <c r="CB133">
        <v>2.6757106879715407</v>
      </c>
      <c r="CC133">
        <v>287.5887568606725</v>
      </c>
      <c r="CD133">
        <v>2.2292747798709698</v>
      </c>
      <c r="CE133">
        <v>3.1224855742301698</v>
      </c>
      <c r="CF133">
        <v>2.4642762568693</v>
      </c>
      <c r="CG133">
        <v>2.6744864507825099</v>
      </c>
      <c r="CH133">
        <v>1.6485501808623599</v>
      </c>
      <c r="CI133">
        <v>1.9434239530961801</v>
      </c>
      <c r="CJ133">
        <v>2.6341988126441902</v>
      </c>
      <c r="CK133">
        <v>0.82847900072699598</v>
      </c>
      <c r="CL133">
        <v>1.12814119181714</v>
      </c>
      <c r="CM133">
        <v>1.3763297470658</v>
      </c>
      <c r="CN133">
        <v>1.2583351477564499</v>
      </c>
      <c r="CO133">
        <v>5.5407901855872002</v>
      </c>
      <c r="CP133">
        <v>1.7997281626313699</v>
      </c>
      <c r="CQ133">
        <v>9.3740782385924408</v>
      </c>
      <c r="CR133">
        <v>0.53450189971880402</v>
      </c>
      <c r="CS133">
        <v>1.4922755118356299</v>
      </c>
      <c r="CT133">
        <v>4.0637753179227003</v>
      </c>
      <c r="CU133">
        <v>4.4212704130515297</v>
      </c>
      <c r="CV133">
        <v>1.4113429268734901</v>
      </c>
      <c r="CW133">
        <v>3.5684700074955802</v>
      </c>
    </row>
    <row r="134" spans="1:101" x14ac:dyDescent="0.25">
      <c r="A134" s="6">
        <v>133</v>
      </c>
      <c r="B134" s="6">
        <v>1</v>
      </c>
      <c r="C134" t="s">
        <v>148</v>
      </c>
      <c r="D134" t="s">
        <v>172</v>
      </c>
      <c r="E134" t="s">
        <v>158</v>
      </c>
      <c r="F134">
        <v>-1</v>
      </c>
      <c r="G134">
        <v>88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45056</v>
      </c>
      <c r="P134">
        <v>14327.442789106801</v>
      </c>
      <c r="Q134">
        <v>-1</v>
      </c>
      <c r="R134">
        <v>-1</v>
      </c>
      <c r="S134">
        <v>-1</v>
      </c>
      <c r="T134">
        <v>0.28499999999999998</v>
      </c>
      <c r="U134">
        <v>0.376</v>
      </c>
      <c r="V134">
        <v>0.47499999999999998</v>
      </c>
      <c r="W134">
        <v>0.23499999999999999</v>
      </c>
      <c r="X134">
        <v>0.32</v>
      </c>
      <c r="Y134">
        <v>0.45400000000000001</v>
      </c>
      <c r="Z134">
        <v>0.59099999999999997</v>
      </c>
      <c r="AA134">
        <v>0.52700000000000002</v>
      </c>
      <c r="AB134">
        <v>0.27900000000000003</v>
      </c>
      <c r="AC134">
        <v>0.4</v>
      </c>
      <c r="AD134">
        <v>0.47599999999999998</v>
      </c>
      <c r="AE134">
        <v>0.47299999999999998</v>
      </c>
      <c r="AF134">
        <v>0.245</v>
      </c>
      <c r="AG134">
        <v>0.47199999999999998</v>
      </c>
      <c r="AH134">
        <v>0.46</v>
      </c>
      <c r="AI134">
        <v>0.46300000000000002</v>
      </c>
      <c r="AJ134">
        <v>0.42699999999999999</v>
      </c>
      <c r="AK134">
        <v>0.40799999999999997</v>
      </c>
      <c r="AL134">
        <v>0.47499999999999998</v>
      </c>
      <c r="AM134">
        <v>0.23300000000000001</v>
      </c>
      <c r="AN134" t="s">
        <v>159</v>
      </c>
      <c r="AO134" t="s">
        <v>159</v>
      </c>
      <c r="AP134" t="s">
        <v>159</v>
      </c>
      <c r="AQ134" t="s">
        <v>159</v>
      </c>
      <c r="AR134" t="s">
        <v>159</v>
      </c>
      <c r="AS134" t="s">
        <v>159</v>
      </c>
      <c r="AT134" t="s">
        <v>159</v>
      </c>
      <c r="AU134" t="s">
        <v>159</v>
      </c>
      <c r="AV134" t="s">
        <v>159</v>
      </c>
      <c r="AW134" t="s">
        <v>159</v>
      </c>
      <c r="AX134" t="s">
        <v>159</v>
      </c>
      <c r="AY134" t="s">
        <v>159</v>
      </c>
      <c r="AZ134" t="s">
        <v>159</v>
      </c>
      <c r="BA134" t="s">
        <v>159</v>
      </c>
      <c r="BB134" t="s">
        <v>159</v>
      </c>
      <c r="BC134" t="s">
        <v>159</v>
      </c>
      <c r="BD134" t="s">
        <v>159</v>
      </c>
      <c r="BE134" t="s">
        <v>159</v>
      </c>
      <c r="BF134" t="s">
        <v>159</v>
      </c>
      <c r="BG134" t="s">
        <v>159</v>
      </c>
      <c r="CB134">
        <v>1.6989732785975815</v>
      </c>
      <c r="CC134">
        <v>24341.94244932806</v>
      </c>
      <c r="CD134">
        <v>0.628874710985174</v>
      </c>
      <c r="CE134">
        <v>1.26774493060577</v>
      </c>
      <c r="CF134">
        <v>2.29003155828766</v>
      </c>
      <c r="CG134">
        <v>0.386018684580413</v>
      </c>
      <c r="CH134">
        <v>0.84301650990673405</v>
      </c>
      <c r="CI134">
        <v>2.0424806115949701</v>
      </c>
      <c r="CJ134">
        <v>3.98036557547537</v>
      </c>
      <c r="CK134">
        <v>2.9784306431534202</v>
      </c>
      <c r="CL134">
        <v>0.595916306080575</v>
      </c>
      <c r="CM134">
        <v>1.4825809414743101</v>
      </c>
      <c r="CN134">
        <v>2.3022486411234602</v>
      </c>
      <c r="CO134">
        <v>2.2657152144497799</v>
      </c>
      <c r="CP134">
        <v>0.428940277450781</v>
      </c>
      <c r="CQ134">
        <v>2.2536158656852101</v>
      </c>
      <c r="CR134">
        <v>2.1114653023765402</v>
      </c>
      <c r="CS134">
        <v>2.1464784971809499</v>
      </c>
      <c r="CT134">
        <v>1.7489973793128699</v>
      </c>
      <c r="CU134">
        <v>1.5587513676566001</v>
      </c>
      <c r="CV134">
        <v>2.29003155828766</v>
      </c>
      <c r="CW134">
        <v>0.377760996283382</v>
      </c>
    </row>
    <row r="135" spans="1:101" x14ac:dyDescent="0.25">
      <c r="A135" s="6">
        <v>134</v>
      </c>
      <c r="B135" s="6">
        <v>1</v>
      </c>
      <c r="C135" t="s">
        <v>148</v>
      </c>
      <c r="D135" t="s">
        <v>153</v>
      </c>
      <c r="E135" t="s">
        <v>154</v>
      </c>
      <c r="F135">
        <v>-1</v>
      </c>
      <c r="G135">
        <v>2</v>
      </c>
      <c r="H135">
        <v>0</v>
      </c>
      <c r="I135">
        <v>-1</v>
      </c>
      <c r="J135">
        <v>-1</v>
      </c>
      <c r="K135">
        <v>0</v>
      </c>
      <c r="L135">
        <v>0</v>
      </c>
      <c r="M135">
        <v>-1</v>
      </c>
      <c r="N135">
        <v>-1</v>
      </c>
      <c r="O135">
        <v>341.33333333333297</v>
      </c>
      <c r="P135">
        <v>108.541233250809</v>
      </c>
      <c r="Q135">
        <v>-1</v>
      </c>
      <c r="R135">
        <v>-1</v>
      </c>
      <c r="S135">
        <v>-1</v>
      </c>
      <c r="T135">
        <v>1.3220000000000001</v>
      </c>
      <c r="U135">
        <v>1.0660000000000001</v>
      </c>
      <c r="AN135" t="s">
        <v>155</v>
      </c>
      <c r="AO135" t="s">
        <v>155</v>
      </c>
      <c r="CB135">
        <v>7.9455561940196704</v>
      </c>
      <c r="CC135">
        <v>862.42046816249922</v>
      </c>
      <c r="CD135">
        <v>10.104566701300101</v>
      </c>
      <c r="CE135">
        <v>5.78654568673924</v>
      </c>
    </row>
    <row r="136" spans="1:101" x14ac:dyDescent="0.25">
      <c r="A136" s="6">
        <v>135</v>
      </c>
      <c r="B136" s="6">
        <v>1</v>
      </c>
      <c r="C136" t="s">
        <v>148</v>
      </c>
      <c r="D136" t="s">
        <v>157</v>
      </c>
      <c r="E136" t="s">
        <v>158</v>
      </c>
      <c r="F136">
        <v>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1</v>
      </c>
      <c r="P136">
        <v>0.31799189428947999</v>
      </c>
      <c r="Q136">
        <v>-1</v>
      </c>
      <c r="R136">
        <v>-1</v>
      </c>
      <c r="S136">
        <v>-1</v>
      </c>
      <c r="T136">
        <v>1.581</v>
      </c>
      <c r="AN136" t="s">
        <v>159</v>
      </c>
      <c r="CB136">
        <v>44.138847778588001</v>
      </c>
      <c r="CC136">
        <v>14.035795816868205</v>
      </c>
      <c r="CD136">
        <v>44.138847778588001</v>
      </c>
    </row>
    <row r="137" spans="1:101" x14ac:dyDescent="0.25">
      <c r="A137" s="6">
        <v>136</v>
      </c>
      <c r="B137" s="6">
        <v>1</v>
      </c>
      <c r="C137" t="s">
        <v>150</v>
      </c>
      <c r="D137" t="s">
        <v>174</v>
      </c>
      <c r="E137" t="s">
        <v>158</v>
      </c>
      <c r="F137">
        <v>-1</v>
      </c>
      <c r="G137">
        <v>1</v>
      </c>
      <c r="H137">
        <v>-1</v>
      </c>
      <c r="I137">
        <v>-1</v>
      </c>
      <c r="J137">
        <v>-1</v>
      </c>
      <c r="K137">
        <v>0</v>
      </c>
      <c r="L137">
        <v>-1</v>
      </c>
      <c r="M137">
        <v>-1</v>
      </c>
      <c r="N137">
        <v>-1</v>
      </c>
      <c r="O137">
        <v>85.3333333333333</v>
      </c>
      <c r="P137">
        <v>30.391545310226601</v>
      </c>
      <c r="Q137">
        <v>-1</v>
      </c>
      <c r="R137">
        <v>-1</v>
      </c>
      <c r="S137">
        <v>-1</v>
      </c>
      <c r="T137">
        <v>0.76600000000000001</v>
      </c>
      <c r="AN137" t="s">
        <v>159</v>
      </c>
      <c r="CB137">
        <v>1.6138421231075599</v>
      </c>
      <c r="CC137">
        <v>49.047156007975701</v>
      </c>
      <c r="CD137">
        <v>1.6138421231075599</v>
      </c>
    </row>
    <row r="138" spans="1:101" x14ac:dyDescent="0.25">
      <c r="A138" s="6">
        <v>137</v>
      </c>
      <c r="B138" s="6">
        <v>1</v>
      </c>
      <c r="C138" t="s">
        <v>150</v>
      </c>
      <c r="D138" t="s">
        <v>165</v>
      </c>
      <c r="E138" t="s">
        <v>158</v>
      </c>
      <c r="F138">
        <v>-1</v>
      </c>
      <c r="G138">
        <v>8</v>
      </c>
      <c r="H138">
        <v>-1</v>
      </c>
      <c r="I138">
        <v>-1</v>
      </c>
      <c r="J138">
        <v>-1</v>
      </c>
      <c r="K138">
        <v>16</v>
      </c>
      <c r="L138">
        <v>-1</v>
      </c>
      <c r="M138">
        <v>-1</v>
      </c>
      <c r="N138">
        <v>-1</v>
      </c>
      <c r="O138">
        <v>2048</v>
      </c>
      <c r="P138">
        <v>729.39708744543805</v>
      </c>
      <c r="Q138">
        <v>-1</v>
      </c>
      <c r="R138">
        <v>-1</v>
      </c>
      <c r="S138">
        <v>-1</v>
      </c>
      <c r="T138">
        <v>1.571</v>
      </c>
      <c r="U138">
        <v>1.151</v>
      </c>
      <c r="V138">
        <v>1.5660000000000001</v>
      </c>
      <c r="W138">
        <v>1.2629999999999999</v>
      </c>
      <c r="X138">
        <v>1.5640000000000001</v>
      </c>
      <c r="Y138">
        <v>1.528</v>
      </c>
      <c r="Z138">
        <v>2.944</v>
      </c>
      <c r="AA138">
        <v>1.29</v>
      </c>
      <c r="AB138">
        <v>1.1970000000000001</v>
      </c>
      <c r="AC138">
        <v>1.6819999999999999</v>
      </c>
      <c r="AD138">
        <v>1.353</v>
      </c>
      <c r="AE138">
        <v>1.1519999999999999</v>
      </c>
      <c r="AF138">
        <v>1.19</v>
      </c>
      <c r="AG138">
        <v>0.89600000000000002</v>
      </c>
      <c r="AH138">
        <v>1.804</v>
      </c>
      <c r="AI138">
        <v>3.5430000000000001</v>
      </c>
      <c r="AJ138">
        <v>2.9740000000000002</v>
      </c>
      <c r="AK138">
        <v>1.349</v>
      </c>
      <c r="AL138">
        <v>1.7070000000000001</v>
      </c>
      <c r="AM138">
        <v>2.476</v>
      </c>
      <c r="AN138" t="s">
        <v>159</v>
      </c>
      <c r="AO138" t="s">
        <v>159</v>
      </c>
      <c r="AP138" t="s">
        <v>159</v>
      </c>
      <c r="AQ138" t="s">
        <v>159</v>
      </c>
      <c r="AR138" t="s">
        <v>159</v>
      </c>
      <c r="AS138" t="s">
        <v>159</v>
      </c>
      <c r="AT138" t="s">
        <v>159</v>
      </c>
      <c r="AU138" t="s">
        <v>159</v>
      </c>
      <c r="AV138" t="s">
        <v>159</v>
      </c>
      <c r="AW138" t="s">
        <v>159</v>
      </c>
      <c r="AX138" t="s">
        <v>159</v>
      </c>
      <c r="AY138" t="s">
        <v>159</v>
      </c>
      <c r="AZ138" t="s">
        <v>159</v>
      </c>
      <c r="BA138" t="s">
        <v>159</v>
      </c>
      <c r="BB138" t="s">
        <v>159</v>
      </c>
      <c r="BC138" t="s">
        <v>159</v>
      </c>
      <c r="BD138" t="s">
        <v>159</v>
      </c>
      <c r="BE138" t="s">
        <v>159</v>
      </c>
      <c r="BF138" t="s">
        <v>159</v>
      </c>
      <c r="BG138" t="s">
        <v>159</v>
      </c>
      <c r="CB138">
        <v>2.5936556339498424</v>
      </c>
      <c r="CC138">
        <v>1891.8048652394664</v>
      </c>
      <c r="CD138">
        <v>1.46825115087311</v>
      </c>
      <c r="CE138">
        <v>0.63985423678313902</v>
      </c>
      <c r="CF138">
        <v>1.45580742140514</v>
      </c>
      <c r="CG138">
        <v>0.81989243987921601</v>
      </c>
      <c r="CH138">
        <v>1.45084846629543</v>
      </c>
      <c r="CI138">
        <v>1.3633874490620299</v>
      </c>
      <c r="CJ138">
        <v>7.8536922090127703</v>
      </c>
      <c r="CK138">
        <v>0.86752992078060498</v>
      </c>
      <c r="CL138">
        <v>0.71043004079543504</v>
      </c>
      <c r="CM138">
        <v>1.7618354048665601</v>
      </c>
      <c r="CN138">
        <v>0.98531490571873803</v>
      </c>
      <c r="CO138">
        <v>0.64133959771255999</v>
      </c>
      <c r="CP138">
        <v>0.69939145644226797</v>
      </c>
      <c r="CQ138">
        <v>0.32784783620804703</v>
      </c>
      <c r="CR138">
        <v>2.1240340743314698</v>
      </c>
      <c r="CS138">
        <v>12.8774808466762</v>
      </c>
      <c r="CT138">
        <v>8.0691968488432906</v>
      </c>
      <c r="CU138">
        <v>0.97755644083231397</v>
      </c>
      <c r="CV138">
        <v>1.8326242847312899</v>
      </c>
      <c r="CW138">
        <v>4.94679764774724</v>
      </c>
    </row>
    <row r="139" spans="1:101" x14ac:dyDescent="0.25">
      <c r="A139" s="6">
        <v>138</v>
      </c>
      <c r="B139" s="6">
        <v>1</v>
      </c>
      <c r="C139" t="s">
        <v>150</v>
      </c>
      <c r="D139" t="s">
        <v>161</v>
      </c>
      <c r="E139" t="s">
        <v>154</v>
      </c>
      <c r="F139">
        <v>-1</v>
      </c>
      <c r="G139">
        <v>7</v>
      </c>
      <c r="H139">
        <v>16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5888</v>
      </c>
      <c r="P139">
        <v>2097.0166264056402</v>
      </c>
      <c r="Q139">
        <v>-1</v>
      </c>
      <c r="R139">
        <v>-1</v>
      </c>
      <c r="S139">
        <v>-1</v>
      </c>
      <c r="T139">
        <v>1.0329999999999999</v>
      </c>
      <c r="U139">
        <v>0.93100000000000005</v>
      </c>
      <c r="V139">
        <v>0.85299999999999998</v>
      </c>
      <c r="W139">
        <v>0.86</v>
      </c>
      <c r="X139">
        <v>0.879</v>
      </c>
      <c r="Y139">
        <v>0.81299999999999994</v>
      </c>
      <c r="Z139">
        <v>0.89</v>
      </c>
      <c r="AA139">
        <v>0.81899999999999995</v>
      </c>
      <c r="AB139">
        <v>0.80300000000000005</v>
      </c>
      <c r="AC139">
        <v>0.80700000000000005</v>
      </c>
      <c r="AD139">
        <v>0.81699999999999995</v>
      </c>
      <c r="AE139">
        <v>0.82599999999999996</v>
      </c>
      <c r="AF139">
        <v>0.90400000000000003</v>
      </c>
      <c r="AG139">
        <v>0.85599999999999998</v>
      </c>
      <c r="AH139">
        <v>0.85299999999999998</v>
      </c>
      <c r="AI139">
        <v>0.998</v>
      </c>
      <c r="AJ139">
        <v>0.78400000000000003</v>
      </c>
      <c r="AK139">
        <v>0.89100000000000001</v>
      </c>
      <c r="AL139">
        <v>0.81899999999999995</v>
      </c>
      <c r="AM139">
        <v>0.86699999999999999</v>
      </c>
      <c r="AN139" t="s">
        <v>155</v>
      </c>
      <c r="AO139" t="s">
        <v>155</v>
      </c>
      <c r="AP139" t="s">
        <v>156</v>
      </c>
      <c r="AQ139" t="s">
        <v>156</v>
      </c>
      <c r="AR139" t="s">
        <v>155</v>
      </c>
      <c r="AS139" t="s">
        <v>156</v>
      </c>
      <c r="AT139" t="s">
        <v>156</v>
      </c>
      <c r="AU139" t="s">
        <v>156</v>
      </c>
      <c r="AV139" t="s">
        <v>156</v>
      </c>
      <c r="AW139" t="s">
        <v>156</v>
      </c>
      <c r="AX139" t="s">
        <v>156</v>
      </c>
      <c r="AY139" t="s">
        <v>156</v>
      </c>
      <c r="AZ139" t="s">
        <v>155</v>
      </c>
      <c r="BA139" t="s">
        <v>156</v>
      </c>
      <c r="BB139" t="s">
        <v>156</v>
      </c>
      <c r="BC139" t="s">
        <v>155</v>
      </c>
      <c r="BD139" t="s">
        <v>156</v>
      </c>
      <c r="BE139" t="s">
        <v>156</v>
      </c>
      <c r="BF139" t="s">
        <v>156</v>
      </c>
      <c r="BG139" t="s">
        <v>156</v>
      </c>
      <c r="CB139">
        <v>3.4065955971286583</v>
      </c>
      <c r="CC139">
        <v>7143.6876066190462</v>
      </c>
      <c r="CD139">
        <v>5.3339391751249003</v>
      </c>
      <c r="CE139">
        <v>4.0748150354289097</v>
      </c>
      <c r="CF139">
        <v>3.2485250268693702</v>
      </c>
      <c r="CG139">
        <v>3.31802164610263</v>
      </c>
      <c r="CH139">
        <v>3.5112310849632</v>
      </c>
      <c r="CI139">
        <v>2.86855208126086</v>
      </c>
      <c r="CJ139">
        <v>3.6261715267814898</v>
      </c>
      <c r="CK139">
        <v>2.9237048743120502</v>
      </c>
      <c r="CL139">
        <v>2.7780591504341801</v>
      </c>
      <c r="CM139">
        <v>2.81404268747472</v>
      </c>
      <c r="CN139">
        <v>2.9052489483079</v>
      </c>
      <c r="CO139">
        <v>2.9888667161500502</v>
      </c>
      <c r="CP139">
        <v>3.77576069440296</v>
      </c>
      <c r="CQ139">
        <v>3.2781987227160201</v>
      </c>
      <c r="CR139">
        <v>3.2485250268693702</v>
      </c>
      <c r="CS139">
        <v>4.8783878812455104</v>
      </c>
      <c r="CT139">
        <v>2.6109997400144702</v>
      </c>
      <c r="CU139">
        <v>3.6367335216111498</v>
      </c>
      <c r="CV139">
        <v>2.9237048743120502</v>
      </c>
      <c r="CW139">
        <v>3.3884235281913799</v>
      </c>
    </row>
    <row r="140" spans="1:101" x14ac:dyDescent="0.25">
      <c r="A140" s="6">
        <v>139</v>
      </c>
      <c r="B140" s="6">
        <v>1</v>
      </c>
      <c r="C140" t="s">
        <v>150</v>
      </c>
      <c r="D140" t="s">
        <v>153</v>
      </c>
      <c r="E140" t="s">
        <v>154</v>
      </c>
      <c r="F140">
        <v>-1</v>
      </c>
      <c r="G140">
        <v>1</v>
      </c>
      <c r="H140">
        <v>2</v>
      </c>
      <c r="I140">
        <v>-1</v>
      </c>
      <c r="J140">
        <v>-1</v>
      </c>
      <c r="K140">
        <v>3</v>
      </c>
      <c r="L140">
        <v>0</v>
      </c>
      <c r="M140">
        <v>-1</v>
      </c>
      <c r="N140">
        <v>-1</v>
      </c>
      <c r="O140">
        <v>512</v>
      </c>
      <c r="P140">
        <v>182.34927186135999</v>
      </c>
      <c r="Q140">
        <v>-1</v>
      </c>
      <c r="R140">
        <v>-1</v>
      </c>
      <c r="S140">
        <v>-1</v>
      </c>
      <c r="T140">
        <v>1.1359999999999999</v>
      </c>
      <c r="U140">
        <v>1.1519999999999999</v>
      </c>
      <c r="V140">
        <v>0.92300000000000004</v>
      </c>
      <c r="W140">
        <v>1.2889999999999999</v>
      </c>
      <c r="X140">
        <v>1.105</v>
      </c>
      <c r="Y140">
        <v>1.0669999999999999</v>
      </c>
      <c r="AN140" t="s">
        <v>156</v>
      </c>
      <c r="AO140" t="s">
        <v>156</v>
      </c>
      <c r="AP140" t="s">
        <v>155</v>
      </c>
      <c r="AQ140" t="s">
        <v>155</v>
      </c>
      <c r="AR140" t="s">
        <v>155</v>
      </c>
      <c r="AS140" t="s">
        <v>155</v>
      </c>
      <c r="CB140">
        <v>6.5829339001693192</v>
      </c>
      <c r="CC140">
        <v>1200.393203407338</v>
      </c>
      <c r="CD140">
        <v>6.8227287347915198</v>
      </c>
      <c r="CE140">
        <v>7.0744087157333304</v>
      </c>
      <c r="CF140">
        <v>3.9847458948394499</v>
      </c>
      <c r="CG140">
        <v>9.4641863325932807</v>
      </c>
      <c r="CH140">
        <v>6.35091830602929</v>
      </c>
      <c r="CI140">
        <v>5.8006154170290403</v>
      </c>
    </row>
    <row r="141" spans="1:101" x14ac:dyDescent="0.25">
      <c r="A141" s="6">
        <v>140</v>
      </c>
      <c r="B141" s="6">
        <v>1</v>
      </c>
      <c r="C141" t="s">
        <v>150</v>
      </c>
      <c r="D141" t="s">
        <v>163</v>
      </c>
      <c r="E141" t="s">
        <v>158</v>
      </c>
      <c r="F141">
        <v>-1</v>
      </c>
      <c r="G141">
        <v>1</v>
      </c>
      <c r="H141">
        <v>-1</v>
      </c>
      <c r="I141">
        <v>-1</v>
      </c>
      <c r="J141">
        <v>-1</v>
      </c>
      <c r="K141">
        <v>1</v>
      </c>
      <c r="L141">
        <v>-1</v>
      </c>
      <c r="M141">
        <v>-1</v>
      </c>
      <c r="N141">
        <v>-1</v>
      </c>
      <c r="O141">
        <v>170.666666666667</v>
      </c>
      <c r="P141">
        <v>60.783090620453201</v>
      </c>
      <c r="Q141">
        <v>-1</v>
      </c>
      <c r="R141">
        <v>-1</v>
      </c>
      <c r="S141">
        <v>-1</v>
      </c>
      <c r="T141">
        <v>0.5</v>
      </c>
      <c r="U141">
        <v>0.69</v>
      </c>
      <c r="AN141" t="s">
        <v>159</v>
      </c>
      <c r="AO141" t="s">
        <v>159</v>
      </c>
      <c r="CB141">
        <v>1.6522097591244644</v>
      </c>
      <c r="CC141">
        <v>100.42641551285948</v>
      </c>
      <c r="CD141">
        <v>0.87097717673993902</v>
      </c>
      <c r="CE141">
        <v>2.4334423415089899</v>
      </c>
    </row>
    <row r="142" spans="1:101" x14ac:dyDescent="0.25">
      <c r="A142" s="6">
        <v>141</v>
      </c>
      <c r="B142" s="6">
        <v>1</v>
      </c>
      <c r="C142" t="s">
        <v>150</v>
      </c>
      <c r="D142" t="s">
        <v>160</v>
      </c>
      <c r="E142" t="s">
        <v>154</v>
      </c>
      <c r="F142">
        <v>-1</v>
      </c>
      <c r="G142">
        <v>0</v>
      </c>
      <c r="H142">
        <v>0</v>
      </c>
      <c r="I142">
        <v>-1</v>
      </c>
      <c r="J142">
        <v>-1</v>
      </c>
      <c r="K142">
        <v>0</v>
      </c>
      <c r="L142">
        <v>2</v>
      </c>
      <c r="M142">
        <v>1</v>
      </c>
      <c r="N142">
        <v>2</v>
      </c>
      <c r="O142">
        <v>182.857142857143</v>
      </c>
      <c r="P142">
        <v>65.124739950485605</v>
      </c>
      <c r="Q142">
        <v>-1</v>
      </c>
      <c r="R142">
        <v>-1</v>
      </c>
      <c r="S142">
        <v>-1</v>
      </c>
      <c r="T142">
        <v>1.6240000000000001</v>
      </c>
      <c r="U142">
        <v>1.274</v>
      </c>
      <c r="V142">
        <v>1.506</v>
      </c>
      <c r="W142">
        <v>1.546</v>
      </c>
      <c r="AN142" t="s">
        <v>156</v>
      </c>
      <c r="AO142" t="s">
        <v>156</v>
      </c>
      <c r="AP142" t="s">
        <v>155</v>
      </c>
      <c r="AQ142" t="s">
        <v>156</v>
      </c>
      <c r="CB142">
        <v>13.928754444071066</v>
      </c>
      <c r="CC142">
        <v>907.1065110042988</v>
      </c>
      <c r="CD142">
        <v>17.216546136781702</v>
      </c>
      <c r="CE142">
        <v>9.1815720111663595</v>
      </c>
      <c r="CF142">
        <v>14.161031973412101</v>
      </c>
      <c r="CG142">
        <v>15.1558676549241</v>
      </c>
    </row>
    <row r="143" spans="1:101" x14ac:dyDescent="0.25">
      <c r="A143" s="6">
        <v>142</v>
      </c>
      <c r="B143" s="6">
        <v>1</v>
      </c>
      <c r="C143" t="s">
        <v>150</v>
      </c>
      <c r="D143" t="s">
        <v>175</v>
      </c>
      <c r="E143" t="s">
        <v>168</v>
      </c>
      <c r="F143">
        <v>-1</v>
      </c>
      <c r="G143">
        <v>0</v>
      </c>
      <c r="H143">
        <v>-1</v>
      </c>
      <c r="I143">
        <v>-1</v>
      </c>
      <c r="J143">
        <v>-1</v>
      </c>
      <c r="K143">
        <v>5</v>
      </c>
      <c r="L143">
        <v>-1</v>
      </c>
      <c r="M143">
        <v>-1</v>
      </c>
      <c r="N143">
        <v>-1</v>
      </c>
      <c r="O143">
        <v>426.66666666666703</v>
      </c>
      <c r="P143">
        <v>151.95772655113299</v>
      </c>
      <c r="Q143">
        <v>-1</v>
      </c>
      <c r="R143">
        <v>-1</v>
      </c>
      <c r="S143">
        <v>-1</v>
      </c>
      <c r="T143">
        <v>0.83899999999999997</v>
      </c>
      <c r="U143">
        <v>0.67</v>
      </c>
      <c r="V143">
        <v>1.2330000000000001</v>
      </c>
      <c r="W143">
        <v>0.95299999999999996</v>
      </c>
      <c r="X143">
        <v>0.622</v>
      </c>
      <c r="AN143" t="s">
        <v>169</v>
      </c>
      <c r="AO143" t="s">
        <v>169</v>
      </c>
      <c r="AP143" t="s">
        <v>169</v>
      </c>
      <c r="AQ143" t="s">
        <v>169</v>
      </c>
      <c r="AR143" t="s">
        <v>169</v>
      </c>
      <c r="CB143">
        <v>3.8097154954878123</v>
      </c>
      <c r="CC143">
        <v>578.91570550095116</v>
      </c>
      <c r="CD143">
        <v>3.1122301436175701</v>
      </c>
      <c r="CE143">
        <v>1.7380487961998801</v>
      </c>
      <c r="CF143">
        <v>8.4357285171462699</v>
      </c>
      <c r="CG143">
        <v>4.3289128123972498</v>
      </c>
      <c r="CH143">
        <v>1.4336572080780901</v>
      </c>
    </row>
    <row r="144" spans="1:101" x14ac:dyDescent="0.25">
      <c r="A144" s="6">
        <v>143</v>
      </c>
      <c r="B144" s="6">
        <v>1</v>
      </c>
      <c r="C144" t="s">
        <v>150</v>
      </c>
      <c r="D144" t="s">
        <v>166</v>
      </c>
      <c r="E144" t="s">
        <v>154</v>
      </c>
      <c r="F144">
        <v>-1</v>
      </c>
      <c r="G144">
        <v>4</v>
      </c>
      <c r="H144">
        <v>6</v>
      </c>
      <c r="I144">
        <v>-1</v>
      </c>
      <c r="J144">
        <v>-1</v>
      </c>
      <c r="K144">
        <v>12</v>
      </c>
      <c r="L144">
        <v>8</v>
      </c>
      <c r="M144">
        <v>-1</v>
      </c>
      <c r="N144">
        <v>-1</v>
      </c>
      <c r="O144">
        <v>2560</v>
      </c>
      <c r="P144">
        <v>911.74635930679801</v>
      </c>
      <c r="Q144">
        <v>-1</v>
      </c>
      <c r="R144">
        <v>-1</v>
      </c>
      <c r="S144">
        <v>-1</v>
      </c>
      <c r="T144">
        <v>0.93799999999999994</v>
      </c>
      <c r="U144">
        <v>0.75800000000000001</v>
      </c>
      <c r="V144">
        <v>0.79500000000000004</v>
      </c>
      <c r="W144">
        <v>0.95899999999999996</v>
      </c>
      <c r="X144">
        <v>0.77400000000000002</v>
      </c>
      <c r="Y144">
        <v>0.81299999999999994</v>
      </c>
      <c r="Z144">
        <v>0.70699999999999996</v>
      </c>
      <c r="AA144">
        <v>0.73899999999999999</v>
      </c>
      <c r="AB144">
        <v>0.83399999999999996</v>
      </c>
      <c r="AC144">
        <v>0.97199999999999998</v>
      </c>
      <c r="AD144">
        <v>1.0089999999999999</v>
      </c>
      <c r="AE144">
        <v>1.0009999999999999</v>
      </c>
      <c r="AF144">
        <v>0.94599999999999995</v>
      </c>
      <c r="AG144">
        <v>1.0760000000000001</v>
      </c>
      <c r="AH144">
        <v>0.69599999999999995</v>
      </c>
      <c r="AI144">
        <v>0.92200000000000004</v>
      </c>
      <c r="AJ144">
        <v>0.99399999999999999</v>
      </c>
      <c r="AK144">
        <v>0.70599999999999996</v>
      </c>
      <c r="AL144">
        <v>0.754</v>
      </c>
      <c r="AM144">
        <v>0.70399999999999996</v>
      </c>
      <c r="AN144" t="s">
        <v>155</v>
      </c>
      <c r="AO144" t="s">
        <v>156</v>
      </c>
      <c r="AP144" t="s">
        <v>156</v>
      </c>
      <c r="AQ144" t="s">
        <v>155</v>
      </c>
      <c r="AR144" t="s">
        <v>156</v>
      </c>
      <c r="AS144" t="s">
        <v>156</v>
      </c>
      <c r="AT144" t="s">
        <v>156</v>
      </c>
      <c r="AU144" t="s">
        <v>156</v>
      </c>
      <c r="AV144" t="s">
        <v>155</v>
      </c>
      <c r="AW144" t="s">
        <v>155</v>
      </c>
      <c r="AX144" t="s">
        <v>155</v>
      </c>
      <c r="AY144" t="s">
        <v>155</v>
      </c>
      <c r="AZ144" t="s">
        <v>155</v>
      </c>
      <c r="BA144" t="s">
        <v>155</v>
      </c>
      <c r="BB144" t="s">
        <v>156</v>
      </c>
      <c r="BC144" t="s">
        <v>155</v>
      </c>
      <c r="BD144" t="s">
        <v>155</v>
      </c>
      <c r="BE144" t="s">
        <v>156</v>
      </c>
      <c r="BF144" t="s">
        <v>156</v>
      </c>
      <c r="BG144" t="s">
        <v>156</v>
      </c>
      <c r="CB144">
        <v>3.1648568335641878</v>
      </c>
      <c r="CC144">
        <v>2885.5466957293888</v>
      </c>
      <c r="CD144">
        <v>4.0791916345354098</v>
      </c>
      <c r="CE144">
        <v>1.7507155383794599</v>
      </c>
      <c r="CF144">
        <v>2.1153699989897001</v>
      </c>
      <c r="CG144">
        <v>4.4539845931640203</v>
      </c>
      <c r="CH144">
        <v>1.90208733512896</v>
      </c>
      <c r="CI144">
        <v>2.31200253519168</v>
      </c>
      <c r="CJ144">
        <v>1.32777324343637</v>
      </c>
      <c r="CK144">
        <v>1.5828773344521101</v>
      </c>
      <c r="CL144">
        <v>2.55833882096419</v>
      </c>
      <c r="CM144">
        <v>4.6985506374539199</v>
      </c>
      <c r="CN144">
        <v>5.4497523825296099</v>
      </c>
      <c r="CO144">
        <v>5.2802213348690099</v>
      </c>
      <c r="CP144">
        <v>4.2190692277538302</v>
      </c>
      <c r="CQ144">
        <v>7.0343432609239303</v>
      </c>
      <c r="CR144">
        <v>1.24763491858824</v>
      </c>
      <c r="CS144">
        <v>3.80987385612003</v>
      </c>
      <c r="CT144">
        <v>5.1351458847879599</v>
      </c>
      <c r="CU144">
        <v>1.3203330762874499</v>
      </c>
      <c r="CV144">
        <v>1.7143247022144501</v>
      </c>
      <c r="CW144">
        <v>1.3055463555134299</v>
      </c>
    </row>
    <row r="145" spans="1:101" x14ac:dyDescent="0.25">
      <c r="A145" s="6">
        <v>144</v>
      </c>
      <c r="B145" s="6">
        <v>1</v>
      </c>
      <c r="C145" t="s">
        <v>150</v>
      </c>
      <c r="D145" t="s">
        <v>170</v>
      </c>
      <c r="E145" t="s">
        <v>158</v>
      </c>
      <c r="F145">
        <v>-1</v>
      </c>
      <c r="G145">
        <v>14</v>
      </c>
      <c r="H145">
        <v>-1</v>
      </c>
      <c r="I145">
        <v>-1</v>
      </c>
      <c r="J145">
        <v>-1</v>
      </c>
      <c r="K145">
        <v>47</v>
      </c>
      <c r="L145">
        <v>-1</v>
      </c>
      <c r="M145">
        <v>-1</v>
      </c>
      <c r="N145">
        <v>-1</v>
      </c>
      <c r="O145">
        <v>5205.3333333333303</v>
      </c>
      <c r="P145">
        <v>1853.8842639238201</v>
      </c>
      <c r="Q145">
        <v>-1</v>
      </c>
      <c r="R145">
        <v>-1</v>
      </c>
      <c r="S145">
        <v>-1</v>
      </c>
      <c r="T145">
        <v>0.626</v>
      </c>
      <c r="U145">
        <v>0.92800000000000005</v>
      </c>
      <c r="V145">
        <v>0.63200000000000001</v>
      </c>
      <c r="W145">
        <v>1.0369999999999999</v>
      </c>
      <c r="X145">
        <v>0.80300000000000005</v>
      </c>
      <c r="Y145">
        <v>0.81499999999999995</v>
      </c>
      <c r="Z145">
        <v>0.67500000000000004</v>
      </c>
      <c r="AA145">
        <v>0.874</v>
      </c>
      <c r="AB145">
        <v>0.57699999999999996</v>
      </c>
      <c r="AC145">
        <v>0.97399999999999998</v>
      </c>
      <c r="AD145">
        <v>0.94499999999999995</v>
      </c>
      <c r="AE145">
        <v>0.66200000000000003</v>
      </c>
      <c r="AF145">
        <v>0.70399999999999996</v>
      </c>
      <c r="AG145">
        <v>1.216</v>
      </c>
      <c r="AH145">
        <v>0.51</v>
      </c>
      <c r="AI145">
        <v>0.90200000000000002</v>
      </c>
      <c r="AJ145">
        <v>1.099</v>
      </c>
      <c r="AK145">
        <v>1.702</v>
      </c>
      <c r="AL145">
        <v>1.077</v>
      </c>
      <c r="AM145">
        <v>0.51400000000000001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  <c r="AY145" t="s">
        <v>159</v>
      </c>
      <c r="AZ145" t="s">
        <v>159</v>
      </c>
      <c r="BA145" t="s">
        <v>159</v>
      </c>
      <c r="BB145" t="s">
        <v>159</v>
      </c>
      <c r="BC145" t="s">
        <v>159</v>
      </c>
      <c r="BD145" t="s">
        <v>159</v>
      </c>
      <c r="BE145" t="s">
        <v>159</v>
      </c>
      <c r="BF145" t="s">
        <v>159</v>
      </c>
      <c r="BG145" t="s">
        <v>159</v>
      </c>
      <c r="CB145">
        <v>4.2437957651678788</v>
      </c>
      <c r="CC145">
        <v>7867.5061883512781</v>
      </c>
      <c r="CD145">
        <v>1.3135456205801199</v>
      </c>
      <c r="CE145">
        <v>4.0180034651680803</v>
      </c>
      <c r="CF145">
        <v>1.3496170520583499</v>
      </c>
      <c r="CG145">
        <v>5.5078958898485002</v>
      </c>
      <c r="CH145">
        <v>2.66419619116731</v>
      </c>
      <c r="CI145">
        <v>2.7788279811512999</v>
      </c>
      <c r="CJ145">
        <v>1.62703452779863</v>
      </c>
      <c r="CK145">
        <v>3.38896062658115</v>
      </c>
      <c r="CL145">
        <v>1.04210952125005</v>
      </c>
      <c r="CM145">
        <v>4.6097937210695603</v>
      </c>
      <c r="CN145">
        <v>4.2305846632653399</v>
      </c>
      <c r="CO145">
        <v>1.53961007536686</v>
      </c>
      <c r="CP145">
        <v>1.8334978559986299</v>
      </c>
      <c r="CQ145">
        <v>8.6573586066087902</v>
      </c>
      <c r="CR145">
        <v>0.73396162682141997</v>
      </c>
      <c r="CS145">
        <v>3.7064711248241702</v>
      </c>
      <c r="CT145">
        <v>6.4954239299779699</v>
      </c>
      <c r="CU145">
        <v>22.495683483531501</v>
      </c>
      <c r="CV145">
        <v>6.1329108524088296</v>
      </c>
      <c r="CW145">
        <v>0.75042848788102801</v>
      </c>
    </row>
    <row r="146" spans="1:101" x14ac:dyDescent="0.25">
      <c r="A146" s="6">
        <v>145</v>
      </c>
      <c r="B146" s="6">
        <v>1</v>
      </c>
      <c r="C146" t="s">
        <v>150</v>
      </c>
      <c r="D146" t="s">
        <v>173</v>
      </c>
      <c r="E146" t="s">
        <v>168</v>
      </c>
      <c r="F146">
        <v>-1</v>
      </c>
      <c r="G146">
        <v>42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10752</v>
      </c>
      <c r="P146">
        <v>3829.33470908855</v>
      </c>
      <c r="Q146">
        <v>-1</v>
      </c>
      <c r="R146">
        <v>-1</v>
      </c>
      <c r="S146">
        <v>-1</v>
      </c>
      <c r="T146">
        <v>0.68600000000000005</v>
      </c>
      <c r="U146">
        <v>0.39600000000000002</v>
      </c>
      <c r="V146">
        <v>0.45300000000000001</v>
      </c>
      <c r="W146">
        <v>0.64400000000000002</v>
      </c>
      <c r="X146">
        <v>0.44600000000000001</v>
      </c>
      <c r="Y146">
        <v>0.55600000000000005</v>
      </c>
      <c r="Z146">
        <v>0.54500000000000004</v>
      </c>
      <c r="AA146">
        <v>0.55800000000000005</v>
      </c>
      <c r="AB146">
        <v>0.48499999999999999</v>
      </c>
      <c r="AC146">
        <v>0.66500000000000004</v>
      </c>
      <c r="AD146">
        <v>0.35799999999999998</v>
      </c>
      <c r="AE146">
        <v>0.53600000000000003</v>
      </c>
      <c r="AF146">
        <v>0.47699999999999998</v>
      </c>
      <c r="AG146">
        <v>0.48399999999999999</v>
      </c>
      <c r="AH146">
        <v>0.47499999999999998</v>
      </c>
      <c r="AI146">
        <v>0.52500000000000002</v>
      </c>
      <c r="AJ146">
        <v>0.629</v>
      </c>
      <c r="AK146">
        <v>0.46300000000000002</v>
      </c>
      <c r="AL146">
        <v>0.70699999999999996</v>
      </c>
      <c r="AM146">
        <v>0.83899999999999997</v>
      </c>
      <c r="AN146" t="s">
        <v>169</v>
      </c>
      <c r="AO146" t="s">
        <v>169</v>
      </c>
      <c r="AP146" t="s">
        <v>169</v>
      </c>
      <c r="AQ146" t="s">
        <v>169</v>
      </c>
      <c r="AR146" t="s">
        <v>169</v>
      </c>
      <c r="AS146" t="s">
        <v>169</v>
      </c>
      <c r="AT146" t="s">
        <v>169</v>
      </c>
      <c r="AU146" t="s">
        <v>169</v>
      </c>
      <c r="AV146" t="s">
        <v>169</v>
      </c>
      <c r="AW146" t="s">
        <v>169</v>
      </c>
      <c r="AX146" t="s">
        <v>169</v>
      </c>
      <c r="AY146" t="s">
        <v>169</v>
      </c>
      <c r="AZ146" t="s">
        <v>169</v>
      </c>
      <c r="BA146" t="s">
        <v>169</v>
      </c>
      <c r="BB146" t="s">
        <v>169</v>
      </c>
      <c r="BC146" t="s">
        <v>169</v>
      </c>
      <c r="BD146" t="s">
        <v>169</v>
      </c>
      <c r="BE146" t="s">
        <v>169</v>
      </c>
      <c r="BF146" t="s">
        <v>169</v>
      </c>
      <c r="BG146" t="s">
        <v>169</v>
      </c>
      <c r="CB146">
        <v>0.61623222935721145</v>
      </c>
      <c r="CC146">
        <v>2359.7594647365859</v>
      </c>
      <c r="CD146">
        <v>1.1779736593702099</v>
      </c>
      <c r="CE146">
        <v>0.132977672754543</v>
      </c>
      <c r="CF146">
        <v>0.22679772923014199</v>
      </c>
      <c r="CG146">
        <v>0.916654623638538</v>
      </c>
      <c r="CH146">
        <v>0.213200504996995</v>
      </c>
      <c r="CI146">
        <v>0.51153548102200497</v>
      </c>
      <c r="CJ146">
        <v>0.47252300153019799</v>
      </c>
      <c r="CK146">
        <v>0.51887961577876396</v>
      </c>
      <c r="CL146">
        <v>0.29738806986544702</v>
      </c>
      <c r="CM146">
        <v>1.0411918783659599</v>
      </c>
      <c r="CN146">
        <v>8.9093179028574901E-2</v>
      </c>
      <c r="CO146">
        <v>0.44229604408642698</v>
      </c>
      <c r="CP146">
        <v>0.27838562429336899</v>
      </c>
      <c r="CQ146">
        <v>0.29496122324949597</v>
      </c>
      <c r="CR146">
        <v>0.27378047344082901</v>
      </c>
      <c r="CS146">
        <v>0.40734395381202099</v>
      </c>
      <c r="CT146">
        <v>0.83477974409152</v>
      </c>
      <c r="CU146">
        <v>0.247334884525341</v>
      </c>
      <c r="CV146">
        <v>1.32777324343637</v>
      </c>
      <c r="CW146">
        <v>2.61977398062748</v>
      </c>
    </row>
    <row r="147" spans="1:101" x14ac:dyDescent="0.25">
      <c r="A147" s="6">
        <v>146</v>
      </c>
      <c r="B147" s="6">
        <v>1</v>
      </c>
      <c r="C147" t="s">
        <v>150</v>
      </c>
      <c r="D147" t="s">
        <v>183</v>
      </c>
      <c r="E147" t="s">
        <v>158</v>
      </c>
      <c r="F147">
        <v>-1</v>
      </c>
      <c r="G147">
        <v>0</v>
      </c>
      <c r="H147">
        <v>-1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-1</v>
      </c>
      <c r="O147">
        <v>85.3333333333333</v>
      </c>
      <c r="P147">
        <v>30.391545310226601</v>
      </c>
      <c r="Q147">
        <v>-1</v>
      </c>
      <c r="R147">
        <v>-1</v>
      </c>
      <c r="S147">
        <v>-1</v>
      </c>
      <c r="T147">
        <v>0.41099999999999998</v>
      </c>
      <c r="AN147" t="s">
        <v>159</v>
      </c>
      <c r="CB147">
        <v>1.0295682059997999</v>
      </c>
      <c r="CC147">
        <v>31.290168782611634</v>
      </c>
      <c r="CD147">
        <v>1.0295682059997999</v>
      </c>
    </row>
    <row r="148" spans="1:101" x14ac:dyDescent="0.25">
      <c r="A148" s="6">
        <v>147</v>
      </c>
      <c r="B148" s="6">
        <v>1</v>
      </c>
      <c r="C148" t="s">
        <v>150</v>
      </c>
      <c r="D148" t="s">
        <v>171</v>
      </c>
      <c r="E148" t="s">
        <v>158</v>
      </c>
      <c r="F148">
        <v>11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11</v>
      </c>
      <c r="P148">
        <v>3.9176601376464002</v>
      </c>
      <c r="Q148">
        <v>-1</v>
      </c>
      <c r="R148">
        <v>-1</v>
      </c>
      <c r="S148">
        <v>-1</v>
      </c>
      <c r="T148">
        <v>0.73899999999999999</v>
      </c>
      <c r="U148">
        <v>1.119</v>
      </c>
      <c r="V148">
        <v>1.486</v>
      </c>
      <c r="W148">
        <v>1.44</v>
      </c>
      <c r="X148">
        <v>0.96899999999999997</v>
      </c>
      <c r="Y148">
        <v>1.5980000000000001</v>
      </c>
      <c r="Z148">
        <v>0.86499999999999999</v>
      </c>
      <c r="AA148">
        <v>1.321</v>
      </c>
      <c r="AB148">
        <v>1.4039999999999999</v>
      </c>
      <c r="AC148">
        <v>1.6559999999999999</v>
      </c>
      <c r="AD148">
        <v>1.2050000000000001</v>
      </c>
      <c r="AN148" t="s">
        <v>159</v>
      </c>
      <c r="AO148" t="s">
        <v>159</v>
      </c>
      <c r="AP148" t="s">
        <v>159</v>
      </c>
      <c r="AQ148" t="s">
        <v>159</v>
      </c>
      <c r="AR148" t="s">
        <v>159</v>
      </c>
      <c r="AS148" t="s">
        <v>159</v>
      </c>
      <c r="AT148" t="s">
        <v>159</v>
      </c>
      <c r="AU148" t="s">
        <v>159</v>
      </c>
      <c r="AV148" t="s">
        <v>159</v>
      </c>
      <c r="AW148" t="s">
        <v>159</v>
      </c>
      <c r="AX148" t="s">
        <v>159</v>
      </c>
      <c r="CB148">
        <v>3.6884913138328206</v>
      </c>
      <c r="CC148">
        <v>14.450255388257839</v>
      </c>
      <c r="CD148">
        <v>0.66144864874675202</v>
      </c>
      <c r="CE148">
        <v>2.2774526951099601</v>
      </c>
      <c r="CF148">
        <v>5.3033679444803203</v>
      </c>
      <c r="CG148">
        <v>4.8289858587798298</v>
      </c>
      <c r="CH148">
        <v>1.4831345867430801</v>
      </c>
      <c r="CI148">
        <v>6.5855870781950498</v>
      </c>
      <c r="CJ148">
        <v>1.0574107162439601</v>
      </c>
      <c r="CK148">
        <v>3.7344453097488102</v>
      </c>
      <c r="CL148">
        <v>4.4780577330866702</v>
      </c>
      <c r="CM148">
        <v>7.3237835054498399</v>
      </c>
      <c r="CN148">
        <v>2.8397303755767598</v>
      </c>
    </row>
    <row r="149" spans="1:101" x14ac:dyDescent="0.25">
      <c r="A149" s="6">
        <v>148</v>
      </c>
      <c r="B149" s="6">
        <v>1</v>
      </c>
      <c r="C149" t="s">
        <v>150</v>
      </c>
      <c r="D149" t="s">
        <v>172</v>
      </c>
      <c r="E149" t="s">
        <v>158</v>
      </c>
      <c r="F149">
        <v>-1</v>
      </c>
      <c r="G149">
        <v>22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5632</v>
      </c>
      <c r="P149">
        <v>2005.8419904749601</v>
      </c>
      <c r="Q149">
        <v>-1</v>
      </c>
      <c r="R149">
        <v>-1</v>
      </c>
      <c r="S149">
        <v>-1</v>
      </c>
      <c r="T149">
        <v>0.30299999999999999</v>
      </c>
      <c r="U149">
        <v>0.42899999999999999</v>
      </c>
      <c r="V149">
        <v>0.42</v>
      </c>
      <c r="W149">
        <v>0.25</v>
      </c>
      <c r="X149">
        <v>0.23400000000000001</v>
      </c>
      <c r="Y149">
        <v>0.3</v>
      </c>
      <c r="Z149">
        <v>0.28100000000000003</v>
      </c>
      <c r="AA149">
        <v>0.19700000000000001</v>
      </c>
      <c r="AB149">
        <v>0.28699999999999998</v>
      </c>
      <c r="AC149">
        <v>0.28999999999999998</v>
      </c>
      <c r="AD149">
        <v>0.43</v>
      </c>
      <c r="AE149">
        <v>0.39100000000000001</v>
      </c>
      <c r="AF149">
        <v>0.22</v>
      </c>
      <c r="AG149">
        <v>0.24399999999999999</v>
      </c>
      <c r="AH149">
        <v>0.55000000000000004</v>
      </c>
      <c r="AI149">
        <v>0.36199999999999999</v>
      </c>
      <c r="AJ149">
        <v>0.32900000000000001</v>
      </c>
      <c r="AK149">
        <v>0.27</v>
      </c>
      <c r="AL149">
        <v>0.249</v>
      </c>
      <c r="AM149">
        <v>0.32400000000000001</v>
      </c>
      <c r="AN149" t="s">
        <v>159</v>
      </c>
      <c r="AO149" t="s">
        <v>159</v>
      </c>
      <c r="AP149" t="s">
        <v>159</v>
      </c>
      <c r="AQ149" t="s">
        <v>159</v>
      </c>
      <c r="AR149" t="s">
        <v>159</v>
      </c>
      <c r="AS149" t="s">
        <v>159</v>
      </c>
      <c r="AT149" t="s">
        <v>159</v>
      </c>
      <c r="AU149" t="s">
        <v>159</v>
      </c>
      <c r="AV149" t="s">
        <v>159</v>
      </c>
      <c r="AW149" t="s">
        <v>159</v>
      </c>
      <c r="AX149" t="s">
        <v>159</v>
      </c>
      <c r="AY149" t="s">
        <v>159</v>
      </c>
      <c r="AZ149" t="s">
        <v>159</v>
      </c>
      <c r="BA149" t="s">
        <v>159</v>
      </c>
      <c r="BB149" t="s">
        <v>159</v>
      </c>
      <c r="BC149" t="s">
        <v>159</v>
      </c>
      <c r="BD149" t="s">
        <v>159</v>
      </c>
      <c r="BE149" t="s">
        <v>159</v>
      </c>
      <c r="BF149" t="s">
        <v>159</v>
      </c>
      <c r="BG149" t="s">
        <v>159</v>
      </c>
      <c r="CB149">
        <v>0.9526311346128532</v>
      </c>
      <c r="CC149">
        <v>1910.8275312402652</v>
      </c>
      <c r="CD149">
        <v>0.734271184165047</v>
      </c>
      <c r="CE149">
        <v>1.7697975279662601</v>
      </c>
      <c r="CF149">
        <v>1.6773640841286701</v>
      </c>
      <c r="CG149">
        <v>0.45143461511491501</v>
      </c>
      <c r="CH149">
        <v>0.38187634232599998</v>
      </c>
      <c r="CI149">
        <v>0.716017124831829</v>
      </c>
      <c r="CJ149">
        <v>0.60678330661388602</v>
      </c>
      <c r="CK149">
        <v>0.24706213331197199</v>
      </c>
      <c r="CL149">
        <v>0.64010000952546497</v>
      </c>
      <c r="CM149">
        <v>0.65716370524932799</v>
      </c>
      <c r="CN149">
        <v>1.7802534150118901</v>
      </c>
      <c r="CO149">
        <v>1.39963189644516</v>
      </c>
      <c r="CP149">
        <v>0.32669013277068698</v>
      </c>
      <c r="CQ149">
        <v>0.42452463334503399</v>
      </c>
      <c r="CR149">
        <v>3.3183656515362099</v>
      </c>
      <c r="CS149">
        <v>1.15169987147221</v>
      </c>
      <c r="CT149">
        <v>0.90429942924878204</v>
      </c>
      <c r="CU149">
        <v>0.54847515335258601</v>
      </c>
      <c r="CV149">
        <v>0.44688006659235302</v>
      </c>
      <c r="CW149">
        <v>0.86993240924878301</v>
      </c>
    </row>
    <row r="150" spans="1:101" x14ac:dyDescent="0.25">
      <c r="A150" s="6">
        <v>149</v>
      </c>
      <c r="B150" s="6">
        <v>1</v>
      </c>
      <c r="C150" t="s">
        <v>150</v>
      </c>
      <c r="D150" t="s">
        <v>167</v>
      </c>
      <c r="E150" t="s">
        <v>168</v>
      </c>
      <c r="F150">
        <v>-1</v>
      </c>
      <c r="G150">
        <v>52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13312</v>
      </c>
      <c r="P150">
        <v>4741.0810683953496</v>
      </c>
      <c r="Q150">
        <v>-1</v>
      </c>
      <c r="R150">
        <v>-1</v>
      </c>
      <c r="S150">
        <v>-1</v>
      </c>
      <c r="T150">
        <v>0.437</v>
      </c>
      <c r="U150">
        <v>0.56999999999999995</v>
      </c>
      <c r="V150">
        <v>0.753</v>
      </c>
      <c r="W150">
        <v>0.48899999999999999</v>
      </c>
      <c r="X150">
        <v>0.61699999999999999</v>
      </c>
      <c r="Y150">
        <v>0.441</v>
      </c>
      <c r="Z150">
        <v>0.748</v>
      </c>
      <c r="AA150">
        <v>0.34499999999999997</v>
      </c>
      <c r="AB150">
        <v>0.35</v>
      </c>
      <c r="AC150">
        <v>0.42399999999999999</v>
      </c>
      <c r="AD150">
        <v>0.38600000000000001</v>
      </c>
      <c r="AE150">
        <v>0.46500000000000002</v>
      </c>
      <c r="AF150">
        <v>0.53100000000000003</v>
      </c>
      <c r="AG150">
        <v>0.94</v>
      </c>
      <c r="AH150">
        <v>0.47599999999999998</v>
      </c>
      <c r="AI150">
        <v>0.53900000000000003</v>
      </c>
      <c r="AJ150">
        <v>0.58099999999999996</v>
      </c>
      <c r="AK150">
        <v>0.435</v>
      </c>
      <c r="AL150">
        <v>0.80800000000000005</v>
      </c>
      <c r="AM150">
        <v>0.54600000000000004</v>
      </c>
      <c r="AN150" t="s">
        <v>169</v>
      </c>
      <c r="AO150" t="s">
        <v>169</v>
      </c>
      <c r="AP150" t="s">
        <v>169</v>
      </c>
      <c r="AQ150" t="s">
        <v>169</v>
      </c>
      <c r="AR150" t="s">
        <v>169</v>
      </c>
      <c r="AS150" t="s">
        <v>169</v>
      </c>
      <c r="AT150" t="s">
        <v>169</v>
      </c>
      <c r="AU150" t="s">
        <v>169</v>
      </c>
      <c r="AV150" t="s">
        <v>169</v>
      </c>
      <c r="AW150" t="s">
        <v>169</v>
      </c>
      <c r="AX150" t="s">
        <v>169</v>
      </c>
      <c r="AY150" t="s">
        <v>169</v>
      </c>
      <c r="AZ150" t="s">
        <v>169</v>
      </c>
      <c r="BA150" t="s">
        <v>169</v>
      </c>
      <c r="BB150" t="s">
        <v>169</v>
      </c>
      <c r="BC150" t="s">
        <v>169</v>
      </c>
      <c r="BD150" t="s">
        <v>169</v>
      </c>
      <c r="BE150" t="s">
        <v>169</v>
      </c>
      <c r="BF150" t="s">
        <v>169</v>
      </c>
      <c r="BG150" t="s">
        <v>169</v>
      </c>
      <c r="CB150">
        <v>1.1925955386713953</v>
      </c>
      <c r="CC150">
        <v>5654.1921306477061</v>
      </c>
      <c r="CD150">
        <v>0.57461260408737302</v>
      </c>
      <c r="CE150">
        <v>1.1435208890789099</v>
      </c>
      <c r="CF150">
        <v>2.3519452870049702</v>
      </c>
      <c r="CG150">
        <v>0.76884389704409295</v>
      </c>
      <c r="CH150">
        <v>1.40399900842198</v>
      </c>
      <c r="CI150">
        <v>0.58833430592352998</v>
      </c>
      <c r="CJ150">
        <v>2.31171006928958</v>
      </c>
      <c r="CK150">
        <v>0.31151551567251101</v>
      </c>
      <c r="CL150">
        <v>0.32334374279762701</v>
      </c>
      <c r="CM150">
        <v>0.53138072229671396</v>
      </c>
      <c r="CN150">
        <v>0.41666722987707999</v>
      </c>
      <c r="CO150">
        <v>0.67488748419023703</v>
      </c>
      <c r="CP150">
        <v>0.95175032946965499</v>
      </c>
      <c r="CQ150">
        <v>4.1776241691879799</v>
      </c>
      <c r="CR150">
        <v>0.71701828966870895</v>
      </c>
      <c r="CS150">
        <v>0.989334440846659</v>
      </c>
      <c r="CT150">
        <v>1.2015570864093501</v>
      </c>
      <c r="CU150">
        <v>0.56782616647308803</v>
      </c>
      <c r="CV150">
        <v>2.8230830249015</v>
      </c>
      <c r="CW150">
        <v>1.0229565107863601</v>
      </c>
    </row>
    <row r="151" spans="1:101" x14ac:dyDescent="0.25">
      <c r="A151" s="6">
        <v>150</v>
      </c>
      <c r="B151" s="6">
        <v>1</v>
      </c>
      <c r="C151" t="s">
        <v>150</v>
      </c>
      <c r="D151" t="s">
        <v>157</v>
      </c>
      <c r="E151" t="s">
        <v>158</v>
      </c>
      <c r="F151">
        <v>38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38</v>
      </c>
      <c r="P151">
        <v>13.5337350209603</v>
      </c>
      <c r="Q151">
        <v>-1</v>
      </c>
      <c r="R151">
        <v>-1</v>
      </c>
      <c r="S151">
        <v>-1</v>
      </c>
      <c r="T151">
        <v>3.2719999999999998</v>
      </c>
      <c r="U151">
        <v>2.4489999999999998</v>
      </c>
      <c r="V151">
        <v>2.4329999999999998</v>
      </c>
      <c r="W151">
        <v>1.9039999999999999</v>
      </c>
      <c r="X151">
        <v>2.9049999999999998</v>
      </c>
      <c r="Y151">
        <v>2.5539999999999998</v>
      </c>
      <c r="Z151">
        <v>2.0230000000000001</v>
      </c>
      <c r="AA151">
        <v>2.6589999999999998</v>
      </c>
      <c r="AB151">
        <v>1.8380000000000001</v>
      </c>
      <c r="AC151">
        <v>2.3639999999999999</v>
      </c>
      <c r="AD151">
        <v>1.833</v>
      </c>
      <c r="AE151">
        <v>1.768</v>
      </c>
      <c r="AF151">
        <v>2.883</v>
      </c>
      <c r="AG151">
        <v>2.7480000000000002</v>
      </c>
      <c r="AH151">
        <v>2.2189999999999999</v>
      </c>
      <c r="AI151">
        <v>2.6890000000000001</v>
      </c>
      <c r="AJ151">
        <v>2.6259999999999999</v>
      </c>
      <c r="AK151">
        <v>2.41</v>
      </c>
      <c r="AL151">
        <v>2.7290000000000001</v>
      </c>
      <c r="AM151">
        <v>3.2210000000000001</v>
      </c>
      <c r="AN151" t="s">
        <v>159</v>
      </c>
      <c r="AO151" t="s">
        <v>159</v>
      </c>
      <c r="AP151" t="s">
        <v>159</v>
      </c>
      <c r="AQ151" t="s">
        <v>159</v>
      </c>
      <c r="AR151" t="s">
        <v>159</v>
      </c>
      <c r="AS151" t="s">
        <v>159</v>
      </c>
      <c r="AT151" t="s">
        <v>159</v>
      </c>
      <c r="AU151" t="s">
        <v>159</v>
      </c>
      <c r="AV151" t="s">
        <v>159</v>
      </c>
      <c r="AW151" t="s">
        <v>159</v>
      </c>
      <c r="AX151" t="s">
        <v>159</v>
      </c>
      <c r="AY151" t="s">
        <v>159</v>
      </c>
      <c r="AZ151" t="s">
        <v>159</v>
      </c>
      <c r="BA151" t="s">
        <v>159</v>
      </c>
      <c r="BB151" t="s">
        <v>159</v>
      </c>
      <c r="BC151" t="s">
        <v>159</v>
      </c>
      <c r="BD151" t="s">
        <v>159</v>
      </c>
      <c r="BE151" t="s">
        <v>159</v>
      </c>
      <c r="BF151" t="s">
        <v>159</v>
      </c>
      <c r="BG151" t="s">
        <v>159</v>
      </c>
      <c r="CB151">
        <v>116.64744861071844</v>
      </c>
      <c r="CC151">
        <v>1578.6756603685471</v>
      </c>
      <c r="CD151">
        <v>201.84275732173899</v>
      </c>
      <c r="CE151">
        <v>110.164062945035</v>
      </c>
      <c r="CF151">
        <v>108.665176927109</v>
      </c>
      <c r="CG151">
        <v>65.096448748453099</v>
      </c>
      <c r="CH151">
        <v>157.40872803291401</v>
      </c>
      <c r="CI151">
        <v>120.26660459528399</v>
      </c>
      <c r="CJ151">
        <v>73.889848954760595</v>
      </c>
      <c r="CK151">
        <v>130.83221943235</v>
      </c>
      <c r="CL151">
        <v>60.469376904359201</v>
      </c>
      <c r="CM151">
        <v>102.32378598944899</v>
      </c>
      <c r="CN151">
        <v>60.126086257306703</v>
      </c>
      <c r="CO151">
        <v>55.755961380210401</v>
      </c>
      <c r="CP151">
        <v>154.927561883202</v>
      </c>
      <c r="CQ151">
        <v>140.15169229369201</v>
      </c>
      <c r="CR151">
        <v>89.644189595746695</v>
      </c>
      <c r="CS151">
        <v>133.936257775022</v>
      </c>
      <c r="CT151">
        <v>127.461596026424</v>
      </c>
      <c r="CU151">
        <v>106.52928269941199</v>
      </c>
      <c r="CV151">
        <v>138.134058940052</v>
      </c>
      <c r="CW151">
        <v>195.32327551184801</v>
      </c>
    </row>
    <row r="152" spans="1:101" x14ac:dyDescent="0.25">
      <c r="A152" s="6">
        <v>151</v>
      </c>
      <c r="B152" s="6">
        <v>1</v>
      </c>
      <c r="C152" t="s">
        <v>151</v>
      </c>
      <c r="D152" t="s">
        <v>167</v>
      </c>
      <c r="E152" t="s">
        <v>168</v>
      </c>
      <c r="F152">
        <v>-1</v>
      </c>
      <c r="G152">
        <v>23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5888</v>
      </c>
      <c r="P152">
        <v>2382.9734390973099</v>
      </c>
      <c r="Q152">
        <v>-1</v>
      </c>
      <c r="R152">
        <v>-1</v>
      </c>
      <c r="S152">
        <v>-1</v>
      </c>
      <c r="T152">
        <v>0.93200000000000005</v>
      </c>
      <c r="U152">
        <v>0.85699999999999998</v>
      </c>
      <c r="V152">
        <v>0.78800000000000003</v>
      </c>
      <c r="W152">
        <v>0.877</v>
      </c>
      <c r="X152">
        <v>0.76800000000000002</v>
      </c>
      <c r="Y152">
        <v>0.48599999999999999</v>
      </c>
      <c r="Z152">
        <v>0.93500000000000005</v>
      </c>
      <c r="AA152">
        <v>0.60899999999999999</v>
      </c>
      <c r="AB152">
        <v>0.47199999999999998</v>
      </c>
      <c r="AC152">
        <v>0.83199999999999996</v>
      </c>
      <c r="AD152">
        <v>0.53500000000000003</v>
      </c>
      <c r="AE152">
        <v>0.755</v>
      </c>
      <c r="AF152">
        <v>1.0329999999999999</v>
      </c>
      <c r="AG152">
        <v>0.88900000000000001</v>
      </c>
      <c r="AH152">
        <v>0.82599999999999996</v>
      </c>
      <c r="AI152">
        <v>0.95099999999999996</v>
      </c>
      <c r="AJ152">
        <v>0.95799999999999996</v>
      </c>
      <c r="AK152">
        <v>0.60699999999999998</v>
      </c>
      <c r="AL152">
        <v>0.498</v>
      </c>
      <c r="AM152">
        <v>0.83699999999999997</v>
      </c>
      <c r="AN152" t="s">
        <v>169</v>
      </c>
      <c r="AO152" t="s">
        <v>169</v>
      </c>
      <c r="AP152" t="s">
        <v>169</v>
      </c>
      <c r="AQ152" t="s">
        <v>169</v>
      </c>
      <c r="AR152" t="s">
        <v>169</v>
      </c>
      <c r="AS152" t="s">
        <v>169</v>
      </c>
      <c r="AT152" t="s">
        <v>169</v>
      </c>
      <c r="AU152" t="s">
        <v>169</v>
      </c>
      <c r="AV152" t="s">
        <v>169</v>
      </c>
      <c r="AW152" t="s">
        <v>169</v>
      </c>
      <c r="AX152" t="s">
        <v>169</v>
      </c>
      <c r="AY152" t="s">
        <v>169</v>
      </c>
      <c r="AZ152" t="s">
        <v>169</v>
      </c>
      <c r="BA152" t="s">
        <v>169</v>
      </c>
      <c r="BB152" t="s">
        <v>169</v>
      </c>
      <c r="BC152" t="s">
        <v>169</v>
      </c>
      <c r="BD152" t="s">
        <v>169</v>
      </c>
      <c r="BE152" t="s">
        <v>169</v>
      </c>
      <c r="BF152" t="s">
        <v>169</v>
      </c>
      <c r="BG152" t="s">
        <v>169</v>
      </c>
      <c r="CB152">
        <v>2.7591166879467552</v>
      </c>
      <c r="CC152">
        <v>6574.9017827472589</v>
      </c>
      <c r="CD152">
        <v>4.0861606690774703</v>
      </c>
      <c r="CE152">
        <v>3.2881267857863699</v>
      </c>
      <c r="CF152">
        <v>2.64564232327883</v>
      </c>
      <c r="CG152">
        <v>3.4905766007422701</v>
      </c>
      <c r="CH152">
        <v>2.4752198894308801</v>
      </c>
      <c r="CI152">
        <v>0.75668680978987102</v>
      </c>
      <c r="CJ152">
        <v>4.1203138526757197</v>
      </c>
      <c r="CK152">
        <v>1.35733489457267</v>
      </c>
      <c r="CL152">
        <v>0.701516681547385</v>
      </c>
      <c r="CM152">
        <v>3.0454231260596401</v>
      </c>
      <c r="CN152">
        <v>0.97043068768626195</v>
      </c>
      <c r="CO152">
        <v>2.3681588530636799</v>
      </c>
      <c r="CP152">
        <v>5.3339391751249003</v>
      </c>
      <c r="CQ152">
        <v>3.6156283842893999</v>
      </c>
      <c r="CR152">
        <v>2.9888667161500502</v>
      </c>
      <c r="CS152">
        <v>4.3054223909393903</v>
      </c>
      <c r="CT152">
        <v>4.3879825795333298</v>
      </c>
      <c r="CU152">
        <v>1.3458198702219399</v>
      </c>
      <c r="CV152">
        <v>0.80603188873574305</v>
      </c>
      <c r="CW152">
        <v>3.0930515802293002</v>
      </c>
    </row>
    <row r="153" spans="1:101" x14ac:dyDescent="0.25">
      <c r="A153" s="6">
        <v>152</v>
      </c>
      <c r="B153" s="6">
        <v>1</v>
      </c>
      <c r="C153" t="s">
        <v>151</v>
      </c>
      <c r="D153" t="s">
        <v>153</v>
      </c>
      <c r="E153" t="s">
        <v>154</v>
      </c>
      <c r="F153">
        <v>-1</v>
      </c>
      <c r="G153">
        <v>0</v>
      </c>
      <c r="H153">
        <v>0</v>
      </c>
      <c r="I153">
        <v>-1</v>
      </c>
      <c r="J153">
        <v>-1</v>
      </c>
      <c r="K153">
        <v>1</v>
      </c>
      <c r="L153">
        <v>1</v>
      </c>
      <c r="M153">
        <v>-1</v>
      </c>
      <c r="N153">
        <v>-1</v>
      </c>
      <c r="O153">
        <v>170.666666666667</v>
      </c>
      <c r="P153">
        <v>69.071693886878606</v>
      </c>
      <c r="Q153">
        <v>-1</v>
      </c>
      <c r="R153">
        <v>-1</v>
      </c>
      <c r="S153">
        <v>-1</v>
      </c>
      <c r="T153">
        <v>1.1100000000000001</v>
      </c>
      <c r="U153">
        <v>1.0169999999999999</v>
      </c>
      <c r="AN153" t="s">
        <v>156</v>
      </c>
      <c r="AO153" t="s">
        <v>155</v>
      </c>
      <c r="CB153">
        <v>5.7741021930152252</v>
      </c>
      <c r="CC153">
        <v>398.82701914750209</v>
      </c>
      <c r="CD153">
        <v>6.4256156017267401</v>
      </c>
      <c r="CE153">
        <v>5.1225887843037103</v>
      </c>
    </row>
    <row r="154" spans="1:101" x14ac:dyDescent="0.25">
      <c r="A154" s="6">
        <v>153</v>
      </c>
      <c r="B154" s="6">
        <v>1</v>
      </c>
      <c r="C154" t="s">
        <v>151</v>
      </c>
      <c r="D154" t="s">
        <v>165</v>
      </c>
      <c r="E154" t="s">
        <v>158</v>
      </c>
      <c r="F154">
        <v>-1</v>
      </c>
      <c r="G154">
        <v>0</v>
      </c>
      <c r="H154">
        <v>-1</v>
      </c>
      <c r="I154">
        <v>-1</v>
      </c>
      <c r="J154">
        <v>-1</v>
      </c>
      <c r="K154">
        <v>1</v>
      </c>
      <c r="L154">
        <v>-1</v>
      </c>
      <c r="M154">
        <v>2</v>
      </c>
      <c r="N154">
        <v>-1</v>
      </c>
      <c r="O154">
        <v>109.71428571428601</v>
      </c>
      <c r="P154">
        <v>44.403231784421997</v>
      </c>
      <c r="Q154">
        <v>-1</v>
      </c>
      <c r="R154">
        <v>-1</v>
      </c>
      <c r="S154">
        <v>-1</v>
      </c>
      <c r="T154">
        <v>1.36</v>
      </c>
      <c r="U154">
        <v>2.39</v>
      </c>
      <c r="V154">
        <v>1.248</v>
      </c>
      <c r="AN154" t="s">
        <v>159</v>
      </c>
      <c r="AO154" t="s">
        <v>159</v>
      </c>
      <c r="AP154" t="s">
        <v>159</v>
      </c>
      <c r="CB154">
        <v>2.0981256535768784</v>
      </c>
      <c r="CC154">
        <v>93.16355970861602</v>
      </c>
      <c r="CD154">
        <v>0.998984664129691</v>
      </c>
      <c r="CE154">
        <v>4.5012416775924704</v>
      </c>
      <c r="CF154">
        <v>0.79415061900847395</v>
      </c>
    </row>
    <row r="155" spans="1:101" x14ac:dyDescent="0.25">
      <c r="A155" s="6">
        <v>154</v>
      </c>
      <c r="B155" s="6">
        <v>1</v>
      </c>
      <c r="C155" t="s">
        <v>151</v>
      </c>
      <c r="D155" t="s">
        <v>161</v>
      </c>
      <c r="E155" t="s">
        <v>154</v>
      </c>
      <c r="F155">
        <v>-1</v>
      </c>
      <c r="G155">
        <v>1</v>
      </c>
      <c r="H155">
        <v>6</v>
      </c>
      <c r="I155">
        <v>-1</v>
      </c>
      <c r="J155">
        <v>-1</v>
      </c>
      <c r="K155">
        <v>4</v>
      </c>
      <c r="L155">
        <v>9</v>
      </c>
      <c r="M155">
        <v>-1</v>
      </c>
      <c r="N155">
        <v>-1</v>
      </c>
      <c r="O155">
        <v>1706.6666666666699</v>
      </c>
      <c r="P155">
        <v>690.71693886878597</v>
      </c>
      <c r="Q155">
        <v>-1</v>
      </c>
      <c r="R155">
        <v>-1</v>
      </c>
      <c r="S155">
        <v>-1</v>
      </c>
      <c r="T155">
        <v>0.89600000000000002</v>
      </c>
      <c r="U155">
        <v>1.008</v>
      </c>
      <c r="V155">
        <v>0.88200000000000001</v>
      </c>
      <c r="W155">
        <v>0.88700000000000001</v>
      </c>
      <c r="X155">
        <v>0.96099999999999997</v>
      </c>
      <c r="Y155">
        <v>1.0640000000000001</v>
      </c>
      <c r="Z155">
        <v>0.95199999999999996</v>
      </c>
      <c r="AA155">
        <v>0.81499999999999995</v>
      </c>
      <c r="AB155">
        <v>0.88300000000000001</v>
      </c>
      <c r="AC155">
        <v>0.95699999999999996</v>
      </c>
      <c r="AD155">
        <v>0.94599999999999995</v>
      </c>
      <c r="AE155">
        <v>0.93300000000000005</v>
      </c>
      <c r="AF155">
        <v>0.93500000000000005</v>
      </c>
      <c r="AG155">
        <v>0.91200000000000003</v>
      </c>
      <c r="AH155">
        <v>1.0609999999999999</v>
      </c>
      <c r="AI155">
        <v>0.94599999999999995</v>
      </c>
      <c r="AJ155">
        <v>1.1200000000000001</v>
      </c>
      <c r="AK155">
        <v>1.006</v>
      </c>
      <c r="AL155">
        <v>1.0189999999999999</v>
      </c>
      <c r="AM155">
        <v>0.94599999999999995</v>
      </c>
      <c r="AN155" t="s">
        <v>156</v>
      </c>
      <c r="AO155" t="s">
        <v>156</v>
      </c>
      <c r="AP155" t="s">
        <v>156</v>
      </c>
      <c r="AQ155" t="s">
        <v>156</v>
      </c>
      <c r="AR155" t="s">
        <v>156</v>
      </c>
      <c r="AS155" t="s">
        <v>155</v>
      </c>
      <c r="AT155" t="s">
        <v>156</v>
      </c>
      <c r="AU155" t="s">
        <v>156</v>
      </c>
      <c r="AV155" t="s">
        <v>156</v>
      </c>
      <c r="AW155" t="s">
        <v>156</v>
      </c>
      <c r="AX155" t="s">
        <v>156</v>
      </c>
      <c r="AY155" t="s">
        <v>156</v>
      </c>
      <c r="AZ155" t="s">
        <v>156</v>
      </c>
      <c r="BA155" t="s">
        <v>156</v>
      </c>
      <c r="BB155" t="s">
        <v>155</v>
      </c>
      <c r="BC155" t="s">
        <v>156</v>
      </c>
      <c r="BD155" t="s">
        <v>155</v>
      </c>
      <c r="BE155" t="s">
        <v>155</v>
      </c>
      <c r="BF155" t="s">
        <v>155</v>
      </c>
      <c r="BG155" t="s">
        <v>156</v>
      </c>
      <c r="CB155">
        <v>4.419593400950224</v>
      </c>
      <c r="CC155">
        <v>3052.6880249490259</v>
      </c>
      <c r="CD155">
        <v>3.6898267179378199</v>
      </c>
      <c r="CE155">
        <v>5.0060018341075603</v>
      </c>
      <c r="CF155">
        <v>3.5423532015269599</v>
      </c>
      <c r="CG155">
        <v>3.59459860631015</v>
      </c>
      <c r="CH155">
        <v>4.4236606145742297</v>
      </c>
      <c r="CI155">
        <v>5.7584691250474904</v>
      </c>
      <c r="CJ155">
        <v>4.3171577934322798</v>
      </c>
      <c r="CK155">
        <v>2.8868647184920002</v>
      </c>
      <c r="CL155">
        <v>3.5527647279936199</v>
      </c>
      <c r="CM155">
        <v>4.3761292959926203</v>
      </c>
      <c r="CN155">
        <v>4.2470391997764096</v>
      </c>
      <c r="CO155">
        <v>4.0975256749951097</v>
      </c>
      <c r="CP155">
        <v>4.1203138526757197</v>
      </c>
      <c r="CQ155">
        <v>3.86291238060014</v>
      </c>
      <c r="CR155">
        <v>5.7165113555332301</v>
      </c>
      <c r="CS155">
        <v>4.2470391997764096</v>
      </c>
      <c r="CT155">
        <v>6.5766223636186298</v>
      </c>
      <c r="CU155">
        <v>4.98031710964508</v>
      </c>
      <c r="CV155">
        <v>5.1487210471926002</v>
      </c>
      <c r="CW155">
        <v>4.2470391997764096</v>
      </c>
    </row>
    <row r="156" spans="1:101" x14ac:dyDescent="0.25">
      <c r="A156" s="6">
        <v>155</v>
      </c>
      <c r="B156" s="6">
        <v>1</v>
      </c>
      <c r="C156" t="s">
        <v>151</v>
      </c>
      <c r="D156" t="s">
        <v>164</v>
      </c>
      <c r="E156" t="s">
        <v>158</v>
      </c>
      <c r="F156">
        <v>-1</v>
      </c>
      <c r="G156">
        <v>2</v>
      </c>
      <c r="H156">
        <v>-1</v>
      </c>
      <c r="I156">
        <v>-1</v>
      </c>
      <c r="J156">
        <v>-1</v>
      </c>
      <c r="K156">
        <v>4</v>
      </c>
      <c r="L156">
        <v>-1</v>
      </c>
      <c r="M156">
        <v>-1</v>
      </c>
      <c r="N156">
        <v>-1</v>
      </c>
      <c r="O156">
        <v>512</v>
      </c>
      <c r="P156">
        <v>207.215081660636</v>
      </c>
      <c r="Q156">
        <v>-1</v>
      </c>
      <c r="R156">
        <v>-1</v>
      </c>
      <c r="S156">
        <v>-1</v>
      </c>
      <c r="T156">
        <v>0.54700000000000004</v>
      </c>
      <c r="U156">
        <v>0.23899999999999999</v>
      </c>
      <c r="V156">
        <v>0.39</v>
      </c>
      <c r="W156">
        <v>0.58899999999999997</v>
      </c>
      <c r="X156">
        <v>0.49399999999999999</v>
      </c>
      <c r="Y156">
        <v>0.38900000000000001</v>
      </c>
      <c r="AN156" t="s">
        <v>159</v>
      </c>
      <c r="AO156" t="s">
        <v>159</v>
      </c>
      <c r="AP156" t="s">
        <v>159</v>
      </c>
      <c r="AQ156" t="s">
        <v>159</v>
      </c>
      <c r="AR156" t="s">
        <v>159</v>
      </c>
      <c r="AS156" t="s">
        <v>159</v>
      </c>
      <c r="CB156">
        <v>2.1538507275073862</v>
      </c>
      <c r="CC156">
        <v>446.31035438526328</v>
      </c>
      <c r="CD156">
        <v>3.2727631048527401</v>
      </c>
      <c r="CE156">
        <v>0.40285923557136699</v>
      </c>
      <c r="CF156">
        <v>1.39059316587882</v>
      </c>
      <c r="CG156">
        <v>3.9463748136674699</v>
      </c>
      <c r="CH156">
        <v>2.5289242195816199</v>
      </c>
      <c r="CI156">
        <v>1.3815898254923</v>
      </c>
    </row>
    <row r="157" spans="1:101" x14ac:dyDescent="0.25">
      <c r="A157" s="6">
        <v>156</v>
      </c>
      <c r="B157" s="6">
        <v>1</v>
      </c>
      <c r="C157" t="s">
        <v>151</v>
      </c>
      <c r="D157" t="s">
        <v>160</v>
      </c>
      <c r="E157" t="s">
        <v>154</v>
      </c>
      <c r="F157">
        <v>-1</v>
      </c>
      <c r="G157">
        <v>0</v>
      </c>
      <c r="H157">
        <v>0</v>
      </c>
      <c r="I157">
        <v>-1</v>
      </c>
      <c r="J157">
        <v>-1</v>
      </c>
      <c r="K157">
        <v>0</v>
      </c>
      <c r="L157">
        <v>0</v>
      </c>
      <c r="M157">
        <v>1</v>
      </c>
      <c r="N157">
        <v>0</v>
      </c>
      <c r="O157">
        <v>36.571428571428598</v>
      </c>
      <c r="P157">
        <v>14.801077261473999</v>
      </c>
      <c r="Q157">
        <v>-1</v>
      </c>
      <c r="R157">
        <v>-1</v>
      </c>
      <c r="S157">
        <v>-1</v>
      </c>
      <c r="T157">
        <v>1.6870000000000001</v>
      </c>
      <c r="AN157" t="s">
        <v>155</v>
      </c>
      <c r="CB157">
        <v>19.000117649578002</v>
      </c>
      <c r="CC157">
        <v>281.22220930849977</v>
      </c>
      <c r="CD157">
        <v>19.000117649578002</v>
      </c>
    </row>
    <row r="158" spans="1:101" x14ac:dyDescent="0.25">
      <c r="A158" s="6">
        <v>157</v>
      </c>
      <c r="B158" s="6">
        <v>1</v>
      </c>
      <c r="C158" t="s">
        <v>151</v>
      </c>
      <c r="D158" t="s">
        <v>166</v>
      </c>
      <c r="E158" t="s">
        <v>154</v>
      </c>
      <c r="F158">
        <v>-1</v>
      </c>
      <c r="G158">
        <v>2</v>
      </c>
      <c r="H158">
        <v>10</v>
      </c>
      <c r="I158">
        <v>-1</v>
      </c>
      <c r="J158">
        <v>-1</v>
      </c>
      <c r="K158">
        <v>4</v>
      </c>
      <c r="L158">
        <v>12</v>
      </c>
      <c r="M158">
        <v>-1</v>
      </c>
      <c r="N158">
        <v>-1</v>
      </c>
      <c r="O158">
        <v>2389.3333333333298</v>
      </c>
      <c r="P158">
        <v>967.00371441630102</v>
      </c>
      <c r="Q158">
        <v>-1</v>
      </c>
      <c r="R158">
        <v>-1</v>
      </c>
      <c r="S158">
        <v>-1</v>
      </c>
      <c r="T158">
        <v>0.94599999999999995</v>
      </c>
      <c r="U158">
        <v>1.137</v>
      </c>
      <c r="V158">
        <v>0.92900000000000005</v>
      </c>
      <c r="W158">
        <v>0.91600000000000004</v>
      </c>
      <c r="X158">
        <v>0.74199999999999999</v>
      </c>
      <c r="Y158">
        <v>0.80900000000000005</v>
      </c>
      <c r="Z158">
        <v>0.92300000000000004</v>
      </c>
      <c r="AA158">
        <v>0.86</v>
      </c>
      <c r="AB158">
        <v>0.80300000000000005</v>
      </c>
      <c r="AC158">
        <v>0.86299999999999999</v>
      </c>
      <c r="AD158">
        <v>0.92100000000000004</v>
      </c>
      <c r="AE158">
        <v>0.71199999999999997</v>
      </c>
      <c r="AF158">
        <v>0.81100000000000005</v>
      </c>
      <c r="AG158">
        <v>1.121</v>
      </c>
      <c r="AH158">
        <v>0.74399999999999999</v>
      </c>
      <c r="AI158">
        <v>0.82</v>
      </c>
      <c r="AJ158">
        <v>0.875</v>
      </c>
      <c r="AK158">
        <v>0.80600000000000005</v>
      </c>
      <c r="AL158">
        <v>1.093</v>
      </c>
      <c r="AM158">
        <v>0.89900000000000002</v>
      </c>
      <c r="AN158" t="s">
        <v>156</v>
      </c>
      <c r="AO158" t="s">
        <v>155</v>
      </c>
      <c r="AP158" t="s">
        <v>156</v>
      </c>
      <c r="AQ158" t="s">
        <v>155</v>
      </c>
      <c r="AR158" t="s">
        <v>156</v>
      </c>
      <c r="AS158" t="s">
        <v>156</v>
      </c>
      <c r="AT158" t="s">
        <v>156</v>
      </c>
      <c r="AU158" t="s">
        <v>156</v>
      </c>
      <c r="AV158" t="s">
        <v>156</v>
      </c>
      <c r="AW158" t="s">
        <v>156</v>
      </c>
      <c r="AX158" t="s">
        <v>156</v>
      </c>
      <c r="AY158" t="s">
        <v>156</v>
      </c>
      <c r="AZ158" t="s">
        <v>156</v>
      </c>
      <c r="BA158" t="s">
        <v>155</v>
      </c>
      <c r="BB158" t="s">
        <v>156</v>
      </c>
      <c r="BC158" t="s">
        <v>156</v>
      </c>
      <c r="BD158" t="s">
        <v>156</v>
      </c>
      <c r="BE158" t="s">
        <v>156</v>
      </c>
      <c r="BF158" t="s">
        <v>155</v>
      </c>
      <c r="BG158" t="s">
        <v>156</v>
      </c>
      <c r="CB158">
        <v>3.6170650670263074</v>
      </c>
      <c r="CC158">
        <v>3497.715355099886</v>
      </c>
      <c r="CD158">
        <v>4.2190692277538302</v>
      </c>
      <c r="CE158">
        <v>8.7558413687216508</v>
      </c>
      <c r="CF158">
        <v>3.9260084003831901</v>
      </c>
      <c r="CG158">
        <v>3.7123923615893499</v>
      </c>
      <c r="CH158">
        <v>1.6085417734779901</v>
      </c>
      <c r="CI158">
        <v>2.2671720075279098</v>
      </c>
      <c r="CJ158">
        <v>3.8263050683210098</v>
      </c>
      <c r="CK158">
        <v>2.8899324488583402</v>
      </c>
      <c r="CL158">
        <v>2.2011495724197698</v>
      </c>
      <c r="CM158">
        <v>2.9301624525319099</v>
      </c>
      <c r="CN158">
        <v>3.7934954879321898</v>
      </c>
      <c r="CO158">
        <v>1.3654456389087599</v>
      </c>
      <c r="CP158">
        <v>2.2895051838095601</v>
      </c>
      <c r="CQ158">
        <v>8.2768125953978107</v>
      </c>
      <c r="CR158">
        <v>1.6258234903750901</v>
      </c>
      <c r="CS158">
        <v>2.39204769020512</v>
      </c>
      <c r="CT158">
        <v>3.09528619285217</v>
      </c>
      <c r="CU158">
        <v>2.2339783292891302</v>
      </c>
      <c r="CV158">
        <v>7.4860182734945502</v>
      </c>
      <c r="CW158">
        <v>3.4463137766768099</v>
      </c>
    </row>
    <row r="159" spans="1:101" x14ac:dyDescent="0.25">
      <c r="A159" s="6">
        <v>158</v>
      </c>
      <c r="B159" s="6">
        <v>1</v>
      </c>
      <c r="C159" t="s">
        <v>151</v>
      </c>
      <c r="D159" t="s">
        <v>170</v>
      </c>
      <c r="E159" t="s">
        <v>158</v>
      </c>
      <c r="F159">
        <v>-1</v>
      </c>
      <c r="G159">
        <v>28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7168</v>
      </c>
      <c r="P159">
        <v>2901.0111432489002</v>
      </c>
      <c r="Q159">
        <v>-1</v>
      </c>
      <c r="R159">
        <v>-1</v>
      </c>
      <c r="S159">
        <v>-1</v>
      </c>
      <c r="T159">
        <v>1.0640000000000001</v>
      </c>
      <c r="U159">
        <v>1.329</v>
      </c>
      <c r="V159">
        <v>1.0409999999999999</v>
      </c>
      <c r="W159">
        <v>0.80200000000000005</v>
      </c>
      <c r="X159">
        <v>0.79800000000000004</v>
      </c>
      <c r="Y159">
        <v>0.752</v>
      </c>
      <c r="Z159">
        <v>0.71099999999999997</v>
      </c>
      <c r="AA159">
        <v>0.66800000000000004</v>
      </c>
      <c r="AB159">
        <v>0.90900000000000003</v>
      </c>
      <c r="AC159">
        <v>0.6</v>
      </c>
      <c r="AD159">
        <v>0.92200000000000004</v>
      </c>
      <c r="AE159">
        <v>0.61</v>
      </c>
      <c r="AF159">
        <v>1.044</v>
      </c>
      <c r="AG159">
        <v>0.878</v>
      </c>
      <c r="AH159">
        <v>0.70299999999999996</v>
      </c>
      <c r="AI159">
        <v>0.747</v>
      </c>
      <c r="AJ159">
        <v>0.91300000000000003</v>
      </c>
      <c r="AK159">
        <v>1.0149999999999999</v>
      </c>
      <c r="AL159">
        <v>0.66200000000000003</v>
      </c>
      <c r="AM159">
        <v>0.65500000000000003</v>
      </c>
      <c r="AN159" t="s">
        <v>159</v>
      </c>
      <c r="AO159" t="s">
        <v>159</v>
      </c>
      <c r="AP159" t="s">
        <v>159</v>
      </c>
      <c r="AQ159" t="s">
        <v>159</v>
      </c>
      <c r="AR159" t="s">
        <v>159</v>
      </c>
      <c r="AS159" t="s">
        <v>159</v>
      </c>
      <c r="AT159" t="s">
        <v>159</v>
      </c>
      <c r="AU159" t="s">
        <v>159</v>
      </c>
      <c r="AV159" t="s">
        <v>159</v>
      </c>
      <c r="AW159" t="s">
        <v>159</v>
      </c>
      <c r="AX159" t="s">
        <v>159</v>
      </c>
      <c r="AY159" t="s">
        <v>159</v>
      </c>
      <c r="AZ159" t="s">
        <v>159</v>
      </c>
      <c r="BA159" t="s">
        <v>159</v>
      </c>
      <c r="BB159" t="s">
        <v>159</v>
      </c>
      <c r="BC159" t="s">
        <v>159</v>
      </c>
      <c r="BD159" t="s">
        <v>159</v>
      </c>
      <c r="BE159" t="s">
        <v>159</v>
      </c>
      <c r="BF159" t="s">
        <v>159</v>
      </c>
      <c r="BG159" t="s">
        <v>159</v>
      </c>
      <c r="CB159">
        <v>3.4399175692238471</v>
      </c>
      <c r="CC159">
        <v>9979.2392001760509</v>
      </c>
      <c r="CD159">
        <v>5.9249989524011397</v>
      </c>
      <c r="CE159">
        <v>11.142560488314899</v>
      </c>
      <c r="CF159">
        <v>5.5684474598144797</v>
      </c>
      <c r="CG159">
        <v>2.6547844209943698</v>
      </c>
      <c r="CH159">
        <v>2.6173527977339601</v>
      </c>
      <c r="CI159">
        <v>2.2112239100937199</v>
      </c>
      <c r="CJ159">
        <v>1.8857482812911399</v>
      </c>
      <c r="CK159">
        <v>1.5795712043194601</v>
      </c>
      <c r="CL159">
        <v>3.7887459299939299</v>
      </c>
      <c r="CM159">
        <v>1.1644574012292099</v>
      </c>
      <c r="CN159">
        <v>3.9446626707413399</v>
      </c>
      <c r="CO159">
        <v>1.22042413021392</v>
      </c>
      <c r="CP159">
        <v>5.6141430023477499</v>
      </c>
      <c r="CQ159">
        <v>3.4331950656455499</v>
      </c>
      <c r="CR159">
        <v>1.82611102099811</v>
      </c>
      <c r="CS159">
        <v>2.1697243535453898</v>
      </c>
      <c r="CT159">
        <v>3.8362867576989399</v>
      </c>
      <c r="CU159">
        <v>5.1824797579949902</v>
      </c>
      <c r="CV159">
        <v>1.53961007536686</v>
      </c>
      <c r="CW159">
        <v>1.49382370373778</v>
      </c>
    </row>
    <row r="160" spans="1:101" x14ac:dyDescent="0.25">
      <c r="A160" s="6">
        <v>159</v>
      </c>
      <c r="B160" s="6">
        <v>1</v>
      </c>
      <c r="C160" t="s">
        <v>151</v>
      </c>
      <c r="D160" t="s">
        <v>173</v>
      </c>
      <c r="E160" t="s">
        <v>168</v>
      </c>
      <c r="F160">
        <v>-1</v>
      </c>
      <c r="G160">
        <v>40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10240</v>
      </c>
      <c r="P160">
        <v>4144.3016332127199</v>
      </c>
      <c r="Q160">
        <v>-1</v>
      </c>
      <c r="R160">
        <v>-1</v>
      </c>
      <c r="S160">
        <v>-1</v>
      </c>
      <c r="T160">
        <v>0.36599999999999999</v>
      </c>
      <c r="U160">
        <v>0.505</v>
      </c>
      <c r="V160">
        <v>0.40100000000000002</v>
      </c>
      <c r="W160">
        <v>0.35699999999999998</v>
      </c>
      <c r="X160">
        <v>0.51100000000000001</v>
      </c>
      <c r="Y160">
        <v>0.52800000000000002</v>
      </c>
      <c r="Z160">
        <v>0.44700000000000001</v>
      </c>
      <c r="AA160">
        <v>0.44700000000000001</v>
      </c>
      <c r="AB160">
        <v>0.42599999999999999</v>
      </c>
      <c r="AC160">
        <v>0.65800000000000003</v>
      </c>
      <c r="AD160">
        <v>0.39900000000000002</v>
      </c>
      <c r="AE160">
        <v>0.435</v>
      </c>
      <c r="AF160">
        <v>0.57099999999999995</v>
      </c>
      <c r="AG160">
        <v>0.52600000000000002</v>
      </c>
      <c r="AH160">
        <v>0.623</v>
      </c>
      <c r="AI160">
        <v>0.92</v>
      </c>
      <c r="AJ160">
        <v>0.46500000000000002</v>
      </c>
      <c r="AK160">
        <v>0.70099999999999996</v>
      </c>
      <c r="AL160">
        <v>0.42299999999999999</v>
      </c>
      <c r="AM160">
        <v>0.53500000000000003</v>
      </c>
      <c r="AN160" t="s">
        <v>169</v>
      </c>
      <c r="AO160" t="s">
        <v>169</v>
      </c>
      <c r="AP160" t="s">
        <v>169</v>
      </c>
      <c r="AQ160" t="s">
        <v>169</v>
      </c>
      <c r="AR160" t="s">
        <v>169</v>
      </c>
      <c r="AS160" t="s">
        <v>169</v>
      </c>
      <c r="AT160" t="s">
        <v>169</v>
      </c>
      <c r="AU160" t="s">
        <v>169</v>
      </c>
      <c r="AV160" t="s">
        <v>169</v>
      </c>
      <c r="AW160" t="s">
        <v>169</v>
      </c>
      <c r="AX160" t="s">
        <v>169</v>
      </c>
      <c r="AY160" t="s">
        <v>169</v>
      </c>
      <c r="AZ160" t="s">
        <v>169</v>
      </c>
      <c r="BA160" t="s">
        <v>169</v>
      </c>
      <c r="BB160" t="s">
        <v>169</v>
      </c>
      <c r="BC160" t="s">
        <v>169</v>
      </c>
      <c r="BD160" t="s">
        <v>169</v>
      </c>
      <c r="BE160" t="s">
        <v>169</v>
      </c>
      <c r="BF160" t="s">
        <v>169</v>
      </c>
      <c r="BG160" t="s">
        <v>169</v>
      </c>
      <c r="CB160">
        <v>0.55499954058394374</v>
      </c>
      <c r="CC160">
        <v>2300.0855024743473</v>
      </c>
      <c r="CD160">
        <v>9.7263243680032502E-2</v>
      </c>
      <c r="CE160">
        <v>0.34913678714107699</v>
      </c>
      <c r="CF160">
        <v>0.13976936730923001</v>
      </c>
      <c r="CG160">
        <v>8.8109281131908704E-2</v>
      </c>
      <c r="CH160">
        <v>0.36589781284170098</v>
      </c>
      <c r="CI160">
        <v>0.416663552556918</v>
      </c>
      <c r="CJ160">
        <v>0.21510460442938301</v>
      </c>
      <c r="CK160">
        <v>0.21510460442938301</v>
      </c>
      <c r="CL160">
        <v>0.17769898550503899</v>
      </c>
      <c r="CM160">
        <v>0.99835647187642296</v>
      </c>
      <c r="CN160">
        <v>0.137022294542575</v>
      </c>
      <c r="CO160">
        <v>0.19307728802756799</v>
      </c>
      <c r="CP160">
        <v>0.56855723409808501</v>
      </c>
      <c r="CQ160">
        <v>0.410432973736859</v>
      </c>
      <c r="CR160">
        <v>0.803611948068639</v>
      </c>
      <c r="CS160">
        <v>3.7771698509072502</v>
      </c>
      <c r="CT160">
        <v>0.25160372289703198</v>
      </c>
      <c r="CU160">
        <v>1.28359900356054</v>
      </c>
      <c r="CV160">
        <v>0.172782637214144</v>
      </c>
      <c r="CW160">
        <v>0.439029147725087</v>
      </c>
    </row>
    <row r="161" spans="1:101" x14ac:dyDescent="0.25">
      <c r="A161" s="6">
        <v>160</v>
      </c>
      <c r="B161" s="6">
        <v>1</v>
      </c>
      <c r="C161" t="s">
        <v>151</v>
      </c>
      <c r="D161" t="s">
        <v>183</v>
      </c>
      <c r="E161" t="s">
        <v>158</v>
      </c>
      <c r="F161">
        <v>-1</v>
      </c>
      <c r="G161">
        <v>1</v>
      </c>
      <c r="H161">
        <v>-1</v>
      </c>
      <c r="I161">
        <v>-1</v>
      </c>
      <c r="J161">
        <v>-1</v>
      </c>
      <c r="K161">
        <v>1</v>
      </c>
      <c r="L161">
        <v>-1</v>
      </c>
      <c r="M161">
        <v>-1</v>
      </c>
      <c r="N161">
        <v>-1</v>
      </c>
      <c r="O161">
        <v>170.666666666667</v>
      </c>
      <c r="P161">
        <v>69.071693886878606</v>
      </c>
      <c r="Q161">
        <v>-1</v>
      </c>
      <c r="R161">
        <v>-1</v>
      </c>
      <c r="S161">
        <v>-1</v>
      </c>
      <c r="T161">
        <v>0.29199999999999998</v>
      </c>
      <c r="U161">
        <v>0.33600000000000002</v>
      </c>
      <c r="AN161" t="s">
        <v>159</v>
      </c>
      <c r="AO161" t="s">
        <v>159</v>
      </c>
      <c r="CB161">
        <v>0.44827254079329049</v>
      </c>
      <c r="CC161">
        <v>30.962943715567462</v>
      </c>
      <c r="CD161">
        <v>0.35075943823106898</v>
      </c>
      <c r="CE161">
        <v>0.54578564335551205</v>
      </c>
    </row>
    <row r="162" spans="1:101" x14ac:dyDescent="0.25">
      <c r="A162" s="6">
        <v>161</v>
      </c>
      <c r="B162" s="6">
        <v>1</v>
      </c>
      <c r="C162" t="s">
        <v>151</v>
      </c>
      <c r="D162" t="s">
        <v>171</v>
      </c>
      <c r="E162" t="s">
        <v>158</v>
      </c>
      <c r="F162">
        <v>351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351</v>
      </c>
      <c r="P162">
        <v>142.05565168531899</v>
      </c>
      <c r="Q162">
        <v>-1</v>
      </c>
      <c r="R162">
        <v>-1</v>
      </c>
      <c r="S162">
        <v>-1</v>
      </c>
      <c r="T162">
        <v>1.466</v>
      </c>
      <c r="U162">
        <v>1.548</v>
      </c>
      <c r="V162">
        <v>1.3540000000000001</v>
      </c>
      <c r="W162">
        <v>1.365</v>
      </c>
      <c r="X162">
        <v>0.87</v>
      </c>
      <c r="Y162">
        <v>0.88700000000000001</v>
      </c>
      <c r="Z162">
        <v>1.5289999999999999</v>
      </c>
      <c r="AA162">
        <v>0.90400000000000003</v>
      </c>
      <c r="AB162">
        <v>0.96199999999999997</v>
      </c>
      <c r="AC162">
        <v>0.96</v>
      </c>
      <c r="AD162">
        <v>0.88200000000000001</v>
      </c>
      <c r="AE162">
        <v>1.198</v>
      </c>
      <c r="AF162">
        <v>0.84599999999999997</v>
      </c>
      <c r="AG162">
        <v>0.90400000000000003</v>
      </c>
      <c r="AH162">
        <v>0.80200000000000005</v>
      </c>
      <c r="AI162">
        <v>0.52700000000000002</v>
      </c>
      <c r="AJ162">
        <v>1.286</v>
      </c>
      <c r="AK162">
        <v>1.226</v>
      </c>
      <c r="AL162">
        <v>1.4710000000000001</v>
      </c>
      <c r="AM162">
        <v>0.79100000000000004</v>
      </c>
      <c r="AN162" t="s">
        <v>159</v>
      </c>
      <c r="AO162" t="s">
        <v>159</v>
      </c>
      <c r="AP162" t="s">
        <v>159</v>
      </c>
      <c r="AQ162" t="s">
        <v>159</v>
      </c>
      <c r="AR162" t="s">
        <v>159</v>
      </c>
      <c r="AS162" t="s">
        <v>159</v>
      </c>
      <c r="AT162" t="s">
        <v>159</v>
      </c>
      <c r="AU162" t="s">
        <v>159</v>
      </c>
      <c r="AV162" t="s">
        <v>159</v>
      </c>
      <c r="AW162" t="s">
        <v>159</v>
      </c>
      <c r="AX162" t="s">
        <v>159</v>
      </c>
      <c r="AY162" t="s">
        <v>159</v>
      </c>
      <c r="AZ162" t="s">
        <v>159</v>
      </c>
      <c r="BA162" t="s">
        <v>159</v>
      </c>
      <c r="BB162" t="s">
        <v>159</v>
      </c>
      <c r="BC162" t="s">
        <v>159</v>
      </c>
      <c r="BD162" t="s">
        <v>159</v>
      </c>
      <c r="BE162" t="s">
        <v>159</v>
      </c>
      <c r="BF162" t="s">
        <v>159</v>
      </c>
      <c r="BG162" t="s">
        <v>159</v>
      </c>
      <c r="CB162">
        <v>2.5447407290129584</v>
      </c>
      <c r="CC162">
        <v>361.49480263010958</v>
      </c>
      <c r="CD162">
        <v>5.0934839110652597</v>
      </c>
      <c r="CE162">
        <v>5.9903632318653601</v>
      </c>
      <c r="CF162">
        <v>4.0193824039908197</v>
      </c>
      <c r="CG162">
        <v>4.1174753538237896</v>
      </c>
      <c r="CH162">
        <v>1.0757295035105101</v>
      </c>
      <c r="CI162">
        <v>1.1395885952527001</v>
      </c>
      <c r="CJ162">
        <v>5.7739100479074397</v>
      </c>
      <c r="CK162">
        <v>1.2059175899579</v>
      </c>
      <c r="CL162">
        <v>1.45143443306665</v>
      </c>
      <c r="CM162">
        <v>1.4424606735569201</v>
      </c>
      <c r="CN162">
        <v>1.12055219553388</v>
      </c>
      <c r="CO162">
        <v>2.79085340526805</v>
      </c>
      <c r="CP162">
        <v>0.98969047155004197</v>
      </c>
      <c r="CQ162">
        <v>1.2059175899579</v>
      </c>
      <c r="CR162">
        <v>0.84406389698422402</v>
      </c>
      <c r="CS162">
        <v>0.24150789939519501</v>
      </c>
      <c r="CT162">
        <v>3.4472580430995099</v>
      </c>
      <c r="CU162">
        <v>2.9897667543817099</v>
      </c>
      <c r="CV162">
        <v>5.1454276019428002</v>
      </c>
      <c r="CW162">
        <v>0.81003097814851799</v>
      </c>
    </row>
    <row r="163" spans="1:101" x14ac:dyDescent="0.25">
      <c r="A163" s="6">
        <v>162</v>
      </c>
      <c r="B163" s="6">
        <v>1</v>
      </c>
      <c r="C163" t="s">
        <v>151</v>
      </c>
      <c r="D163" t="s">
        <v>172</v>
      </c>
      <c r="E163" t="s">
        <v>158</v>
      </c>
      <c r="F163">
        <v>-1</v>
      </c>
      <c r="G163">
        <v>86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22016</v>
      </c>
      <c r="P163">
        <v>8910.2485114073406</v>
      </c>
      <c r="Q163">
        <v>-1</v>
      </c>
      <c r="R163">
        <v>-1</v>
      </c>
      <c r="S163">
        <v>-1</v>
      </c>
      <c r="T163">
        <v>0.41499999999999998</v>
      </c>
      <c r="U163">
        <v>0.55700000000000005</v>
      </c>
      <c r="V163">
        <v>0.27500000000000002</v>
      </c>
      <c r="W163">
        <v>0.32600000000000001</v>
      </c>
      <c r="X163">
        <v>0.27700000000000002</v>
      </c>
      <c r="Y163">
        <v>0.45800000000000002</v>
      </c>
      <c r="Z163">
        <v>0.42799999999999999</v>
      </c>
      <c r="AA163">
        <v>0.26600000000000001</v>
      </c>
      <c r="AB163">
        <v>0.44500000000000001</v>
      </c>
      <c r="AC163">
        <v>0.24399999999999999</v>
      </c>
      <c r="AD163">
        <v>0.38300000000000001</v>
      </c>
      <c r="AE163">
        <v>0.39400000000000002</v>
      </c>
      <c r="AF163">
        <v>0.35499999999999998</v>
      </c>
      <c r="AG163">
        <v>0.36799999999999999</v>
      </c>
      <c r="AH163">
        <v>0.42099999999999999</v>
      </c>
      <c r="AI163">
        <v>0.312</v>
      </c>
      <c r="AJ163">
        <v>0.36299999999999999</v>
      </c>
      <c r="AK163">
        <v>0.40100000000000002</v>
      </c>
      <c r="AL163">
        <v>0.29399999999999998</v>
      </c>
      <c r="AM163">
        <v>0.49</v>
      </c>
      <c r="AN163" t="s">
        <v>159</v>
      </c>
      <c r="AO163" t="s">
        <v>159</v>
      </c>
      <c r="AP163" t="s">
        <v>159</v>
      </c>
      <c r="AQ163" t="s">
        <v>159</v>
      </c>
      <c r="AR163" t="s">
        <v>159</v>
      </c>
      <c r="AS163" t="s">
        <v>159</v>
      </c>
      <c r="AT163" t="s">
        <v>159</v>
      </c>
      <c r="AU163" t="s">
        <v>159</v>
      </c>
      <c r="AV163" t="s">
        <v>159</v>
      </c>
      <c r="AW163" t="s">
        <v>159</v>
      </c>
      <c r="AX163" t="s">
        <v>159</v>
      </c>
      <c r="AY163" t="s">
        <v>159</v>
      </c>
      <c r="AZ163" t="s">
        <v>159</v>
      </c>
      <c r="BA163" t="s">
        <v>159</v>
      </c>
      <c r="BB163" t="s">
        <v>159</v>
      </c>
      <c r="BC163" t="s">
        <v>159</v>
      </c>
      <c r="BD163" t="s">
        <v>159</v>
      </c>
      <c r="BE163" t="s">
        <v>159</v>
      </c>
      <c r="BF163" t="s">
        <v>159</v>
      </c>
      <c r="BG163" t="s">
        <v>159</v>
      </c>
      <c r="CB163">
        <v>1.358929632751692</v>
      </c>
      <c r="CC163">
        <v>12108.400737333088</v>
      </c>
      <c r="CD163">
        <v>1.62730260477958</v>
      </c>
      <c r="CE163">
        <v>3.4262597050599899</v>
      </c>
      <c r="CF163">
        <v>0.57453746032460995</v>
      </c>
      <c r="CG163">
        <v>0.88358261663912796</v>
      </c>
      <c r="CH163">
        <v>0.58516784102181196</v>
      </c>
      <c r="CI163">
        <v>2.08831637677069</v>
      </c>
      <c r="CJ163">
        <v>1.7593788647374899</v>
      </c>
      <c r="CK163">
        <v>0.52814986801842601</v>
      </c>
      <c r="CL163">
        <v>1.9415897146449701</v>
      </c>
      <c r="CM163">
        <v>0.42452463334503399</v>
      </c>
      <c r="CN163">
        <v>1.3283102779548199</v>
      </c>
      <c r="CO163">
        <v>1.42696090958891</v>
      </c>
      <c r="CP163">
        <v>1.09618629530351</v>
      </c>
      <c r="CQ163">
        <v>1.20060905965011</v>
      </c>
      <c r="CR163">
        <v>1.68748661754875</v>
      </c>
      <c r="CS163">
        <v>0.790710958575773</v>
      </c>
      <c r="CT163">
        <v>1.1597660628987201</v>
      </c>
      <c r="CU163">
        <v>1.4919762079807299</v>
      </c>
      <c r="CV163">
        <v>0.68033902120397705</v>
      </c>
      <c r="CW163">
        <v>2.4774375589868098</v>
      </c>
    </row>
    <row r="164" spans="1:101" x14ac:dyDescent="0.25">
      <c r="A164" s="6">
        <v>163</v>
      </c>
      <c r="B164" s="6">
        <v>1</v>
      </c>
      <c r="C164" t="s">
        <v>151</v>
      </c>
      <c r="D164" t="s">
        <v>175</v>
      </c>
      <c r="E164" t="s">
        <v>168</v>
      </c>
      <c r="F164">
        <v>-1</v>
      </c>
      <c r="G164">
        <v>0</v>
      </c>
      <c r="H164">
        <v>-1</v>
      </c>
      <c r="I164">
        <v>-1</v>
      </c>
      <c r="J164">
        <v>-1</v>
      </c>
      <c r="K164">
        <v>3</v>
      </c>
      <c r="L164">
        <v>-1</v>
      </c>
      <c r="M164">
        <v>-1</v>
      </c>
      <c r="N164">
        <v>-1</v>
      </c>
      <c r="O164">
        <v>256</v>
      </c>
      <c r="P164">
        <v>103.607540830318</v>
      </c>
      <c r="Q164">
        <v>-1</v>
      </c>
      <c r="R164">
        <v>-1</v>
      </c>
      <c r="S164">
        <v>-1</v>
      </c>
      <c r="T164">
        <v>1.1379999999999999</v>
      </c>
      <c r="U164">
        <v>0.69</v>
      </c>
      <c r="V164">
        <v>0.65200000000000002</v>
      </c>
      <c r="AN164" t="s">
        <v>169</v>
      </c>
      <c r="AO164" t="s">
        <v>169</v>
      </c>
      <c r="AP164" t="s">
        <v>169</v>
      </c>
      <c r="CB164">
        <v>3.4497316286305932</v>
      </c>
      <c r="CC164">
        <v>357.41821056698359</v>
      </c>
      <c r="CD164">
        <v>6.85388297594905</v>
      </c>
      <c r="CE164">
        <v>1.87563086693651</v>
      </c>
      <c r="CF164">
        <v>1.6196810430062201</v>
      </c>
    </row>
    <row r="165" spans="1:101" x14ac:dyDescent="0.25">
      <c r="A165" s="6">
        <v>164</v>
      </c>
      <c r="B165" s="6">
        <v>1</v>
      </c>
      <c r="C165" t="s">
        <v>152</v>
      </c>
      <c r="D165" t="s">
        <v>170</v>
      </c>
      <c r="E165" t="s">
        <v>158</v>
      </c>
      <c r="F165">
        <v>-1</v>
      </c>
      <c r="G165">
        <v>20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640</v>
      </c>
      <c r="P165">
        <v>340.20386541298399</v>
      </c>
      <c r="Q165">
        <v>-1</v>
      </c>
      <c r="R165">
        <v>-1</v>
      </c>
      <c r="S165">
        <v>-1</v>
      </c>
      <c r="T165">
        <v>0.622</v>
      </c>
      <c r="U165">
        <v>0.73099999999999998</v>
      </c>
      <c r="V165">
        <v>0.59199999999999997</v>
      </c>
      <c r="W165">
        <v>0.72699999999999998</v>
      </c>
      <c r="X165">
        <v>0.874</v>
      </c>
      <c r="Y165">
        <v>0.89900000000000002</v>
      </c>
      <c r="Z165">
        <v>0.40500000000000003</v>
      </c>
      <c r="AA165">
        <v>0.84299999999999997</v>
      </c>
      <c r="AB165">
        <v>0.93200000000000005</v>
      </c>
      <c r="AC165">
        <v>0.82399999999999995</v>
      </c>
      <c r="AD165">
        <v>0.88800000000000001</v>
      </c>
      <c r="AE165">
        <v>0.77300000000000002</v>
      </c>
      <c r="AF165">
        <v>1.0760000000000001</v>
      </c>
      <c r="AG165">
        <v>0.49299999999999999</v>
      </c>
      <c r="AH165">
        <v>0.82699999999999996</v>
      </c>
      <c r="AI165">
        <v>0.86799999999999999</v>
      </c>
      <c r="AJ165">
        <v>0.79200000000000004</v>
      </c>
      <c r="AK165">
        <v>0.41299999999999998</v>
      </c>
      <c r="AL165">
        <v>0.60899999999999999</v>
      </c>
      <c r="AM165">
        <v>0.88600000000000001</v>
      </c>
      <c r="AN165" t="s">
        <v>159</v>
      </c>
      <c r="AO165" t="s">
        <v>159</v>
      </c>
      <c r="AP165" t="s">
        <v>159</v>
      </c>
      <c r="AQ165" t="s">
        <v>159</v>
      </c>
      <c r="AR165" t="s">
        <v>159</v>
      </c>
      <c r="AS165" t="s">
        <v>159</v>
      </c>
      <c r="AT165" t="s">
        <v>159</v>
      </c>
      <c r="AU165" t="s">
        <v>159</v>
      </c>
      <c r="AV165" t="s">
        <v>159</v>
      </c>
      <c r="AW165" t="s">
        <v>159</v>
      </c>
      <c r="AX165" t="s">
        <v>159</v>
      </c>
      <c r="AY165" t="s">
        <v>159</v>
      </c>
      <c r="AZ165" t="s">
        <v>159</v>
      </c>
      <c r="BA165" t="s">
        <v>159</v>
      </c>
      <c r="BB165" t="s">
        <v>159</v>
      </c>
      <c r="BC165" t="s">
        <v>159</v>
      </c>
      <c r="BD165" t="s">
        <v>159</v>
      </c>
      <c r="BE165" t="s">
        <v>159</v>
      </c>
      <c r="BF165" t="s">
        <v>159</v>
      </c>
      <c r="BG165" t="s">
        <v>159</v>
      </c>
      <c r="CB165">
        <v>2.5268476683632146</v>
      </c>
      <c r="CC165">
        <v>859.64334408695152</v>
      </c>
      <c r="CD165">
        <v>1.2898486308599399</v>
      </c>
      <c r="CE165">
        <v>2.0403252539951202</v>
      </c>
      <c r="CF165">
        <v>1.1209021484494699</v>
      </c>
      <c r="CG165">
        <v>2.0087772505184098</v>
      </c>
      <c r="CH165">
        <v>3.38896062658115</v>
      </c>
      <c r="CI165">
        <v>3.6715680250095102</v>
      </c>
      <c r="CJ165">
        <v>0.381369818757816</v>
      </c>
      <c r="CK165">
        <v>3.0586118474614601</v>
      </c>
      <c r="CL165">
        <v>4.0673846525694302</v>
      </c>
      <c r="CM165">
        <v>2.86686561462442</v>
      </c>
      <c r="CN165">
        <v>3.5454133633147702</v>
      </c>
      <c r="CO165">
        <v>2.3911334626566698</v>
      </c>
      <c r="CP165">
        <v>6.1167524566253997</v>
      </c>
      <c r="CQ165">
        <v>0.66659078437234298</v>
      </c>
      <c r="CR165">
        <v>2.8966078387124599</v>
      </c>
      <c r="CS165">
        <v>3.3233040283772901</v>
      </c>
      <c r="CT165">
        <v>2.5618492485903599</v>
      </c>
      <c r="CU165">
        <v>0.40315514001432001</v>
      </c>
      <c r="CV165">
        <v>1.21475072117659</v>
      </c>
      <c r="CW165">
        <v>3.5227824545973601</v>
      </c>
    </row>
    <row r="166" spans="1:101" x14ac:dyDescent="0.25">
      <c r="A166" s="6">
        <v>165</v>
      </c>
      <c r="B166" s="6">
        <v>1</v>
      </c>
      <c r="C166" t="s">
        <v>152</v>
      </c>
      <c r="D166" t="s">
        <v>164</v>
      </c>
      <c r="E166" t="s">
        <v>158</v>
      </c>
      <c r="F166">
        <v>-1</v>
      </c>
      <c r="G166">
        <v>5</v>
      </c>
      <c r="H166">
        <v>-1</v>
      </c>
      <c r="I166">
        <v>-1</v>
      </c>
      <c r="J166">
        <v>-1</v>
      </c>
      <c r="K166">
        <v>8</v>
      </c>
      <c r="L166">
        <v>-1</v>
      </c>
      <c r="M166">
        <v>-1</v>
      </c>
      <c r="N166">
        <v>-1</v>
      </c>
      <c r="O166">
        <v>138.666666666667</v>
      </c>
      <c r="P166">
        <v>73.710837506146603</v>
      </c>
      <c r="Q166">
        <v>-1</v>
      </c>
      <c r="R166">
        <v>-1</v>
      </c>
      <c r="S166">
        <v>-1</v>
      </c>
      <c r="T166">
        <v>0.35199999999999998</v>
      </c>
      <c r="U166">
        <v>0.379</v>
      </c>
      <c r="V166">
        <v>0.33700000000000002</v>
      </c>
      <c r="W166">
        <v>0.47299999999999998</v>
      </c>
      <c r="X166">
        <v>0.4</v>
      </c>
      <c r="Y166">
        <v>0.33500000000000002</v>
      </c>
      <c r="Z166">
        <v>0.42899999999999999</v>
      </c>
      <c r="AA166">
        <v>0.35</v>
      </c>
      <c r="AB166">
        <v>0.35299999999999998</v>
      </c>
      <c r="AC166">
        <v>0.44400000000000001</v>
      </c>
      <c r="AD166">
        <v>0.628</v>
      </c>
      <c r="AE166">
        <v>0.29599999999999999</v>
      </c>
      <c r="AF166">
        <v>0.311</v>
      </c>
      <c r="AN166" t="s">
        <v>159</v>
      </c>
      <c r="AO166" t="s">
        <v>159</v>
      </c>
      <c r="AP166" t="s">
        <v>159</v>
      </c>
      <c r="AQ166" t="s">
        <v>159</v>
      </c>
      <c r="AR166" t="s">
        <v>159</v>
      </c>
      <c r="AS166" t="s">
        <v>159</v>
      </c>
      <c r="AT166" t="s">
        <v>159</v>
      </c>
      <c r="AU166" t="s">
        <v>159</v>
      </c>
      <c r="AV166" t="s">
        <v>159</v>
      </c>
      <c r="AW166" t="s">
        <v>159</v>
      </c>
      <c r="AX166" t="s">
        <v>159</v>
      </c>
      <c r="AY166" t="s">
        <v>159</v>
      </c>
      <c r="AZ166" t="s">
        <v>159</v>
      </c>
      <c r="CB166">
        <v>1.5368142788840173</v>
      </c>
      <c r="CC166">
        <v>113.27986758794567</v>
      </c>
      <c r="CD166">
        <v>1.0729008108743201</v>
      </c>
      <c r="CE166">
        <v>1.29349226539731</v>
      </c>
      <c r="CF166">
        <v>0.96097100512477096</v>
      </c>
      <c r="CG166">
        <v>2.2657152144497799</v>
      </c>
      <c r="CH166">
        <v>1.4825809414743101</v>
      </c>
      <c r="CI166">
        <v>0.94660762129906295</v>
      </c>
      <c r="CJ166">
        <v>1.7697975279662601</v>
      </c>
      <c r="CK166">
        <v>1.0575448316324201</v>
      </c>
      <c r="CL166">
        <v>1.0806290531737199</v>
      </c>
      <c r="CM166">
        <v>1.93056998267832</v>
      </c>
      <c r="CN166">
        <v>4.6413522888495997</v>
      </c>
      <c r="CO166">
        <v>0.69210926641548298</v>
      </c>
      <c r="CP166">
        <v>0.78431481615687204</v>
      </c>
    </row>
    <row r="167" spans="1:101" x14ac:dyDescent="0.25">
      <c r="A167" s="6">
        <v>166</v>
      </c>
      <c r="B167" s="6">
        <v>1</v>
      </c>
      <c r="C167" t="s">
        <v>152</v>
      </c>
      <c r="D167" t="s">
        <v>153</v>
      </c>
      <c r="E167" t="s">
        <v>154</v>
      </c>
      <c r="F167">
        <v>-1</v>
      </c>
      <c r="G167">
        <v>3</v>
      </c>
      <c r="H167">
        <v>0</v>
      </c>
      <c r="I167">
        <v>-1</v>
      </c>
      <c r="J167">
        <v>-1</v>
      </c>
      <c r="K167">
        <v>1</v>
      </c>
      <c r="L167">
        <v>0</v>
      </c>
      <c r="M167">
        <v>-1</v>
      </c>
      <c r="N167">
        <v>-1</v>
      </c>
      <c r="O167">
        <v>42.6666666666667</v>
      </c>
      <c r="P167">
        <v>22.6802576941989</v>
      </c>
      <c r="Q167">
        <v>-1</v>
      </c>
      <c r="R167">
        <v>-1</v>
      </c>
      <c r="S167">
        <v>-1</v>
      </c>
      <c r="T167">
        <v>1.1759999999999999</v>
      </c>
      <c r="U167">
        <v>1.0569999999999999</v>
      </c>
      <c r="V167">
        <v>1.1599999999999999</v>
      </c>
      <c r="W167">
        <v>1.1859999999999999</v>
      </c>
      <c r="AN167" t="s">
        <v>155</v>
      </c>
      <c r="AO167" t="s">
        <v>155</v>
      </c>
      <c r="AP167" t="s">
        <v>155</v>
      </c>
      <c r="AQ167" t="s">
        <v>155</v>
      </c>
      <c r="CB167">
        <v>6.98840977594128</v>
      </c>
      <c r="CC167">
        <v>158.49893459100701</v>
      </c>
      <c r="CD167">
        <v>7.4624801604122801</v>
      </c>
      <c r="CE167">
        <v>5.6608603776044504</v>
      </c>
      <c r="CF167">
        <v>7.2023532525725997</v>
      </c>
      <c r="CG167">
        <v>7.6279453131757897</v>
      </c>
    </row>
    <row r="168" spans="1:101" x14ac:dyDescent="0.25">
      <c r="A168" s="6">
        <v>167</v>
      </c>
      <c r="B168" s="6">
        <v>1</v>
      </c>
      <c r="C168" t="s">
        <v>152</v>
      </c>
      <c r="D168" t="s">
        <v>178</v>
      </c>
      <c r="E168" t="s">
        <v>158</v>
      </c>
      <c r="F168">
        <v>-1</v>
      </c>
      <c r="G168">
        <v>47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1504</v>
      </c>
      <c r="P168">
        <v>799.47908372051302</v>
      </c>
      <c r="Q168">
        <v>-1</v>
      </c>
      <c r="R168">
        <v>-1</v>
      </c>
      <c r="S168">
        <v>-1</v>
      </c>
      <c r="T168">
        <v>0.46200000000000002</v>
      </c>
      <c r="U168">
        <v>0.33400000000000002</v>
      </c>
      <c r="V168">
        <v>0.59199999999999997</v>
      </c>
      <c r="W168">
        <v>0.60399999999999998</v>
      </c>
      <c r="X168">
        <v>0.48599999999999999</v>
      </c>
      <c r="Y168">
        <v>0.621</v>
      </c>
      <c r="Z168">
        <v>0.52</v>
      </c>
      <c r="AA168">
        <v>0.46800000000000003</v>
      </c>
      <c r="AB168">
        <v>0.69599999999999995</v>
      </c>
      <c r="AC168">
        <v>0.65600000000000003</v>
      </c>
      <c r="AD168">
        <v>0.52100000000000002</v>
      </c>
      <c r="AE168">
        <v>0.46600000000000003</v>
      </c>
      <c r="AF168">
        <v>0.58799999999999997</v>
      </c>
      <c r="AG168">
        <v>0.54600000000000004</v>
      </c>
      <c r="AH168">
        <v>0.42</v>
      </c>
      <c r="AI168">
        <v>0.42599999999999999</v>
      </c>
      <c r="AJ168">
        <v>0.48799999999999999</v>
      </c>
      <c r="AK168">
        <v>0.32400000000000001</v>
      </c>
      <c r="AL168">
        <v>0.40699999999999997</v>
      </c>
      <c r="AM168">
        <v>0.52200000000000002</v>
      </c>
      <c r="AN168" t="s">
        <v>159</v>
      </c>
      <c r="AO168" t="s">
        <v>159</v>
      </c>
      <c r="AP168" t="s">
        <v>159</v>
      </c>
      <c r="AQ168" t="s">
        <v>159</v>
      </c>
      <c r="AR168" t="s">
        <v>159</v>
      </c>
      <c r="AS168" t="s">
        <v>159</v>
      </c>
      <c r="AT168" t="s">
        <v>159</v>
      </c>
      <c r="AU168" t="s">
        <v>159</v>
      </c>
      <c r="AV168" t="s">
        <v>159</v>
      </c>
      <c r="AW168" t="s">
        <v>159</v>
      </c>
      <c r="AX168" t="s">
        <v>159</v>
      </c>
      <c r="AY168" t="s">
        <v>159</v>
      </c>
      <c r="AZ168" t="s">
        <v>159</v>
      </c>
      <c r="BA168" t="s">
        <v>159</v>
      </c>
      <c r="BB168" t="s">
        <v>159</v>
      </c>
      <c r="BC168" t="s">
        <v>159</v>
      </c>
      <c r="BD168" t="s">
        <v>159</v>
      </c>
      <c r="BE168" t="s">
        <v>159</v>
      </c>
      <c r="BF168" t="s">
        <v>159</v>
      </c>
      <c r="BG168" t="s">
        <v>159</v>
      </c>
      <c r="CB168">
        <v>3.9142739955386938</v>
      </c>
      <c r="CC168">
        <v>3129.3801873843063</v>
      </c>
      <c r="CD168">
        <v>3.0611500111974101</v>
      </c>
      <c r="CE168">
        <v>1.5239098242715301</v>
      </c>
      <c r="CF168">
        <v>5.2167020716303396</v>
      </c>
      <c r="CG168">
        <v>5.4467041125443503</v>
      </c>
      <c r="CH168">
        <v>3.41328336465364</v>
      </c>
      <c r="CI168">
        <v>5.7816434509614298</v>
      </c>
      <c r="CJ168">
        <v>3.9474037924182199</v>
      </c>
      <c r="CK168">
        <v>3.14726237106817</v>
      </c>
      <c r="CL168">
        <v>7.3877846988674296</v>
      </c>
      <c r="CM168">
        <v>6.5050047776232596</v>
      </c>
      <c r="CN168">
        <v>3.9637428378579398</v>
      </c>
      <c r="CO168">
        <v>3.1184162587169699</v>
      </c>
      <c r="CP168">
        <v>5.1412132278959097</v>
      </c>
      <c r="CQ168">
        <v>4.3839798266067502</v>
      </c>
      <c r="CR168">
        <v>2.4939649150962202</v>
      </c>
      <c r="CS168">
        <v>2.5711949313121498</v>
      </c>
      <c r="CT168">
        <v>3.4435546720916901</v>
      </c>
      <c r="CU168">
        <v>1.4275000665127699</v>
      </c>
      <c r="CV168">
        <v>2.3309467112366899</v>
      </c>
      <c r="CW168">
        <v>3.980117988211</v>
      </c>
    </row>
    <row r="169" spans="1:101" x14ac:dyDescent="0.25">
      <c r="A169" s="6">
        <v>168</v>
      </c>
      <c r="B169" s="6">
        <v>1</v>
      </c>
      <c r="C169" t="s">
        <v>152</v>
      </c>
      <c r="D169" t="s">
        <v>165</v>
      </c>
      <c r="E169" t="s">
        <v>158</v>
      </c>
      <c r="F169">
        <v>-1</v>
      </c>
      <c r="G169">
        <v>0</v>
      </c>
      <c r="H169">
        <v>-1</v>
      </c>
      <c r="I169">
        <v>-1</v>
      </c>
      <c r="J169">
        <v>-1</v>
      </c>
      <c r="K169">
        <v>3</v>
      </c>
      <c r="L169">
        <v>-1</v>
      </c>
      <c r="M169">
        <v>7</v>
      </c>
      <c r="N169">
        <v>-1</v>
      </c>
      <c r="O169">
        <v>45.714285714285701</v>
      </c>
      <c r="P169">
        <v>24.300276100927402</v>
      </c>
      <c r="Q169">
        <v>-1</v>
      </c>
      <c r="R169">
        <v>-1</v>
      </c>
      <c r="S169">
        <v>-1</v>
      </c>
      <c r="T169">
        <v>3.9750000000000001</v>
      </c>
      <c r="U169">
        <v>3.5659999999999998</v>
      </c>
      <c r="V169">
        <v>3.8</v>
      </c>
      <c r="W169">
        <v>1.738</v>
      </c>
      <c r="X169">
        <v>3.339</v>
      </c>
      <c r="Y169">
        <v>3.2690000000000001</v>
      </c>
      <c r="Z169">
        <v>3.2669999999999999</v>
      </c>
      <c r="AA169">
        <v>1.298</v>
      </c>
      <c r="AB169">
        <v>1.6579999999999999</v>
      </c>
      <c r="AC169">
        <v>1.98</v>
      </c>
      <c r="AN169" t="s">
        <v>159</v>
      </c>
      <c r="AO169" t="s">
        <v>159</v>
      </c>
      <c r="AP169" t="s">
        <v>159</v>
      </c>
      <c r="AQ169" t="s">
        <v>159</v>
      </c>
      <c r="AR169" t="s">
        <v>159</v>
      </c>
      <c r="AS169" t="s">
        <v>159</v>
      </c>
      <c r="AT169" t="s">
        <v>159</v>
      </c>
      <c r="AU169" t="s">
        <v>159</v>
      </c>
      <c r="AV169" t="s">
        <v>159</v>
      </c>
      <c r="AW169" t="s">
        <v>159</v>
      </c>
      <c r="CB169">
        <v>8.5107870722954129</v>
      </c>
      <c r="CC169">
        <v>206.81447569298211</v>
      </c>
      <c r="CD169">
        <v>17.508142832862799</v>
      </c>
      <c r="CE169">
        <v>13.101894877804099</v>
      </c>
      <c r="CF169">
        <v>15.5250189460354</v>
      </c>
      <c r="CG169">
        <v>1.9228385806646899</v>
      </c>
      <c r="CH169">
        <v>10.9917229862642</v>
      </c>
      <c r="CI169">
        <v>10.3871827798363</v>
      </c>
      <c r="CJ169">
        <v>10.3702237025089</v>
      </c>
      <c r="CK169">
        <v>0.88196908978267496</v>
      </c>
      <c r="CL169">
        <v>1.69551103577486</v>
      </c>
      <c r="CM169">
        <v>2.7233658914202299</v>
      </c>
    </row>
    <row r="170" spans="1:101" x14ac:dyDescent="0.25">
      <c r="A170" s="6">
        <v>169</v>
      </c>
      <c r="B170" s="6">
        <v>1</v>
      </c>
      <c r="C170" t="s">
        <v>152</v>
      </c>
      <c r="D170" t="s">
        <v>161</v>
      </c>
      <c r="E170" t="s">
        <v>154</v>
      </c>
      <c r="F170">
        <v>-1</v>
      </c>
      <c r="G170">
        <v>2</v>
      </c>
      <c r="H170">
        <v>1</v>
      </c>
      <c r="I170">
        <v>-1</v>
      </c>
      <c r="J170">
        <v>-1</v>
      </c>
      <c r="K170">
        <v>5</v>
      </c>
      <c r="L170">
        <v>2</v>
      </c>
      <c r="M170">
        <v>-1</v>
      </c>
      <c r="N170">
        <v>-1</v>
      </c>
      <c r="O170">
        <v>106.666666666667</v>
      </c>
      <c r="P170">
        <v>56.7006442354974</v>
      </c>
      <c r="Q170">
        <v>-1</v>
      </c>
      <c r="R170">
        <v>-1</v>
      </c>
      <c r="S170">
        <v>-1</v>
      </c>
      <c r="T170">
        <v>0.96199999999999997</v>
      </c>
      <c r="U170">
        <v>0.88600000000000001</v>
      </c>
      <c r="V170">
        <v>0.94099999999999995</v>
      </c>
      <c r="W170">
        <v>1.0089999999999999</v>
      </c>
      <c r="X170">
        <v>1.018</v>
      </c>
      <c r="Y170">
        <v>1.59</v>
      </c>
      <c r="Z170">
        <v>0.85699999999999998</v>
      </c>
      <c r="AA170">
        <v>0.873</v>
      </c>
      <c r="AB170">
        <v>0.91200000000000003</v>
      </c>
      <c r="AC170">
        <v>0.93600000000000005</v>
      </c>
      <c r="AN170" t="s">
        <v>155</v>
      </c>
      <c r="AO170" t="s">
        <v>159</v>
      </c>
      <c r="AP170" t="s">
        <v>156</v>
      </c>
      <c r="AQ170" t="s">
        <v>155</v>
      </c>
      <c r="AR170" t="s">
        <v>159</v>
      </c>
      <c r="AS170" t="s">
        <v>159</v>
      </c>
      <c r="AT170" t="s">
        <v>156</v>
      </c>
      <c r="AU170" t="s">
        <v>159</v>
      </c>
      <c r="AV170" t="s">
        <v>156</v>
      </c>
      <c r="AW170" t="s">
        <v>155</v>
      </c>
      <c r="CB170">
        <v>5.3394104401772022</v>
      </c>
      <c r="CC170">
        <v>302.7480117957881</v>
      </c>
      <c r="CD170">
        <v>4.4355927281215202</v>
      </c>
      <c r="CE170">
        <v>3.5841119458046902</v>
      </c>
      <c r="CF170">
        <v>4.1891445941979901</v>
      </c>
      <c r="CG170">
        <v>5.0188746243326703</v>
      </c>
      <c r="CH170">
        <v>5.1356447118456696</v>
      </c>
      <c r="CI170">
        <v>16.298467777945</v>
      </c>
      <c r="CJ170">
        <v>3.2881267857863699</v>
      </c>
      <c r="CK170">
        <v>3.4494918041937002</v>
      </c>
      <c r="CL170">
        <v>3.86291238060014</v>
      </c>
      <c r="CM170">
        <v>4.1317370489442702</v>
      </c>
    </row>
    <row r="171" spans="1:101" x14ac:dyDescent="0.25">
      <c r="A171" s="6">
        <v>170</v>
      </c>
      <c r="B171" s="6">
        <v>1</v>
      </c>
      <c r="C171" t="s">
        <v>152</v>
      </c>
      <c r="D171" t="s">
        <v>163</v>
      </c>
      <c r="E171" t="s">
        <v>158</v>
      </c>
      <c r="F171">
        <v>-1</v>
      </c>
      <c r="G171">
        <v>72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2304</v>
      </c>
      <c r="P171">
        <v>1224.73391548674</v>
      </c>
      <c r="Q171">
        <v>-1</v>
      </c>
      <c r="R171">
        <v>-1</v>
      </c>
      <c r="S171">
        <v>-1</v>
      </c>
      <c r="T171">
        <v>0.46800000000000003</v>
      </c>
      <c r="U171">
        <v>0.88600000000000001</v>
      </c>
      <c r="V171">
        <v>0.85099999999999998</v>
      </c>
      <c r="W171">
        <v>0.61899999999999999</v>
      </c>
      <c r="X171">
        <v>0.57099999999999995</v>
      </c>
      <c r="Y171">
        <v>0.68899999999999995</v>
      </c>
      <c r="Z171">
        <v>0.495</v>
      </c>
      <c r="AA171">
        <v>0.54</v>
      </c>
      <c r="AB171">
        <v>0.55400000000000005</v>
      </c>
      <c r="AC171">
        <v>0.42399999999999999</v>
      </c>
      <c r="AD171">
        <v>0.32500000000000001</v>
      </c>
      <c r="AE171">
        <v>0.55400000000000005</v>
      </c>
      <c r="AF171">
        <v>0.61499999999999999</v>
      </c>
      <c r="AG171">
        <v>0.58899999999999997</v>
      </c>
      <c r="AH171">
        <v>0.56399999999999995</v>
      </c>
      <c r="AI171">
        <v>0.69699999999999995</v>
      </c>
      <c r="AJ171">
        <v>0.54700000000000004</v>
      </c>
      <c r="AK171">
        <v>0.52500000000000002</v>
      </c>
      <c r="AL171">
        <v>0.47899999999999998</v>
      </c>
      <c r="AM171">
        <v>0.39900000000000002</v>
      </c>
      <c r="AN171" t="s">
        <v>159</v>
      </c>
      <c r="AO171" t="s">
        <v>159</v>
      </c>
      <c r="AP171" t="s">
        <v>159</v>
      </c>
      <c r="AQ171" t="s">
        <v>159</v>
      </c>
      <c r="AR171" t="s">
        <v>159</v>
      </c>
      <c r="AS171" t="s">
        <v>159</v>
      </c>
      <c r="AT171" t="s">
        <v>159</v>
      </c>
      <c r="AU171" t="s">
        <v>159</v>
      </c>
      <c r="AV171" t="s">
        <v>159</v>
      </c>
      <c r="AW171" t="s">
        <v>159</v>
      </c>
      <c r="AX171" t="s">
        <v>159</v>
      </c>
      <c r="AY171" t="s">
        <v>159</v>
      </c>
      <c r="AZ171" t="s">
        <v>159</v>
      </c>
      <c r="BA171" t="s">
        <v>159</v>
      </c>
      <c r="BB171" t="s">
        <v>159</v>
      </c>
      <c r="BC171" t="s">
        <v>159</v>
      </c>
      <c r="BD171" t="s">
        <v>159</v>
      </c>
      <c r="BE171" t="s">
        <v>159</v>
      </c>
      <c r="BF171" t="s">
        <v>159</v>
      </c>
      <c r="BG171" t="s">
        <v>159</v>
      </c>
      <c r="CB171">
        <v>1.5874181420088982</v>
      </c>
      <c r="CC171">
        <v>1944.1648365772437</v>
      </c>
      <c r="CD171">
        <v>0.705304625931365</v>
      </c>
      <c r="CE171">
        <v>5.4026400512457204</v>
      </c>
      <c r="CF171">
        <v>4.7508110469440297</v>
      </c>
      <c r="CG171">
        <v>1.7210188668781801</v>
      </c>
      <c r="CH171">
        <v>1.33033692716872</v>
      </c>
      <c r="CI171">
        <v>2.42220992250386</v>
      </c>
      <c r="CJ171">
        <v>0.84349603525331196</v>
      </c>
      <c r="CK171">
        <v>1.1133419026011599</v>
      </c>
      <c r="CL171">
        <v>1.20806029430457</v>
      </c>
      <c r="CM171">
        <v>0.51474192636973903</v>
      </c>
      <c r="CN171">
        <v>0.220394312294833</v>
      </c>
      <c r="CO171">
        <v>1.20806029430457</v>
      </c>
      <c r="CP171">
        <v>1.68579235620992</v>
      </c>
      <c r="CQ171">
        <v>1.4687918408554901</v>
      </c>
      <c r="CR171">
        <v>1.27900665047079</v>
      </c>
      <c r="CS171">
        <v>2.5130725307792301</v>
      </c>
      <c r="CT171">
        <v>1.16003750880602</v>
      </c>
      <c r="CU171">
        <v>1.0176551595978101</v>
      </c>
      <c r="CV171">
        <v>0.75956115947888903</v>
      </c>
      <c r="CW171">
        <v>0.42402942817975098</v>
      </c>
    </row>
    <row r="172" spans="1:101" x14ac:dyDescent="0.25">
      <c r="A172" s="6">
        <v>171</v>
      </c>
      <c r="B172" s="6">
        <v>1</v>
      </c>
      <c r="C172" t="s">
        <v>152</v>
      </c>
      <c r="D172" t="s">
        <v>184</v>
      </c>
      <c r="E172" t="s">
        <v>154</v>
      </c>
      <c r="F172">
        <v>-1</v>
      </c>
      <c r="G172">
        <v>2</v>
      </c>
      <c r="H172">
        <v>0</v>
      </c>
      <c r="I172">
        <v>-1</v>
      </c>
      <c r="J172">
        <v>-1</v>
      </c>
      <c r="K172">
        <v>2</v>
      </c>
      <c r="L172">
        <v>0</v>
      </c>
      <c r="M172">
        <v>-1</v>
      </c>
      <c r="N172">
        <v>-1</v>
      </c>
      <c r="O172">
        <v>42.6666666666667</v>
      </c>
      <c r="P172">
        <v>22.6802576941989</v>
      </c>
      <c r="Q172">
        <v>-1</v>
      </c>
      <c r="R172">
        <v>-1</v>
      </c>
      <c r="S172">
        <v>-1</v>
      </c>
      <c r="T172">
        <v>0.48099999999999998</v>
      </c>
      <c r="U172">
        <v>0.58699999999999997</v>
      </c>
      <c r="V172">
        <v>0.59299999999999997</v>
      </c>
      <c r="W172">
        <v>0.60899999999999999</v>
      </c>
      <c r="AN172" t="s">
        <v>159</v>
      </c>
      <c r="AO172" t="s">
        <v>159</v>
      </c>
      <c r="AP172" t="s">
        <v>159</v>
      </c>
      <c r="AQ172" t="s">
        <v>159</v>
      </c>
      <c r="CB172">
        <v>1.148718971204397</v>
      </c>
      <c r="CC172">
        <v>26.053242285130771</v>
      </c>
      <c r="CD172">
        <v>0.73668864187058802</v>
      </c>
      <c r="CE172">
        <v>1.23395950733425</v>
      </c>
      <c r="CF172">
        <v>1.2668928410400799</v>
      </c>
      <c r="CG172">
        <v>1.35733489457267</v>
      </c>
    </row>
    <row r="173" spans="1:101" x14ac:dyDescent="0.25">
      <c r="A173" s="6">
        <v>172</v>
      </c>
      <c r="B173" s="6">
        <v>1</v>
      </c>
      <c r="C173" t="s">
        <v>152</v>
      </c>
      <c r="D173" t="s">
        <v>177</v>
      </c>
      <c r="E173" t="s">
        <v>168</v>
      </c>
      <c r="F173">
        <v>-1</v>
      </c>
      <c r="G173">
        <v>2</v>
      </c>
      <c r="H173">
        <v>-1</v>
      </c>
      <c r="I173">
        <v>-1</v>
      </c>
      <c r="J173">
        <v>-1</v>
      </c>
      <c r="K173">
        <v>2</v>
      </c>
      <c r="L173">
        <v>-1</v>
      </c>
      <c r="M173">
        <v>-1</v>
      </c>
      <c r="N173">
        <v>-1</v>
      </c>
      <c r="O173">
        <v>42.6666666666667</v>
      </c>
      <c r="P173">
        <v>22.6802576941989</v>
      </c>
      <c r="Q173">
        <v>-1</v>
      </c>
      <c r="R173">
        <v>-1</v>
      </c>
      <c r="S173">
        <v>-1</v>
      </c>
      <c r="T173">
        <v>0.315</v>
      </c>
      <c r="U173">
        <v>0.23400000000000001</v>
      </c>
      <c r="V173">
        <v>0.35099999999999998</v>
      </c>
      <c r="W173">
        <v>0.23200000000000001</v>
      </c>
      <c r="AN173" t="s">
        <v>169</v>
      </c>
      <c r="AO173" t="s">
        <v>169</v>
      </c>
      <c r="AP173" t="s">
        <v>169</v>
      </c>
      <c r="AQ173" t="s">
        <v>169</v>
      </c>
      <c r="CB173">
        <v>0.1993257050934005</v>
      </c>
      <c r="CC173">
        <v>4.5207583565962173</v>
      </c>
      <c r="CD173">
        <v>0.246123204282859</v>
      </c>
      <c r="CE173">
        <v>0.113971771030882</v>
      </c>
      <c r="CF173">
        <v>0.325741924493755</v>
      </c>
      <c r="CG173">
        <v>0.11146592056610601</v>
      </c>
    </row>
    <row r="174" spans="1:101" x14ac:dyDescent="0.25">
      <c r="A174" s="6">
        <v>173</v>
      </c>
      <c r="B174" s="6">
        <v>1</v>
      </c>
      <c r="C174" t="s">
        <v>152</v>
      </c>
      <c r="D174" t="s">
        <v>166</v>
      </c>
      <c r="E174" t="s">
        <v>154</v>
      </c>
      <c r="F174">
        <v>-1</v>
      </c>
      <c r="G174">
        <v>2</v>
      </c>
      <c r="H174">
        <v>2</v>
      </c>
      <c r="I174">
        <v>-1</v>
      </c>
      <c r="J174">
        <v>-1</v>
      </c>
      <c r="K174">
        <v>1</v>
      </c>
      <c r="L174">
        <v>9</v>
      </c>
      <c r="M174">
        <v>-1</v>
      </c>
      <c r="N174">
        <v>-1</v>
      </c>
      <c r="O174">
        <v>149.333333333333</v>
      </c>
      <c r="P174">
        <v>79.380901929696293</v>
      </c>
      <c r="Q174">
        <v>-1</v>
      </c>
      <c r="R174">
        <v>-1</v>
      </c>
      <c r="S174">
        <v>-1</v>
      </c>
      <c r="T174">
        <v>1.054</v>
      </c>
      <c r="U174">
        <v>1.099</v>
      </c>
      <c r="V174">
        <v>0.88900000000000001</v>
      </c>
      <c r="W174">
        <v>0.85599999999999998</v>
      </c>
      <c r="X174">
        <v>0.85299999999999998</v>
      </c>
      <c r="Y174">
        <v>0.79100000000000004</v>
      </c>
      <c r="Z174">
        <v>0.77300000000000002</v>
      </c>
      <c r="AA174">
        <v>0.82599999999999996</v>
      </c>
      <c r="AB174">
        <v>0.82499999999999996</v>
      </c>
      <c r="AC174">
        <v>0.83699999999999997</v>
      </c>
      <c r="AD174">
        <v>0.93500000000000005</v>
      </c>
      <c r="AE174">
        <v>0.76800000000000002</v>
      </c>
      <c r="AF174">
        <v>0.874</v>
      </c>
      <c r="AG174">
        <v>0.83199999999999996</v>
      </c>
      <c r="AN174" t="s">
        <v>155</v>
      </c>
      <c r="AO174" t="s">
        <v>155</v>
      </c>
      <c r="AP174" t="s">
        <v>156</v>
      </c>
      <c r="AQ174" t="s">
        <v>156</v>
      </c>
      <c r="AR174" t="s">
        <v>156</v>
      </c>
      <c r="AS174" t="s">
        <v>156</v>
      </c>
      <c r="AT174" t="s">
        <v>156</v>
      </c>
      <c r="AU174" t="s">
        <v>156</v>
      </c>
      <c r="AV174" t="s">
        <v>156</v>
      </c>
      <c r="AW174" t="s">
        <v>156</v>
      </c>
      <c r="AX174" t="s">
        <v>155</v>
      </c>
      <c r="AY174" t="s">
        <v>156</v>
      </c>
      <c r="AZ174" t="s">
        <v>156</v>
      </c>
      <c r="BA174" t="s">
        <v>156</v>
      </c>
      <c r="CB174">
        <v>3.2873576511449465</v>
      </c>
      <c r="CC174">
        <v>260.95341531337374</v>
      </c>
      <c r="CD174">
        <v>6.4804634441976097</v>
      </c>
      <c r="CE174">
        <v>7.6504975231017696</v>
      </c>
      <c r="CF174">
        <v>3.2966195591682199</v>
      </c>
      <c r="CG174">
        <v>2.8369369622679099</v>
      </c>
      <c r="CH174">
        <v>2.79767005058727</v>
      </c>
      <c r="CI174">
        <v>2.07343048453611</v>
      </c>
      <c r="CJ174">
        <v>1.89234985312063</v>
      </c>
      <c r="CK174">
        <v>2.4622924181654402</v>
      </c>
      <c r="CL174">
        <v>2.4504791728531501</v>
      </c>
      <c r="CM174">
        <v>2.5950689907210802</v>
      </c>
      <c r="CN174">
        <v>4.0276426873798901</v>
      </c>
      <c r="CO174">
        <v>1.8442206623744499</v>
      </c>
      <c r="CP174">
        <v>3.0812662535889501</v>
      </c>
      <c r="CQ174">
        <v>2.5340690539667698</v>
      </c>
    </row>
    <row r="175" spans="1:101" x14ac:dyDescent="0.25">
      <c r="A175" s="6">
        <v>174</v>
      </c>
      <c r="B175" s="6">
        <v>1</v>
      </c>
      <c r="C175" t="s">
        <v>152</v>
      </c>
      <c r="D175" t="s">
        <v>185</v>
      </c>
      <c r="E175" t="s">
        <v>154</v>
      </c>
      <c r="F175">
        <v>-1</v>
      </c>
      <c r="G175">
        <v>1</v>
      </c>
      <c r="H175">
        <v>0</v>
      </c>
      <c r="I175">
        <v>-1</v>
      </c>
      <c r="J175">
        <v>-1</v>
      </c>
      <c r="K175">
        <v>0</v>
      </c>
      <c r="L175">
        <v>0</v>
      </c>
      <c r="M175">
        <v>-1</v>
      </c>
      <c r="N175">
        <v>-1</v>
      </c>
      <c r="O175">
        <v>10.6666666666667</v>
      </c>
      <c r="P175">
        <v>5.6700644235497402</v>
      </c>
      <c r="Q175">
        <v>-1</v>
      </c>
      <c r="R175">
        <v>-1</v>
      </c>
      <c r="S175">
        <v>-1</v>
      </c>
      <c r="T175">
        <v>1.07</v>
      </c>
      <c r="AN175" t="s">
        <v>155</v>
      </c>
      <c r="CB175">
        <v>5.8429505449105203</v>
      </c>
      <c r="CC175">
        <v>33.12990601325771</v>
      </c>
      <c r="CD175">
        <v>5.8429505449105203</v>
      </c>
    </row>
    <row r="176" spans="1:101" x14ac:dyDescent="0.25">
      <c r="A176" s="6">
        <v>175</v>
      </c>
      <c r="B176" s="6">
        <v>1</v>
      </c>
      <c r="C176" t="s">
        <v>152</v>
      </c>
      <c r="D176" t="s">
        <v>167</v>
      </c>
      <c r="E176" t="s">
        <v>168</v>
      </c>
      <c r="F176">
        <v>-1</v>
      </c>
      <c r="G176">
        <v>1</v>
      </c>
      <c r="H176">
        <v>-1</v>
      </c>
      <c r="I176">
        <v>-1</v>
      </c>
      <c r="J176">
        <v>-1</v>
      </c>
      <c r="K176">
        <v>7</v>
      </c>
      <c r="L176">
        <v>-1</v>
      </c>
      <c r="M176">
        <v>-1</v>
      </c>
      <c r="N176">
        <v>-1</v>
      </c>
      <c r="O176">
        <v>85.3333333333333</v>
      </c>
      <c r="P176">
        <v>45.3605153883979</v>
      </c>
      <c r="Q176">
        <v>-1</v>
      </c>
      <c r="R176">
        <v>-1</v>
      </c>
      <c r="S176">
        <v>-1</v>
      </c>
      <c r="T176">
        <v>0.748</v>
      </c>
      <c r="U176">
        <v>0.97899999999999998</v>
      </c>
      <c r="V176">
        <v>0.82099999999999995</v>
      </c>
      <c r="W176">
        <v>0.92900000000000005</v>
      </c>
      <c r="X176">
        <v>0.58799999999999997</v>
      </c>
      <c r="Y176">
        <v>0.93</v>
      </c>
      <c r="Z176">
        <v>0.46400000000000002</v>
      </c>
      <c r="AA176">
        <v>0.93799999999999994</v>
      </c>
      <c r="AN176" t="s">
        <v>169</v>
      </c>
      <c r="AO176" t="s">
        <v>169</v>
      </c>
      <c r="AP176" t="s">
        <v>169</v>
      </c>
      <c r="AQ176" t="s">
        <v>169</v>
      </c>
      <c r="AR176" t="s">
        <v>169</v>
      </c>
      <c r="AS176" t="s">
        <v>169</v>
      </c>
      <c r="AT176" t="s">
        <v>169</v>
      </c>
      <c r="AU176" t="s">
        <v>169</v>
      </c>
      <c r="CB176">
        <v>3.0095337103059161</v>
      </c>
      <c r="CC176">
        <v>136.51400017823374</v>
      </c>
      <c r="CD176">
        <v>2.31171006928958</v>
      </c>
      <c r="CE176">
        <v>4.6414683995336796</v>
      </c>
      <c r="CF176">
        <v>2.94223260000398</v>
      </c>
      <c r="CG176">
        <v>4.0521818358685904</v>
      </c>
      <c r="CH176">
        <v>1.23941144088956</v>
      </c>
      <c r="CI176">
        <v>4.0634887617831703</v>
      </c>
      <c r="CJ176">
        <v>0.671134857517246</v>
      </c>
      <c r="CK176">
        <v>4.1546417175615202</v>
      </c>
    </row>
    <row r="177" spans="1:101" x14ac:dyDescent="0.25">
      <c r="A177" s="6">
        <v>176</v>
      </c>
      <c r="B177" s="6">
        <v>1</v>
      </c>
      <c r="C177" t="s">
        <v>152</v>
      </c>
      <c r="D177" t="s">
        <v>173</v>
      </c>
      <c r="E177" t="s">
        <v>168</v>
      </c>
      <c r="F177">
        <v>-1</v>
      </c>
      <c r="G177">
        <v>10</v>
      </c>
      <c r="H177">
        <v>-1</v>
      </c>
      <c r="I177">
        <v>-1</v>
      </c>
      <c r="J177">
        <v>-1</v>
      </c>
      <c r="K177">
        <v>22</v>
      </c>
      <c r="L177">
        <v>-1</v>
      </c>
      <c r="M177">
        <v>-1</v>
      </c>
      <c r="N177">
        <v>-1</v>
      </c>
      <c r="O177">
        <v>341.33333333333297</v>
      </c>
      <c r="P177">
        <v>181.442061553592</v>
      </c>
      <c r="Q177">
        <v>-1</v>
      </c>
      <c r="R177">
        <v>-1</v>
      </c>
      <c r="S177">
        <v>-1</v>
      </c>
      <c r="T177">
        <v>0.89600000000000002</v>
      </c>
      <c r="U177">
        <v>0.55500000000000005</v>
      </c>
      <c r="V177">
        <v>0.56100000000000005</v>
      </c>
      <c r="W177">
        <v>0.39300000000000002</v>
      </c>
      <c r="X177">
        <v>0.64100000000000001</v>
      </c>
      <c r="Y177">
        <v>0.38200000000000001</v>
      </c>
      <c r="Z177">
        <v>0.70199999999999996</v>
      </c>
      <c r="AA177">
        <v>0.41299999999999998</v>
      </c>
      <c r="AB177">
        <v>0.46800000000000003</v>
      </c>
      <c r="AC177">
        <v>0.36399999999999999</v>
      </c>
      <c r="AD177">
        <v>0.44600000000000001</v>
      </c>
      <c r="AE177">
        <v>0.45900000000000002</v>
      </c>
      <c r="AF177">
        <v>0.35899999999999999</v>
      </c>
      <c r="AG177">
        <v>0.41799999999999998</v>
      </c>
      <c r="AH177">
        <v>0.314</v>
      </c>
      <c r="AI177">
        <v>0.86699999999999999</v>
      </c>
      <c r="AJ177">
        <v>0.51600000000000001</v>
      </c>
      <c r="AK177">
        <v>0.71499999999999997</v>
      </c>
      <c r="AL177">
        <v>0.51600000000000001</v>
      </c>
      <c r="AM177">
        <v>0.28499999999999998</v>
      </c>
      <c r="AN177" t="s">
        <v>169</v>
      </c>
      <c r="AO177" t="s">
        <v>169</v>
      </c>
      <c r="AP177" t="s">
        <v>169</v>
      </c>
      <c r="AQ177" t="s">
        <v>169</v>
      </c>
      <c r="AR177" t="s">
        <v>169</v>
      </c>
      <c r="AS177" t="s">
        <v>169</v>
      </c>
      <c r="AT177" t="s">
        <v>169</v>
      </c>
      <c r="AU177" t="s">
        <v>169</v>
      </c>
      <c r="AV177" t="s">
        <v>169</v>
      </c>
      <c r="AW177" t="s">
        <v>169</v>
      </c>
      <c r="AX177" t="s">
        <v>169</v>
      </c>
      <c r="AY177" t="s">
        <v>169</v>
      </c>
      <c r="AZ177" t="s">
        <v>169</v>
      </c>
      <c r="BA177" t="s">
        <v>169</v>
      </c>
      <c r="BB177" t="s">
        <v>169</v>
      </c>
      <c r="BC177" t="s">
        <v>169</v>
      </c>
      <c r="BD177" t="s">
        <v>169</v>
      </c>
      <c r="BE177" t="s">
        <v>169</v>
      </c>
      <c r="BF177" t="s">
        <v>169</v>
      </c>
      <c r="BG177" t="s">
        <v>169</v>
      </c>
      <c r="CB177">
        <v>0.66568845445389746</v>
      </c>
      <c r="CC177">
        <v>120.78388552853959</v>
      </c>
      <c r="CD177">
        <v>3.4008825856522802</v>
      </c>
      <c r="CE177">
        <v>0.50789271432284999</v>
      </c>
      <c r="CF177">
        <v>0.53004336096870697</v>
      </c>
      <c r="CG177">
        <v>0.12902303838451501</v>
      </c>
      <c r="CH177">
        <v>0.89981912004527898</v>
      </c>
      <c r="CI177">
        <v>0.115271087575072</v>
      </c>
      <c r="CJ177">
        <v>1.29088387274873</v>
      </c>
      <c r="CK177">
        <v>0.15712690099898699</v>
      </c>
      <c r="CL177">
        <v>0.25811002724854298</v>
      </c>
      <c r="CM177">
        <v>9.5170276931461406E-2</v>
      </c>
      <c r="CN177">
        <v>0.213200504996995</v>
      </c>
      <c r="CO177">
        <v>0.23895999556862099</v>
      </c>
      <c r="CP177">
        <v>9.0085273377207398E-2</v>
      </c>
      <c r="CQ177">
        <v>0.164815737679887</v>
      </c>
      <c r="CR177">
        <v>5.2934588679892799E-2</v>
      </c>
      <c r="CS177">
        <v>2.9844524024785399</v>
      </c>
      <c r="CT177">
        <v>0.38031911643132399</v>
      </c>
      <c r="CU177">
        <v>1.3884294787254301</v>
      </c>
      <c r="CV177">
        <v>0.38031911643132399</v>
      </c>
      <c r="CW177">
        <v>3.6029889832303701E-2</v>
      </c>
    </row>
    <row r="178" spans="1:101" x14ac:dyDescent="0.25">
      <c r="A178" s="6">
        <v>177</v>
      </c>
      <c r="B178" s="6">
        <v>1</v>
      </c>
      <c r="C178" t="s">
        <v>152</v>
      </c>
      <c r="D178" t="s">
        <v>171</v>
      </c>
      <c r="E178" t="s">
        <v>158</v>
      </c>
      <c r="F178">
        <v>165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165</v>
      </c>
      <c r="P178">
        <v>87.708809051784996</v>
      </c>
      <c r="Q178">
        <v>-1</v>
      </c>
      <c r="R178">
        <v>-1</v>
      </c>
      <c r="S178">
        <v>-1</v>
      </c>
      <c r="T178">
        <v>0.97</v>
      </c>
      <c r="U178">
        <v>1.2529999999999999</v>
      </c>
      <c r="V178">
        <v>1.2270000000000001</v>
      </c>
      <c r="W178">
        <v>0.97399999999999998</v>
      </c>
      <c r="X178">
        <v>1.379</v>
      </c>
      <c r="Y178">
        <v>1.466</v>
      </c>
      <c r="Z178">
        <v>0.499</v>
      </c>
      <c r="AA178">
        <v>0.93899999999999995</v>
      </c>
      <c r="AB178">
        <v>0.98399999999999999</v>
      </c>
      <c r="AC178">
        <v>0.72899999999999998</v>
      </c>
      <c r="AD178">
        <v>1.264</v>
      </c>
      <c r="AE178">
        <v>1.3520000000000001</v>
      </c>
      <c r="AF178">
        <v>1.274</v>
      </c>
      <c r="AG178">
        <v>1.1519999999999999</v>
      </c>
      <c r="AH178">
        <v>1.319</v>
      </c>
      <c r="AI178">
        <v>0.98799999999999999</v>
      </c>
      <c r="AJ178">
        <v>1.2330000000000001</v>
      </c>
      <c r="AK178">
        <v>1.177</v>
      </c>
      <c r="AL178">
        <v>0.80500000000000005</v>
      </c>
      <c r="AM178">
        <v>1.139</v>
      </c>
      <c r="AN178" t="s">
        <v>159</v>
      </c>
      <c r="AO178" t="s">
        <v>159</v>
      </c>
      <c r="AP178" t="s">
        <v>159</v>
      </c>
      <c r="AQ178" t="s">
        <v>159</v>
      </c>
      <c r="AR178" t="s">
        <v>159</v>
      </c>
      <c r="AS178" t="s">
        <v>159</v>
      </c>
      <c r="AT178" t="s">
        <v>159</v>
      </c>
      <c r="AU178" t="s">
        <v>159</v>
      </c>
      <c r="AV178" t="s">
        <v>159</v>
      </c>
      <c r="AW178" t="s">
        <v>159</v>
      </c>
      <c r="AX178" t="s">
        <v>159</v>
      </c>
      <c r="AY178" t="s">
        <v>159</v>
      </c>
      <c r="AZ178" t="s">
        <v>159</v>
      </c>
      <c r="BA178" t="s">
        <v>159</v>
      </c>
      <c r="BB178" t="s">
        <v>159</v>
      </c>
      <c r="BC178" t="s">
        <v>159</v>
      </c>
      <c r="BD178" t="s">
        <v>159</v>
      </c>
      <c r="BE178" t="s">
        <v>159</v>
      </c>
      <c r="BF178" t="s">
        <v>159</v>
      </c>
      <c r="BG178" t="s">
        <v>159</v>
      </c>
      <c r="CB178">
        <v>2.4803311648951794</v>
      </c>
      <c r="CC178">
        <v>217.54689252698273</v>
      </c>
      <c r="CD178">
        <v>1.48770038459208</v>
      </c>
      <c r="CE178">
        <v>3.1902880617967901</v>
      </c>
      <c r="CF178">
        <v>2.9970397570787499</v>
      </c>
      <c r="CG178">
        <v>1.50605696418739</v>
      </c>
      <c r="CH178">
        <v>4.24460440435998</v>
      </c>
      <c r="CI178">
        <v>5.0934839110652597</v>
      </c>
      <c r="CJ178">
        <v>0.20524629827211999</v>
      </c>
      <c r="CK178">
        <v>1.35045206137355</v>
      </c>
      <c r="CL178">
        <v>1.55260542923356</v>
      </c>
      <c r="CM178">
        <v>0.63513163015991103</v>
      </c>
      <c r="CN178">
        <v>3.2744773260767799</v>
      </c>
      <c r="CO178">
        <v>4.0017158566753501</v>
      </c>
      <c r="CP178">
        <v>3.35228244366595</v>
      </c>
      <c r="CQ178">
        <v>2.4834996026657499</v>
      </c>
      <c r="CR178">
        <v>3.7176217292206202</v>
      </c>
      <c r="CS178">
        <v>1.5714892048793101</v>
      </c>
      <c r="CT178">
        <v>3.04092476466802</v>
      </c>
      <c r="CU178">
        <v>2.6475828939281398</v>
      </c>
      <c r="CV178">
        <v>0.85350767478177803</v>
      </c>
      <c r="CW178">
        <v>2.4009128992225</v>
      </c>
    </row>
    <row r="179" spans="1:101" x14ac:dyDescent="0.25">
      <c r="A179" s="6">
        <v>178</v>
      </c>
      <c r="B179" s="6">
        <v>1</v>
      </c>
      <c r="C179" t="s">
        <v>152</v>
      </c>
      <c r="D179" t="s">
        <v>157</v>
      </c>
      <c r="E179" t="s">
        <v>158</v>
      </c>
      <c r="F179">
        <v>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1</v>
      </c>
      <c r="P179">
        <v>0.53156853970778795</v>
      </c>
      <c r="Q179">
        <v>-1</v>
      </c>
      <c r="R179">
        <v>-1</v>
      </c>
      <c r="S179">
        <v>-1</v>
      </c>
      <c r="T179">
        <v>1.972</v>
      </c>
      <c r="AN179" t="s">
        <v>159</v>
      </c>
      <c r="CB179">
        <v>70.050110863607202</v>
      </c>
      <c r="CC179">
        <v>37.236435138136329</v>
      </c>
      <c r="CD179">
        <v>70.050110863607202</v>
      </c>
    </row>
    <row r="180" spans="1:101" x14ac:dyDescent="0.25">
      <c r="A180" s="6">
        <v>179</v>
      </c>
      <c r="B180" s="6">
        <v>1</v>
      </c>
      <c r="C180" t="s">
        <v>152</v>
      </c>
      <c r="D180" t="s">
        <v>172</v>
      </c>
      <c r="E180" t="s">
        <v>158</v>
      </c>
      <c r="F180">
        <v>-1</v>
      </c>
      <c r="G180">
        <v>94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3008</v>
      </c>
      <c r="P180">
        <v>1598.9581674410299</v>
      </c>
      <c r="Q180">
        <v>-1</v>
      </c>
      <c r="R180">
        <v>-1</v>
      </c>
      <c r="S180">
        <v>-1</v>
      </c>
      <c r="T180">
        <v>0.38400000000000001</v>
      </c>
      <c r="U180">
        <v>0.38</v>
      </c>
      <c r="V180">
        <v>0.36499999999999999</v>
      </c>
      <c r="W180">
        <v>0.34699999999999998</v>
      </c>
      <c r="X180">
        <v>0.27700000000000002</v>
      </c>
      <c r="Y180">
        <v>0.40600000000000003</v>
      </c>
      <c r="Z180">
        <v>0.25700000000000001</v>
      </c>
      <c r="AA180">
        <v>0.43099999999999999</v>
      </c>
      <c r="AB180">
        <v>0.38900000000000001</v>
      </c>
      <c r="AC180">
        <v>0.33600000000000002</v>
      </c>
      <c r="AD180">
        <v>0.33500000000000002</v>
      </c>
      <c r="AE180">
        <v>0.216</v>
      </c>
      <c r="AF180">
        <v>0.26300000000000001</v>
      </c>
      <c r="AG180">
        <v>0.27600000000000002</v>
      </c>
      <c r="AH180">
        <v>0.42399999999999999</v>
      </c>
      <c r="AI180">
        <v>0.30099999999999999</v>
      </c>
      <c r="AJ180">
        <v>0.23</v>
      </c>
      <c r="AK180">
        <v>0.27600000000000002</v>
      </c>
      <c r="AL180">
        <v>0.29599999999999999</v>
      </c>
      <c r="AM180">
        <v>0.23799999999999999</v>
      </c>
      <c r="AN180" t="s">
        <v>159</v>
      </c>
      <c r="AO180" t="s">
        <v>159</v>
      </c>
      <c r="AP180" t="s">
        <v>159</v>
      </c>
      <c r="AQ180" t="s">
        <v>159</v>
      </c>
      <c r="AR180" t="s">
        <v>159</v>
      </c>
      <c r="AS180" t="s">
        <v>159</v>
      </c>
      <c r="AT180" t="s">
        <v>159</v>
      </c>
      <c r="AU180" t="s">
        <v>159</v>
      </c>
      <c r="AV180" t="s">
        <v>159</v>
      </c>
      <c r="AW180" t="s">
        <v>159</v>
      </c>
      <c r="AX180" t="s">
        <v>159</v>
      </c>
      <c r="AY180" t="s">
        <v>159</v>
      </c>
      <c r="AZ180" t="s">
        <v>159</v>
      </c>
      <c r="BA180" t="s">
        <v>159</v>
      </c>
      <c r="BB180" t="s">
        <v>159</v>
      </c>
      <c r="BC180" t="s">
        <v>159</v>
      </c>
      <c r="BD180" t="s">
        <v>159</v>
      </c>
      <c r="BE180" t="s">
        <v>159</v>
      </c>
      <c r="BF180" t="s">
        <v>159</v>
      </c>
      <c r="BG180" t="s">
        <v>159</v>
      </c>
      <c r="CB180">
        <v>0.92063424082422285</v>
      </c>
      <c r="CC180">
        <v>1472.0556385917632</v>
      </c>
      <c r="CD180">
        <v>1.33710228989757</v>
      </c>
      <c r="CE180">
        <v>1.3021443604449601</v>
      </c>
      <c r="CF180">
        <v>1.17600070473287</v>
      </c>
      <c r="CG180">
        <v>1.03476136761283</v>
      </c>
      <c r="CH180">
        <v>0.58516784102181196</v>
      </c>
      <c r="CI180">
        <v>1.5394922249059899</v>
      </c>
      <c r="CJ180">
        <v>0.48410262431156198</v>
      </c>
      <c r="CK180">
        <v>1.7907465718366999</v>
      </c>
      <c r="CL180">
        <v>1.3815898254923</v>
      </c>
      <c r="CM180">
        <v>0.95377296206094597</v>
      </c>
      <c r="CN180">
        <v>0.94660762129906295</v>
      </c>
      <c r="CO180">
        <v>0.31187073610299199</v>
      </c>
      <c r="CP180">
        <v>0.51320949009263905</v>
      </c>
      <c r="CQ180">
        <v>0.57983791838228904</v>
      </c>
      <c r="CR180">
        <v>1.7180755289774701</v>
      </c>
      <c r="CS180">
        <v>0.72207094293031304</v>
      </c>
      <c r="CT180">
        <v>0.36557632273868002</v>
      </c>
      <c r="CU180">
        <v>0.57983791838228904</v>
      </c>
      <c r="CV180">
        <v>0.69210926641548298</v>
      </c>
      <c r="CW180">
        <v>0.39860829884570198</v>
      </c>
    </row>
    <row r="181" spans="1:101" x14ac:dyDescent="0.25">
      <c r="A181" s="6">
        <v>180</v>
      </c>
      <c r="B181" s="6">
        <v>1</v>
      </c>
      <c r="C181" t="s">
        <v>152</v>
      </c>
      <c r="D181" t="s">
        <v>175</v>
      </c>
      <c r="E181" t="s">
        <v>168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0</v>
      </c>
      <c r="L181">
        <v>-1</v>
      </c>
      <c r="M181">
        <v>-1</v>
      </c>
      <c r="N181">
        <v>-1</v>
      </c>
      <c r="O181">
        <v>10.6666666666667</v>
      </c>
      <c r="P181">
        <v>5.6700644235497402</v>
      </c>
      <c r="Q181">
        <v>-1</v>
      </c>
      <c r="R181">
        <v>-1</v>
      </c>
      <c r="S181">
        <v>-1</v>
      </c>
      <c r="T181">
        <v>0.93799999999999994</v>
      </c>
      <c r="AN181" t="s">
        <v>169</v>
      </c>
      <c r="CB181">
        <v>4.1546417175615202</v>
      </c>
      <c r="CC181">
        <v>23.557086195341164</v>
      </c>
      <c r="CD181">
        <v>4.1546417175615202</v>
      </c>
    </row>
    <row r="182" spans="1:101" x14ac:dyDescent="0.25">
      <c r="A182" s="6">
        <v>181</v>
      </c>
      <c r="B182" s="6">
        <v>1</v>
      </c>
      <c r="C182" t="s">
        <v>152</v>
      </c>
      <c r="D182" t="s">
        <v>174</v>
      </c>
      <c r="E182" t="s">
        <v>158</v>
      </c>
      <c r="F182">
        <v>-1</v>
      </c>
      <c r="G182">
        <v>0</v>
      </c>
      <c r="H182">
        <v>-1</v>
      </c>
      <c r="I182">
        <v>-1</v>
      </c>
      <c r="J182">
        <v>-1</v>
      </c>
      <c r="K182">
        <v>1</v>
      </c>
      <c r="L182">
        <v>-1</v>
      </c>
      <c r="M182">
        <v>-1</v>
      </c>
      <c r="N182">
        <v>-1</v>
      </c>
      <c r="O182">
        <v>10.6666666666667</v>
      </c>
      <c r="P182">
        <v>5.6700644235497402</v>
      </c>
      <c r="Q182">
        <v>-1</v>
      </c>
      <c r="R182">
        <v>-1</v>
      </c>
      <c r="S182">
        <v>-1</v>
      </c>
      <c r="T182">
        <v>0.51100000000000001</v>
      </c>
      <c r="AN182" t="s">
        <v>159</v>
      </c>
      <c r="CB182">
        <v>0.47141687387345099</v>
      </c>
      <c r="CC182">
        <v>2.6729640452108896</v>
      </c>
      <c r="CD182">
        <v>0.47141687387345099</v>
      </c>
    </row>
    <row r="183" spans="1:101" x14ac:dyDescent="0.25">
      <c r="A183" s="6">
        <v>182</v>
      </c>
      <c r="B183" s="6">
        <v>1</v>
      </c>
      <c r="C183" t="s">
        <v>112</v>
      </c>
      <c r="D183" t="s">
        <v>162</v>
      </c>
      <c r="E183" t="s">
        <v>154</v>
      </c>
      <c r="F183">
        <v>-1</v>
      </c>
      <c r="G183">
        <v>0</v>
      </c>
      <c r="H183">
        <v>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13</v>
      </c>
      <c r="P183">
        <v>1.97566413004966</v>
      </c>
      <c r="Q183">
        <v>-1</v>
      </c>
      <c r="R183">
        <v>-1</v>
      </c>
      <c r="S183">
        <v>-1</v>
      </c>
      <c r="T183">
        <v>0.92300000000000004</v>
      </c>
      <c r="AN183" t="s">
        <v>156</v>
      </c>
      <c r="CB183">
        <v>3.9847458948394499</v>
      </c>
      <c r="CC183">
        <v>7.8725195317969359</v>
      </c>
      <c r="CD183">
        <v>3.9847458948394499</v>
      </c>
    </row>
    <row r="184" spans="1:101" x14ac:dyDescent="0.25">
      <c r="A184" s="6">
        <v>183</v>
      </c>
      <c r="B184" s="6">
        <v>1</v>
      </c>
      <c r="C184" t="s">
        <v>112</v>
      </c>
      <c r="D184" t="s">
        <v>182</v>
      </c>
      <c r="E184" t="s">
        <v>154</v>
      </c>
      <c r="F184">
        <v>-1</v>
      </c>
      <c r="G184">
        <v>3</v>
      </c>
      <c r="H184">
        <v>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52</v>
      </c>
      <c r="P184">
        <v>7.9026565201986303</v>
      </c>
      <c r="Q184">
        <v>-1</v>
      </c>
      <c r="R184">
        <v>-1</v>
      </c>
      <c r="S184">
        <v>-1</v>
      </c>
      <c r="T184">
        <v>0.52400000000000002</v>
      </c>
      <c r="U184">
        <v>0.55000000000000004</v>
      </c>
      <c r="V184">
        <v>0.54600000000000004</v>
      </c>
      <c r="W184">
        <v>0.52700000000000002</v>
      </c>
      <c r="AN184" t="s">
        <v>159</v>
      </c>
      <c r="AO184" t="s">
        <v>156</v>
      </c>
      <c r="AP184" t="s">
        <v>155</v>
      </c>
      <c r="AQ184" t="s">
        <v>155</v>
      </c>
      <c r="CB184">
        <v>0.44593885318626419</v>
      </c>
      <c r="CC184">
        <v>3.5241015857423306</v>
      </c>
      <c r="CD184">
        <v>0.40427235957280599</v>
      </c>
      <c r="CE184">
        <v>0.489969128462592</v>
      </c>
      <c r="CF184">
        <v>0.475974439914162</v>
      </c>
      <c r="CG184">
        <v>0.41353948479549701</v>
      </c>
    </row>
    <row r="185" spans="1:101" x14ac:dyDescent="0.25">
      <c r="A185" s="6">
        <v>184</v>
      </c>
      <c r="B185" s="6">
        <v>1</v>
      </c>
      <c r="C185" t="s">
        <v>112</v>
      </c>
      <c r="D185" t="s">
        <v>153</v>
      </c>
      <c r="E185" t="s">
        <v>154</v>
      </c>
      <c r="F185">
        <v>-1</v>
      </c>
      <c r="G185">
        <v>7</v>
      </c>
      <c r="H185">
        <v>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104</v>
      </c>
      <c r="P185">
        <v>15.8053130403973</v>
      </c>
      <c r="Q185">
        <v>-1</v>
      </c>
      <c r="R185">
        <v>-1</v>
      </c>
      <c r="S185">
        <v>-1</v>
      </c>
      <c r="T185">
        <v>1.1120000000000001</v>
      </c>
      <c r="U185">
        <v>1.1419999999999999</v>
      </c>
      <c r="V185">
        <v>1.2050000000000001</v>
      </c>
      <c r="W185">
        <v>1.181</v>
      </c>
      <c r="X185">
        <v>1.304</v>
      </c>
      <c r="Y185">
        <v>1.266</v>
      </c>
      <c r="Z185">
        <v>1.2470000000000001</v>
      </c>
      <c r="AN185" t="s">
        <v>156</v>
      </c>
      <c r="AO185" t="s">
        <v>155</v>
      </c>
      <c r="AP185" t="s">
        <v>155</v>
      </c>
      <c r="AQ185" t="s">
        <v>155</v>
      </c>
      <c r="AR185" t="s">
        <v>155</v>
      </c>
      <c r="AS185" t="s">
        <v>155</v>
      </c>
      <c r="AT185" t="s">
        <v>155</v>
      </c>
      <c r="CB185">
        <v>8.0480916655063837</v>
      </c>
      <c r="CC185">
        <v>127.20260815114086</v>
      </c>
      <c r="CD185">
        <v>6.4556447763001898</v>
      </c>
      <c r="CE185">
        <v>6.9164530838994196</v>
      </c>
      <c r="CF185">
        <v>7.9484908334977504</v>
      </c>
      <c r="CG185">
        <v>7.54493427705596</v>
      </c>
      <c r="CH185">
        <v>9.7520784873138897</v>
      </c>
      <c r="CI185">
        <v>9.0329898855047492</v>
      </c>
      <c r="CJ185">
        <v>8.6860503149727304</v>
      </c>
    </row>
    <row r="186" spans="1:101" x14ac:dyDescent="0.25">
      <c r="A186" s="6">
        <v>185</v>
      </c>
      <c r="B186" s="6">
        <v>1</v>
      </c>
      <c r="C186" t="s">
        <v>112</v>
      </c>
      <c r="D186" t="s">
        <v>161</v>
      </c>
      <c r="E186" t="s">
        <v>154</v>
      </c>
      <c r="F186">
        <v>-1</v>
      </c>
      <c r="G186">
        <v>9</v>
      </c>
      <c r="H186">
        <v>4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169</v>
      </c>
      <c r="P186">
        <v>25.6836336906455</v>
      </c>
      <c r="Q186">
        <v>-1</v>
      </c>
      <c r="R186">
        <v>-1</v>
      </c>
      <c r="S186">
        <v>-1</v>
      </c>
      <c r="T186">
        <v>0.95699999999999996</v>
      </c>
      <c r="U186">
        <v>1.02</v>
      </c>
      <c r="V186">
        <v>0.96599999999999997</v>
      </c>
      <c r="W186">
        <v>0.94399999999999995</v>
      </c>
      <c r="X186">
        <v>1.04</v>
      </c>
      <c r="Y186">
        <v>0.90400000000000003</v>
      </c>
      <c r="Z186">
        <v>0.94599999999999995</v>
      </c>
      <c r="AA186">
        <v>0.96599999999999997</v>
      </c>
      <c r="AB186">
        <v>0.95899999999999996</v>
      </c>
      <c r="AC186">
        <v>0.997</v>
      </c>
      <c r="AD186">
        <v>1.0369999999999999</v>
      </c>
      <c r="AE186">
        <v>0.99399999999999999</v>
      </c>
      <c r="AF186">
        <v>0.95799999999999996</v>
      </c>
      <c r="AN186" t="s">
        <v>156</v>
      </c>
      <c r="AO186" t="s">
        <v>155</v>
      </c>
      <c r="AP186" t="s">
        <v>156</v>
      </c>
      <c r="AQ186" t="s">
        <v>155</v>
      </c>
      <c r="AR186" t="s">
        <v>155</v>
      </c>
      <c r="AS186" t="s">
        <v>155</v>
      </c>
      <c r="AT186" t="s">
        <v>156</v>
      </c>
      <c r="AU186" t="s">
        <v>155</v>
      </c>
      <c r="AV186" t="s">
        <v>156</v>
      </c>
      <c r="AW186" t="s">
        <v>155</v>
      </c>
      <c r="AX186" t="s">
        <v>155</v>
      </c>
      <c r="AY186" t="s">
        <v>155</v>
      </c>
      <c r="AZ186" t="s">
        <v>155</v>
      </c>
      <c r="CB186">
        <v>4.6191344709683042</v>
      </c>
      <c r="CC186">
        <v>118.63615772018352</v>
      </c>
      <c r="CD186">
        <v>4.3761292959926203</v>
      </c>
      <c r="CE186">
        <v>5.1618178021698302</v>
      </c>
      <c r="CF186">
        <v>4.4835186811546599</v>
      </c>
      <c r="CG186">
        <v>4.2238228126152304</v>
      </c>
      <c r="CH186">
        <v>5.4280591931750299</v>
      </c>
      <c r="CI186">
        <v>3.77576069440296</v>
      </c>
      <c r="CJ186">
        <v>4.2470391997764096</v>
      </c>
      <c r="CK186">
        <v>4.4835186811546599</v>
      </c>
      <c r="CL186">
        <v>4.3998555523957696</v>
      </c>
      <c r="CM186">
        <v>4.8657376190996899</v>
      </c>
      <c r="CN186">
        <v>5.3875982760125503</v>
      </c>
      <c r="CO186">
        <v>4.8279077351052102</v>
      </c>
      <c r="CP186">
        <v>4.3879825795333298</v>
      </c>
    </row>
    <row r="187" spans="1:101" x14ac:dyDescent="0.25">
      <c r="A187" s="6">
        <v>186</v>
      </c>
      <c r="B187" s="6">
        <v>1</v>
      </c>
      <c r="C187" t="s">
        <v>112</v>
      </c>
      <c r="D187" t="s">
        <v>166</v>
      </c>
      <c r="E187" t="s">
        <v>154</v>
      </c>
      <c r="F187">
        <v>-1</v>
      </c>
      <c r="G187">
        <v>35</v>
      </c>
      <c r="H187">
        <v>46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1053</v>
      </c>
      <c r="P187">
        <v>160.02879453402201</v>
      </c>
      <c r="Q187">
        <v>-1</v>
      </c>
      <c r="R187">
        <v>-1</v>
      </c>
      <c r="S187">
        <v>-1</v>
      </c>
      <c r="T187">
        <v>0.81699999999999995</v>
      </c>
      <c r="U187">
        <v>0.92300000000000004</v>
      </c>
      <c r="V187">
        <v>0.93799999999999994</v>
      </c>
      <c r="W187">
        <v>0.78500000000000003</v>
      </c>
      <c r="X187">
        <v>0.879</v>
      </c>
      <c r="Y187">
        <v>0.91300000000000003</v>
      </c>
      <c r="Z187">
        <v>0.81499999999999995</v>
      </c>
      <c r="AA187">
        <v>0.79300000000000004</v>
      </c>
      <c r="AB187">
        <v>0.79100000000000004</v>
      </c>
      <c r="AC187">
        <v>0.92100000000000004</v>
      </c>
      <c r="AD187">
        <v>0.76800000000000002</v>
      </c>
      <c r="AE187">
        <v>0.78800000000000003</v>
      </c>
      <c r="AF187">
        <v>0.77200000000000002</v>
      </c>
      <c r="AG187">
        <v>0.77800000000000002</v>
      </c>
      <c r="AH187">
        <v>0.76500000000000001</v>
      </c>
      <c r="AI187">
        <v>0.83599999999999997</v>
      </c>
      <c r="AJ187">
        <v>0.73099999999999998</v>
      </c>
      <c r="AK187">
        <v>1.0229999999999999</v>
      </c>
      <c r="AL187">
        <v>0.77800000000000002</v>
      </c>
      <c r="AM187">
        <v>0.752</v>
      </c>
      <c r="AN187" t="s">
        <v>156</v>
      </c>
      <c r="AO187" t="s">
        <v>155</v>
      </c>
      <c r="AP187" t="s">
        <v>155</v>
      </c>
      <c r="AQ187" t="s">
        <v>156</v>
      </c>
      <c r="AR187" t="s">
        <v>156</v>
      </c>
      <c r="AS187" t="s">
        <v>155</v>
      </c>
      <c r="AT187" t="s">
        <v>156</v>
      </c>
      <c r="AU187" t="s">
        <v>156</v>
      </c>
      <c r="AV187" t="s">
        <v>156</v>
      </c>
      <c r="AW187" t="s">
        <v>155</v>
      </c>
      <c r="AX187" t="s">
        <v>156</v>
      </c>
      <c r="AY187" t="s">
        <v>156</v>
      </c>
      <c r="AZ187" t="s">
        <v>156</v>
      </c>
      <c r="BA187" t="s">
        <v>156</v>
      </c>
      <c r="BB187" t="s">
        <v>156</v>
      </c>
      <c r="BC187" t="s">
        <v>156</v>
      </c>
      <c r="BD187" t="s">
        <v>156</v>
      </c>
      <c r="BE187" t="s">
        <v>155</v>
      </c>
      <c r="BF187" t="s">
        <v>156</v>
      </c>
      <c r="BG187" t="s">
        <v>156</v>
      </c>
      <c r="CB187">
        <v>2.6202956912505599</v>
      </c>
      <c r="CC187">
        <v>419.32276079351902</v>
      </c>
      <c r="CD187">
        <v>2.35749295935952</v>
      </c>
      <c r="CE187">
        <v>3.8263050683210098</v>
      </c>
      <c r="CF187">
        <v>4.0791916345354098</v>
      </c>
      <c r="CG187">
        <v>2.0116914830529402</v>
      </c>
      <c r="CH187">
        <v>3.15184370960805</v>
      </c>
      <c r="CI187">
        <v>3.6643574098205098</v>
      </c>
      <c r="CJ187">
        <v>2.3346648602228699</v>
      </c>
      <c r="CK187">
        <v>2.0943217047443201</v>
      </c>
      <c r="CL187">
        <v>2.07343048453611</v>
      </c>
      <c r="CM187">
        <v>3.7934954879321898</v>
      </c>
      <c r="CN187">
        <v>1.8442206623744499</v>
      </c>
      <c r="CO187">
        <v>2.0423864634905899</v>
      </c>
      <c r="CP187">
        <v>1.8826497124193</v>
      </c>
      <c r="CQ187">
        <v>1.94141258251266</v>
      </c>
      <c r="CR187">
        <v>1.81578631033002</v>
      </c>
      <c r="CS187">
        <v>2.5827820615271002</v>
      </c>
      <c r="CT187">
        <v>1.5159358600447499</v>
      </c>
      <c r="CU187">
        <v>5.7561898028763201</v>
      </c>
      <c r="CV187">
        <v>1.94141258251266</v>
      </c>
      <c r="CW187">
        <v>1.6963429847904099</v>
      </c>
    </row>
    <row r="188" spans="1:101" x14ac:dyDescent="0.25">
      <c r="A188" s="6">
        <v>187</v>
      </c>
      <c r="B188" s="6">
        <v>1</v>
      </c>
      <c r="C188" t="s">
        <v>112</v>
      </c>
      <c r="D188" t="s">
        <v>167</v>
      </c>
      <c r="E188" t="s">
        <v>168</v>
      </c>
      <c r="F188">
        <v>-1</v>
      </c>
      <c r="G188">
        <v>23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299</v>
      </c>
      <c r="P188">
        <v>45.440274991142097</v>
      </c>
      <c r="Q188">
        <v>-1</v>
      </c>
      <c r="R188">
        <v>-1</v>
      </c>
      <c r="S188">
        <v>-1</v>
      </c>
      <c r="T188">
        <v>0.47299999999999998</v>
      </c>
      <c r="U188">
        <v>0.79900000000000004</v>
      </c>
      <c r="V188">
        <v>0.52800000000000002</v>
      </c>
      <c r="W188">
        <v>0.6</v>
      </c>
      <c r="X188">
        <v>0.74099999999999999</v>
      </c>
      <c r="Y188">
        <v>0.52800000000000002</v>
      </c>
      <c r="Z188">
        <v>0.67400000000000004</v>
      </c>
      <c r="AA188">
        <v>0.81699999999999995</v>
      </c>
      <c r="AB188">
        <v>0.63</v>
      </c>
      <c r="AC188">
        <v>0.47299999999999998</v>
      </c>
      <c r="AD188">
        <v>0.46200000000000002</v>
      </c>
      <c r="AE188">
        <v>0.46300000000000002</v>
      </c>
      <c r="AF188">
        <v>0.496</v>
      </c>
      <c r="AG188">
        <v>0.49299999999999999</v>
      </c>
      <c r="AH188">
        <v>0.60599999999999998</v>
      </c>
      <c r="AI188">
        <v>0.436</v>
      </c>
      <c r="AJ188">
        <v>0.47</v>
      </c>
      <c r="AK188">
        <v>0.50700000000000001</v>
      </c>
      <c r="AL188">
        <v>0.48799999999999999</v>
      </c>
      <c r="AM188">
        <v>0.45200000000000001</v>
      </c>
      <c r="AN188" t="s">
        <v>169</v>
      </c>
      <c r="AO188" t="s">
        <v>169</v>
      </c>
      <c r="AP188" t="s">
        <v>169</v>
      </c>
      <c r="AQ188" t="s">
        <v>169</v>
      </c>
      <c r="AR188" t="s">
        <v>169</v>
      </c>
      <c r="AS188" t="s">
        <v>169</v>
      </c>
      <c r="AT188" t="s">
        <v>169</v>
      </c>
      <c r="AU188" t="s">
        <v>169</v>
      </c>
      <c r="AV188" t="s">
        <v>169</v>
      </c>
      <c r="AW188" t="s">
        <v>169</v>
      </c>
      <c r="AX188" t="s">
        <v>169</v>
      </c>
      <c r="AY188" t="s">
        <v>169</v>
      </c>
      <c r="AZ188" t="s">
        <v>169</v>
      </c>
      <c r="BA188" t="s">
        <v>169</v>
      </c>
      <c r="BB188" t="s">
        <v>169</v>
      </c>
      <c r="BC188" t="s">
        <v>169</v>
      </c>
      <c r="BD188" t="s">
        <v>169</v>
      </c>
      <c r="BE188" t="s">
        <v>169</v>
      </c>
      <c r="BF188" t="s">
        <v>169</v>
      </c>
      <c r="BG188" t="s">
        <v>169</v>
      </c>
      <c r="CB188">
        <v>1.1749233916458746</v>
      </c>
      <c r="CC188">
        <v>53.388842009913887</v>
      </c>
      <c r="CD188">
        <v>0.70537259208184</v>
      </c>
      <c r="CE188">
        <v>2.7423594883312301</v>
      </c>
      <c r="CF188">
        <v>0.93788607013383296</v>
      </c>
      <c r="CG188">
        <v>1.3059903403266699</v>
      </c>
      <c r="CH188">
        <v>2.2560950096444401</v>
      </c>
      <c r="CI188">
        <v>0.93788607013383296</v>
      </c>
      <c r="CJ188">
        <v>1.7650514051625701</v>
      </c>
      <c r="CK188">
        <v>2.9052489483079</v>
      </c>
      <c r="CL188">
        <v>1.48190461083665</v>
      </c>
      <c r="CM188">
        <v>0.70537259208184</v>
      </c>
      <c r="CN188">
        <v>0.66366809947412098</v>
      </c>
      <c r="CO188">
        <v>0.66739506805534199</v>
      </c>
      <c r="CP188">
        <v>0.79767460938884804</v>
      </c>
      <c r="CQ188">
        <v>0.78523879359677495</v>
      </c>
      <c r="CR188">
        <v>1.34008492839782</v>
      </c>
      <c r="CS188">
        <v>0.57121319810948101</v>
      </c>
      <c r="CT188">
        <v>0.69384374627834899</v>
      </c>
      <c r="CU188">
        <v>0.84430398851986499</v>
      </c>
      <c r="CV188">
        <v>0.76477831504652205</v>
      </c>
      <c r="CW188">
        <v>0.62709995900955096</v>
      </c>
    </row>
    <row r="189" spans="1:101" x14ac:dyDescent="0.25">
      <c r="A189" s="6">
        <v>188</v>
      </c>
      <c r="B189" s="6">
        <v>1</v>
      </c>
      <c r="C189" t="s">
        <v>112</v>
      </c>
      <c r="D189" t="s">
        <v>170</v>
      </c>
      <c r="E189" t="s">
        <v>158</v>
      </c>
      <c r="F189">
        <v>-1</v>
      </c>
      <c r="G189">
        <v>3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39</v>
      </c>
      <c r="P189">
        <v>5.9269923901489703</v>
      </c>
      <c r="Q189">
        <v>-1</v>
      </c>
      <c r="R189">
        <v>-1</v>
      </c>
      <c r="S189">
        <v>-1</v>
      </c>
      <c r="T189">
        <v>0.57399999999999995</v>
      </c>
      <c r="U189">
        <v>0.48799999999999999</v>
      </c>
      <c r="V189">
        <v>0.55500000000000005</v>
      </c>
      <c r="AN189" t="s">
        <v>159</v>
      </c>
      <c r="AO189" t="s">
        <v>159</v>
      </c>
      <c r="AP189" t="s">
        <v>159</v>
      </c>
      <c r="CB189">
        <v>0.86918205210384658</v>
      </c>
      <c r="CC189">
        <v>5.151635408473564</v>
      </c>
      <c r="CD189">
        <v>1.02679519789707</v>
      </c>
      <c r="CE189">
        <v>0.64756944532885896</v>
      </c>
      <c r="CF189">
        <v>0.93318151308561104</v>
      </c>
    </row>
    <row r="190" spans="1:101" x14ac:dyDescent="0.25">
      <c r="A190" s="6">
        <v>189</v>
      </c>
      <c r="B190" s="6">
        <v>1</v>
      </c>
      <c r="C190" t="s">
        <v>112</v>
      </c>
      <c r="D190" t="s">
        <v>173</v>
      </c>
      <c r="E190" t="s">
        <v>168</v>
      </c>
      <c r="F190">
        <v>-1</v>
      </c>
      <c r="G190">
        <v>63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819</v>
      </c>
      <c r="P190">
        <v>124.46684019312799</v>
      </c>
      <c r="Q190">
        <v>-1</v>
      </c>
      <c r="R190">
        <v>-1</v>
      </c>
      <c r="S190">
        <v>-1</v>
      </c>
      <c r="T190">
        <v>0.308</v>
      </c>
      <c r="U190">
        <v>0.371</v>
      </c>
      <c r="V190">
        <v>0.48899999999999999</v>
      </c>
      <c r="W190">
        <v>0.75600000000000001</v>
      </c>
      <c r="X190">
        <v>0.81299999999999994</v>
      </c>
      <c r="Y190">
        <v>0.35</v>
      </c>
      <c r="Z190">
        <v>0.38400000000000001</v>
      </c>
      <c r="AA190">
        <v>0.66200000000000003</v>
      </c>
      <c r="AB190">
        <v>0.68100000000000005</v>
      </c>
      <c r="AC190">
        <v>0.498</v>
      </c>
      <c r="AD190">
        <v>0.40300000000000002</v>
      </c>
      <c r="AE190">
        <v>0.42499999999999999</v>
      </c>
      <c r="AF190">
        <v>0.36499999999999999</v>
      </c>
      <c r="AG190">
        <v>0.432</v>
      </c>
      <c r="AH190">
        <v>0.82599999999999996</v>
      </c>
      <c r="AI190">
        <v>0.441</v>
      </c>
      <c r="AJ190">
        <v>0.76800000000000002</v>
      </c>
      <c r="AK190">
        <v>0.54500000000000004</v>
      </c>
      <c r="AL190">
        <v>0.64600000000000002</v>
      </c>
      <c r="AM190">
        <v>0.72599999999999998</v>
      </c>
      <c r="AN190" t="s">
        <v>169</v>
      </c>
      <c r="AO190" t="s">
        <v>169</v>
      </c>
      <c r="AP190" t="s">
        <v>169</v>
      </c>
      <c r="AQ190" t="s">
        <v>169</v>
      </c>
      <c r="AR190" t="s">
        <v>169</v>
      </c>
      <c r="AS190" t="s">
        <v>169</v>
      </c>
      <c r="AT190" t="s">
        <v>169</v>
      </c>
      <c r="AU190" t="s">
        <v>169</v>
      </c>
      <c r="AV190" t="s">
        <v>169</v>
      </c>
      <c r="AW190" t="s">
        <v>169</v>
      </c>
      <c r="AX190" t="s">
        <v>169</v>
      </c>
      <c r="AY190" t="s">
        <v>169</v>
      </c>
      <c r="AZ190" t="s">
        <v>169</v>
      </c>
      <c r="BA190" t="s">
        <v>169</v>
      </c>
      <c r="BB190" t="s">
        <v>169</v>
      </c>
      <c r="BC190" t="s">
        <v>169</v>
      </c>
      <c r="BD190" t="s">
        <v>169</v>
      </c>
      <c r="BE190" t="s">
        <v>169</v>
      </c>
      <c r="BF190" t="s">
        <v>169</v>
      </c>
      <c r="BG190" t="s">
        <v>169</v>
      </c>
      <c r="CB190">
        <v>0.75942557195628591</v>
      </c>
      <c r="CC190">
        <v>94.523301303257867</v>
      </c>
      <c r="CD190">
        <v>4.90315005451714E-2</v>
      </c>
      <c r="CE190">
        <v>0.10264629096422399</v>
      </c>
      <c r="CF190">
        <v>0.30724513202860199</v>
      </c>
      <c r="CG190">
        <v>1.73244863870553</v>
      </c>
      <c r="CH190">
        <v>2.31200253519168</v>
      </c>
      <c r="CI190">
        <v>8.1447728364652805E-2</v>
      </c>
      <c r="CJ190">
        <v>0.11768572867275399</v>
      </c>
      <c r="CK190">
        <v>1.0226689213157001</v>
      </c>
      <c r="CL190">
        <v>1.14425514605038</v>
      </c>
      <c r="CM190">
        <v>0.33031578700438902</v>
      </c>
      <c r="CN190">
        <v>0.14255743517320599</v>
      </c>
      <c r="CO190">
        <v>0.17604872829895499</v>
      </c>
      <c r="CP190">
        <v>9.6212502721381002E-2</v>
      </c>
      <c r="CQ190">
        <v>0.187844859504778</v>
      </c>
      <c r="CR190">
        <v>2.4622924181654402</v>
      </c>
      <c r="CS190">
        <v>0.203868458980625</v>
      </c>
      <c r="CT190">
        <v>1.8442206623744499</v>
      </c>
      <c r="CU190">
        <v>0.47252300153019799</v>
      </c>
      <c r="CV190">
        <v>0.928008462149291</v>
      </c>
      <c r="CW190">
        <v>1.4751875013843101</v>
      </c>
    </row>
    <row r="191" spans="1:101" x14ac:dyDescent="0.25">
      <c r="A191" s="6">
        <v>190</v>
      </c>
      <c r="B191" s="6">
        <v>1</v>
      </c>
      <c r="C191" t="s">
        <v>112</v>
      </c>
      <c r="D191" t="s">
        <v>172</v>
      </c>
      <c r="E191" t="s">
        <v>158</v>
      </c>
      <c r="F191">
        <v>-1</v>
      </c>
      <c r="G191">
        <v>8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104</v>
      </c>
      <c r="P191">
        <v>15.8053130403973</v>
      </c>
      <c r="Q191">
        <v>-1</v>
      </c>
      <c r="R191">
        <v>-1</v>
      </c>
      <c r="S191">
        <v>-1</v>
      </c>
      <c r="T191">
        <v>0.317</v>
      </c>
      <c r="U191">
        <v>0.373</v>
      </c>
      <c r="V191">
        <v>0.34699999999999998</v>
      </c>
      <c r="W191">
        <v>0.39500000000000002</v>
      </c>
      <c r="X191">
        <v>0.35799999999999998</v>
      </c>
      <c r="Y191">
        <v>0.25800000000000001</v>
      </c>
      <c r="Z191">
        <v>0.39500000000000002</v>
      </c>
      <c r="AA191">
        <v>0.30399999999999999</v>
      </c>
      <c r="AN191" t="s">
        <v>159</v>
      </c>
      <c r="AO191" t="s">
        <v>159</v>
      </c>
      <c r="AP191" t="s">
        <v>159</v>
      </c>
      <c r="AQ191" t="s">
        <v>159</v>
      </c>
      <c r="AR191" t="s">
        <v>159</v>
      </c>
      <c r="AS191" t="s">
        <v>159</v>
      </c>
      <c r="AT191" t="s">
        <v>159</v>
      </c>
      <c r="AU191" t="s">
        <v>159</v>
      </c>
      <c r="CB191">
        <v>1.0401992655872574</v>
      </c>
      <c r="CC191">
        <v>16.440675016997972</v>
      </c>
      <c r="CD191">
        <v>0.82316437806424703</v>
      </c>
      <c r="CE191">
        <v>1.2423099951345</v>
      </c>
      <c r="CF191">
        <v>1.03476136761283</v>
      </c>
      <c r="CG191">
        <v>1.4361416809524801</v>
      </c>
      <c r="CH191">
        <v>1.1197748068397</v>
      </c>
      <c r="CI191">
        <v>0.488882499367434</v>
      </c>
      <c r="CJ191">
        <v>1.4361416809524801</v>
      </c>
      <c r="CK191">
        <v>0.74041771577438797</v>
      </c>
    </row>
    <row r="192" spans="1:101" x14ac:dyDescent="0.25">
      <c r="A192" s="6">
        <v>191</v>
      </c>
      <c r="B192" s="6">
        <v>1</v>
      </c>
      <c r="C192" t="s">
        <v>112</v>
      </c>
      <c r="D192" t="s">
        <v>181</v>
      </c>
      <c r="E192" t="s">
        <v>154</v>
      </c>
      <c r="F192">
        <v>-1</v>
      </c>
      <c r="G192">
        <v>0</v>
      </c>
      <c r="H192">
        <v>4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52</v>
      </c>
      <c r="P192">
        <v>7.9026565201986303</v>
      </c>
      <c r="Q192">
        <v>-1</v>
      </c>
      <c r="R192">
        <v>-1</v>
      </c>
      <c r="S192">
        <v>-1</v>
      </c>
      <c r="T192">
        <v>1.1839999999999999</v>
      </c>
      <c r="U192">
        <v>1.3009999999999999</v>
      </c>
      <c r="V192">
        <v>1.323</v>
      </c>
      <c r="W192">
        <v>1.1579999999999999</v>
      </c>
      <c r="AN192" t="s">
        <v>156</v>
      </c>
      <c r="AO192" t="s">
        <v>156</v>
      </c>
      <c r="AP192" t="s">
        <v>156</v>
      </c>
      <c r="AQ192" t="s">
        <v>156</v>
      </c>
      <c r="CB192">
        <v>8.6458400397018345</v>
      </c>
      <c r="CC192">
        <v>68.32510416234409</v>
      </c>
      <c r="CD192">
        <v>7.5946739793821401</v>
      </c>
      <c r="CE192">
        <v>9.6940760919990296</v>
      </c>
      <c r="CF192">
        <v>10.1243749979927</v>
      </c>
      <c r="CG192">
        <v>7.1702350894334703</v>
      </c>
    </row>
    <row r="193" spans="1:101" x14ac:dyDescent="0.25">
      <c r="A193" s="6">
        <v>192</v>
      </c>
      <c r="B193" s="6">
        <v>1</v>
      </c>
      <c r="C193" t="s">
        <v>115</v>
      </c>
      <c r="D193" t="s">
        <v>181</v>
      </c>
      <c r="E193" t="s">
        <v>154</v>
      </c>
      <c r="F193">
        <v>-1</v>
      </c>
      <c r="G193">
        <v>48</v>
      </c>
      <c r="H193">
        <v>18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1039.5</v>
      </c>
      <c r="P193">
        <v>175.86134822643001</v>
      </c>
      <c r="Q193">
        <v>-1</v>
      </c>
      <c r="R193">
        <v>-1</v>
      </c>
      <c r="S193">
        <v>-1</v>
      </c>
      <c r="T193">
        <v>1.4770000000000001</v>
      </c>
      <c r="U193">
        <v>1.397</v>
      </c>
      <c r="V193">
        <v>1.3080000000000001</v>
      </c>
      <c r="W193">
        <v>1.296</v>
      </c>
      <c r="X193">
        <v>1.3460000000000001</v>
      </c>
      <c r="Y193">
        <v>1.2689999999999999</v>
      </c>
      <c r="Z193">
        <v>1.3919999999999999</v>
      </c>
      <c r="AA193">
        <v>1.42</v>
      </c>
      <c r="AB193">
        <v>1.4079999999999999</v>
      </c>
      <c r="AC193">
        <v>1.415</v>
      </c>
      <c r="AD193">
        <v>1.4039999999999999</v>
      </c>
      <c r="AE193">
        <v>1.4610000000000001</v>
      </c>
      <c r="AF193">
        <v>1.4510000000000001</v>
      </c>
      <c r="AG193">
        <v>1.3959999999999999</v>
      </c>
      <c r="AH193">
        <v>1.3360000000000001</v>
      </c>
      <c r="AI193">
        <v>1.393</v>
      </c>
      <c r="AJ193">
        <v>1.4279999999999999</v>
      </c>
      <c r="AK193">
        <v>1.3</v>
      </c>
      <c r="AL193">
        <v>1.4450000000000001</v>
      </c>
      <c r="AM193">
        <v>1.3340000000000001</v>
      </c>
      <c r="AN193" t="s">
        <v>155</v>
      </c>
      <c r="AO193" t="s">
        <v>155</v>
      </c>
      <c r="AP193" t="s">
        <v>156</v>
      </c>
      <c r="AQ193" t="s">
        <v>156</v>
      </c>
      <c r="AR193" t="s">
        <v>155</v>
      </c>
      <c r="AS193" t="s">
        <v>156</v>
      </c>
      <c r="AT193" t="s">
        <v>155</v>
      </c>
      <c r="AU193" t="s">
        <v>155</v>
      </c>
      <c r="AV193" t="s">
        <v>155</v>
      </c>
      <c r="AW193" t="s">
        <v>155</v>
      </c>
      <c r="AX193" t="s">
        <v>155</v>
      </c>
      <c r="AY193" t="s">
        <v>155</v>
      </c>
      <c r="AZ193" t="s">
        <v>155</v>
      </c>
      <c r="BA193" t="s">
        <v>155</v>
      </c>
      <c r="BB193" t="s">
        <v>155</v>
      </c>
      <c r="BC193" t="s">
        <v>155</v>
      </c>
      <c r="BD193" t="s">
        <v>155</v>
      </c>
      <c r="BE193" t="s">
        <v>156</v>
      </c>
      <c r="BF193" t="s">
        <v>155</v>
      </c>
      <c r="BG193" t="s">
        <v>156</v>
      </c>
      <c r="CB193">
        <v>11.415598297920871</v>
      </c>
      <c r="CC193">
        <v>2007.5625074837039</v>
      </c>
      <c r="CD193">
        <v>13.465537976935501</v>
      </c>
      <c r="CE193">
        <v>11.6570032636586</v>
      </c>
      <c r="CF193">
        <v>9.8297457130007206</v>
      </c>
      <c r="CG193">
        <v>9.5978770043651505</v>
      </c>
      <c r="CH193">
        <v>10.586561659687501</v>
      </c>
      <c r="CI193">
        <v>9.0885338160585007</v>
      </c>
      <c r="CJ193">
        <v>11.549251681087901</v>
      </c>
      <c r="CK193">
        <v>12.160600973481699</v>
      </c>
      <c r="CL193">
        <v>11.896223151757701</v>
      </c>
      <c r="CM193">
        <v>12.050009948483</v>
      </c>
      <c r="CN193">
        <v>11.8088888647749</v>
      </c>
      <c r="CO193">
        <v>13.090983802157201</v>
      </c>
      <c r="CP193">
        <v>12.860173400224401</v>
      </c>
      <c r="CQ193">
        <v>11.6354037937108</v>
      </c>
      <c r="CR193">
        <v>10.3840543560698</v>
      </c>
      <c r="CS193">
        <v>11.5707528649603</v>
      </c>
      <c r="CT193">
        <v>12.338838602365801</v>
      </c>
      <c r="CU193">
        <v>9.6747891458793802</v>
      </c>
      <c r="CV193">
        <v>12.722895209874901</v>
      </c>
      <c r="CW193">
        <v>10.3438407298837</v>
      </c>
    </row>
    <row r="194" spans="1:101" x14ac:dyDescent="0.25">
      <c r="A194" s="6">
        <v>193</v>
      </c>
      <c r="B194" s="6">
        <v>1</v>
      </c>
      <c r="C194" t="s">
        <v>115</v>
      </c>
      <c r="D194" t="s">
        <v>172</v>
      </c>
      <c r="E194" t="s">
        <v>158</v>
      </c>
      <c r="F194">
        <v>-1</v>
      </c>
      <c r="G194">
        <v>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15.75</v>
      </c>
      <c r="P194">
        <v>2.66456588221864</v>
      </c>
      <c r="Q194">
        <v>-1</v>
      </c>
      <c r="R194">
        <v>-1</v>
      </c>
      <c r="S194">
        <v>-1</v>
      </c>
      <c r="T194">
        <v>0.28399999999999997</v>
      </c>
      <c r="AN194" t="s">
        <v>159</v>
      </c>
      <c r="CB194">
        <v>0.62330704450808005</v>
      </c>
      <c r="CC194">
        <v>1.6608426849427653</v>
      </c>
      <c r="CD194">
        <v>0.62330704450808005</v>
      </c>
    </row>
    <row r="195" spans="1:101" x14ac:dyDescent="0.25">
      <c r="A195" s="6">
        <v>194</v>
      </c>
      <c r="B195" s="6">
        <v>1</v>
      </c>
      <c r="C195" t="s">
        <v>115</v>
      </c>
      <c r="D195" t="s">
        <v>173</v>
      </c>
      <c r="E195" t="s">
        <v>168</v>
      </c>
      <c r="F195">
        <v>-1</v>
      </c>
      <c r="G195">
        <v>24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378</v>
      </c>
      <c r="P195">
        <v>63.949581173247402</v>
      </c>
      <c r="Q195">
        <v>-1</v>
      </c>
      <c r="R195">
        <v>-1</v>
      </c>
      <c r="S195">
        <v>-1</v>
      </c>
      <c r="T195">
        <v>0.80700000000000005</v>
      </c>
      <c r="U195">
        <v>0.64700000000000002</v>
      </c>
      <c r="V195">
        <v>0.79</v>
      </c>
      <c r="W195">
        <v>0.83199999999999996</v>
      </c>
      <c r="X195">
        <v>0.77600000000000002</v>
      </c>
      <c r="Y195">
        <v>0.83799999999999997</v>
      </c>
      <c r="Z195">
        <v>0.874</v>
      </c>
      <c r="AA195">
        <v>0.85</v>
      </c>
      <c r="AB195">
        <v>0.82499999999999996</v>
      </c>
      <c r="AC195">
        <v>0.85899999999999999</v>
      </c>
      <c r="AD195">
        <v>0.80800000000000005</v>
      </c>
      <c r="AE195">
        <v>0.69199999999999995</v>
      </c>
      <c r="AF195">
        <v>0.72299999999999998</v>
      </c>
      <c r="AG195">
        <v>0.82899999999999996</v>
      </c>
      <c r="AH195">
        <v>0.86599999999999999</v>
      </c>
      <c r="AI195">
        <v>0.627</v>
      </c>
      <c r="AJ195">
        <v>0.59199999999999997</v>
      </c>
      <c r="AK195">
        <v>0.50700000000000001</v>
      </c>
      <c r="AL195">
        <v>0.75700000000000001</v>
      </c>
      <c r="AM195">
        <v>0.71</v>
      </c>
      <c r="AN195" t="s">
        <v>169</v>
      </c>
      <c r="AO195" t="s">
        <v>169</v>
      </c>
      <c r="AP195" t="s">
        <v>169</v>
      </c>
      <c r="AQ195" t="s">
        <v>169</v>
      </c>
      <c r="AR195" t="s">
        <v>169</v>
      </c>
      <c r="AS195" t="s">
        <v>169</v>
      </c>
      <c r="AT195" t="s">
        <v>169</v>
      </c>
      <c r="AU195" t="s">
        <v>169</v>
      </c>
      <c r="AV195" t="s">
        <v>169</v>
      </c>
      <c r="AW195" t="s">
        <v>169</v>
      </c>
      <c r="AX195" t="s">
        <v>169</v>
      </c>
      <c r="AY195" t="s">
        <v>169</v>
      </c>
      <c r="AZ195" t="s">
        <v>169</v>
      </c>
      <c r="BA195" t="s">
        <v>169</v>
      </c>
      <c r="BB195" t="s">
        <v>169</v>
      </c>
      <c r="BC195" t="s">
        <v>169</v>
      </c>
      <c r="BD195" t="s">
        <v>169</v>
      </c>
      <c r="BE195" t="s">
        <v>169</v>
      </c>
      <c r="BF195" t="s">
        <v>169</v>
      </c>
      <c r="BG195" t="s">
        <v>169</v>
      </c>
      <c r="CB195">
        <v>1.9397253501171066</v>
      </c>
      <c r="CC195">
        <v>124.04462373111964</v>
      </c>
      <c r="CD195">
        <v>2.24500220970608</v>
      </c>
      <c r="CE195">
        <v>0.93372467157604999</v>
      </c>
      <c r="CF195">
        <v>2.0630435335392199</v>
      </c>
      <c r="CG195">
        <v>2.5340690539667698</v>
      </c>
      <c r="CH195">
        <v>1.92167470408387</v>
      </c>
      <c r="CI195">
        <v>2.6073995961352701</v>
      </c>
      <c r="CJ195">
        <v>3.0812662535889501</v>
      </c>
      <c r="CK195">
        <v>2.7588111657657999</v>
      </c>
      <c r="CL195">
        <v>2.4504791728531501</v>
      </c>
      <c r="CM195">
        <v>2.8766147326331</v>
      </c>
      <c r="CN195">
        <v>2.2560667360250299</v>
      </c>
      <c r="CO195">
        <v>1.2194107938735299</v>
      </c>
      <c r="CP195">
        <v>1.4511352112182201</v>
      </c>
      <c r="CQ195">
        <v>2.4979878762977998</v>
      </c>
      <c r="CR195">
        <v>2.97080995998251</v>
      </c>
      <c r="CS195">
        <v>0.82429179530200902</v>
      </c>
      <c r="CT195">
        <v>0.65621479182391396</v>
      </c>
      <c r="CU195">
        <v>0.35465855356317999</v>
      </c>
      <c r="CV195">
        <v>1.7415641715627099</v>
      </c>
      <c r="CW195">
        <v>1.35028201884497</v>
      </c>
    </row>
    <row r="196" spans="1:101" x14ac:dyDescent="0.25">
      <c r="A196" s="6">
        <v>195</v>
      </c>
      <c r="B196" s="6">
        <v>1</v>
      </c>
      <c r="C196" t="s">
        <v>115</v>
      </c>
      <c r="D196" t="s">
        <v>170</v>
      </c>
      <c r="E196" t="s">
        <v>158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15.75</v>
      </c>
      <c r="P196">
        <v>2.66456588221864</v>
      </c>
      <c r="Q196">
        <v>-1</v>
      </c>
      <c r="R196">
        <v>-1</v>
      </c>
      <c r="S196">
        <v>-1</v>
      </c>
      <c r="T196">
        <v>0.56499999999999995</v>
      </c>
      <c r="AN196" t="s">
        <v>159</v>
      </c>
      <c r="CB196">
        <v>0.98172905917248998</v>
      </c>
      <c r="CC196">
        <v>2.615881756653621</v>
      </c>
      <c r="CD196">
        <v>0.98172905917248998</v>
      </c>
    </row>
    <row r="197" spans="1:101" x14ac:dyDescent="0.25">
      <c r="A197" s="6">
        <v>196</v>
      </c>
      <c r="B197" s="6">
        <v>1</v>
      </c>
      <c r="C197" t="s">
        <v>115</v>
      </c>
      <c r="D197" t="s">
        <v>166</v>
      </c>
      <c r="E197" t="s">
        <v>154</v>
      </c>
      <c r="F197">
        <v>-1</v>
      </c>
      <c r="G197">
        <v>18</v>
      </c>
      <c r="H197">
        <v>69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1370.25</v>
      </c>
      <c r="P197">
        <v>231.81723175302201</v>
      </c>
      <c r="Q197">
        <v>-1</v>
      </c>
      <c r="R197">
        <v>-1</v>
      </c>
      <c r="S197">
        <v>-1</v>
      </c>
      <c r="T197">
        <v>0.87</v>
      </c>
      <c r="U197">
        <v>0.86399999999999999</v>
      </c>
      <c r="V197">
        <v>0.79100000000000004</v>
      </c>
      <c r="W197">
        <v>0.81299999999999994</v>
      </c>
      <c r="X197">
        <v>0.80900000000000005</v>
      </c>
      <c r="Y197">
        <v>0.90700000000000003</v>
      </c>
      <c r="Z197">
        <v>0.81299999999999994</v>
      </c>
      <c r="AA197">
        <v>0.83299999999999996</v>
      </c>
      <c r="AB197">
        <v>0.83499999999999996</v>
      </c>
      <c r="AC197">
        <v>0.84499999999999997</v>
      </c>
      <c r="AD197">
        <v>0.86599999999999999</v>
      </c>
      <c r="AE197">
        <v>0.754</v>
      </c>
      <c r="AF197">
        <v>0.879</v>
      </c>
      <c r="AG197">
        <v>0.85699999999999998</v>
      </c>
      <c r="AH197">
        <v>0.84499999999999997</v>
      </c>
      <c r="AI197">
        <v>0.77500000000000002</v>
      </c>
      <c r="AJ197">
        <v>1.0760000000000001</v>
      </c>
      <c r="AK197">
        <v>0.78900000000000003</v>
      </c>
      <c r="AL197">
        <v>0.77500000000000002</v>
      </c>
      <c r="AM197">
        <v>1.006</v>
      </c>
      <c r="AN197" t="s">
        <v>156</v>
      </c>
      <c r="AO197" t="s">
        <v>156</v>
      </c>
      <c r="AP197" t="s">
        <v>156</v>
      </c>
      <c r="AQ197" t="s">
        <v>156</v>
      </c>
      <c r="AR197" t="s">
        <v>156</v>
      </c>
      <c r="AS197" t="s">
        <v>156</v>
      </c>
      <c r="AT197" t="s">
        <v>156</v>
      </c>
      <c r="AU197" t="s">
        <v>156</v>
      </c>
      <c r="AV197" t="s">
        <v>156</v>
      </c>
      <c r="AW197" t="s">
        <v>156</v>
      </c>
      <c r="AX197" t="s">
        <v>156</v>
      </c>
      <c r="AY197" t="s">
        <v>156</v>
      </c>
      <c r="AZ197" t="s">
        <v>156</v>
      </c>
      <c r="BA197" t="s">
        <v>156</v>
      </c>
      <c r="BB197" t="s">
        <v>156</v>
      </c>
      <c r="BC197" t="s">
        <v>156</v>
      </c>
      <c r="BD197" t="s">
        <v>155</v>
      </c>
      <c r="BE197" t="s">
        <v>156</v>
      </c>
      <c r="BF197" t="s">
        <v>156</v>
      </c>
      <c r="BG197" t="s">
        <v>155</v>
      </c>
      <c r="CB197">
        <v>2.8996898283168635</v>
      </c>
      <c r="CC197">
        <v>672.19806894281101</v>
      </c>
      <c r="CD197">
        <v>3.0256610383557998</v>
      </c>
      <c r="CE197">
        <v>2.9436650911415101</v>
      </c>
      <c r="CF197">
        <v>2.07343048453611</v>
      </c>
      <c r="CG197">
        <v>2.31200253519168</v>
      </c>
      <c r="CH197">
        <v>2.2671720075279098</v>
      </c>
      <c r="CI197">
        <v>3.56968397476356</v>
      </c>
      <c r="CJ197">
        <v>2.31200253519168</v>
      </c>
      <c r="CK197">
        <v>2.54618230447532</v>
      </c>
      <c r="CL197">
        <v>2.5705387058146498</v>
      </c>
      <c r="CM197">
        <v>2.6949454232666099</v>
      </c>
      <c r="CN197">
        <v>2.97080995998251</v>
      </c>
      <c r="CO197">
        <v>1.7143247022144501</v>
      </c>
      <c r="CP197">
        <v>3.15184370960805</v>
      </c>
      <c r="CQ197">
        <v>2.850117094637</v>
      </c>
      <c r="CR197">
        <v>2.6949454232666099</v>
      </c>
      <c r="CS197">
        <v>1.91186225366874</v>
      </c>
      <c r="CT197">
        <v>7.0343432609239303</v>
      </c>
      <c r="CU197">
        <v>2.05269555890222</v>
      </c>
      <c r="CV197">
        <v>1.91186225366874</v>
      </c>
      <c r="CW197">
        <v>5.3857082492001904</v>
      </c>
    </row>
    <row r="198" spans="1:101" x14ac:dyDescent="0.25">
      <c r="A198" s="6">
        <v>197</v>
      </c>
      <c r="B198" s="6">
        <v>1</v>
      </c>
      <c r="C198" t="s">
        <v>115</v>
      </c>
      <c r="D198" t="s">
        <v>177</v>
      </c>
      <c r="E198" t="s">
        <v>168</v>
      </c>
      <c r="F198">
        <v>-1</v>
      </c>
      <c r="G198">
        <v>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15.75</v>
      </c>
      <c r="P198">
        <v>2.66456588221864</v>
      </c>
      <c r="Q198">
        <v>-1</v>
      </c>
      <c r="R198">
        <v>-1</v>
      </c>
      <c r="S198">
        <v>-1</v>
      </c>
      <c r="T198">
        <v>0.307</v>
      </c>
      <c r="AN198" t="s">
        <v>169</v>
      </c>
      <c r="CB198">
        <v>0.230259002383148</v>
      </c>
      <c r="CC198">
        <v>0.61354028182383669</v>
      </c>
      <c r="CD198">
        <v>0.230259002383148</v>
      </c>
    </row>
    <row r="199" spans="1:101" x14ac:dyDescent="0.25">
      <c r="A199" s="6">
        <v>198</v>
      </c>
      <c r="B199" s="6">
        <v>1</v>
      </c>
      <c r="C199" t="s">
        <v>115</v>
      </c>
      <c r="D199" t="s">
        <v>184</v>
      </c>
      <c r="E199" t="s">
        <v>154</v>
      </c>
      <c r="F199">
        <v>-1</v>
      </c>
      <c r="G199">
        <v>1</v>
      </c>
      <c r="H199">
        <v>0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15.75</v>
      </c>
      <c r="P199">
        <v>2.66456588221864</v>
      </c>
      <c r="Q199">
        <v>-1</v>
      </c>
      <c r="R199">
        <v>-1</v>
      </c>
      <c r="S199">
        <v>-1</v>
      </c>
      <c r="T199">
        <v>0.55500000000000005</v>
      </c>
      <c r="AN199" t="s">
        <v>155</v>
      </c>
      <c r="CB199">
        <v>1.06720303710644</v>
      </c>
      <c r="CC199">
        <v>2.8436328020739334</v>
      </c>
      <c r="CD199">
        <v>1.06720303710644</v>
      </c>
    </row>
    <row r="200" spans="1:101" x14ac:dyDescent="0.25">
      <c r="A200" s="6">
        <v>199</v>
      </c>
      <c r="B200" s="6">
        <v>1</v>
      </c>
      <c r="C200" t="s">
        <v>115</v>
      </c>
      <c r="D200" t="s">
        <v>161</v>
      </c>
      <c r="E200" t="s">
        <v>154</v>
      </c>
      <c r="F200">
        <v>-1</v>
      </c>
      <c r="G200">
        <v>1</v>
      </c>
      <c r="H200">
        <v>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31.5</v>
      </c>
      <c r="P200">
        <v>5.32913176443728</v>
      </c>
      <c r="Q200">
        <v>-1</v>
      </c>
      <c r="R200">
        <v>-1</v>
      </c>
      <c r="S200">
        <v>-1</v>
      </c>
      <c r="T200">
        <v>0.97399999999999998</v>
      </c>
      <c r="U200">
        <v>0.94299999999999995</v>
      </c>
      <c r="AN200" t="s">
        <v>155</v>
      </c>
      <c r="AO200" t="s">
        <v>156</v>
      </c>
      <c r="CB200">
        <v>4.3962824996329299</v>
      </c>
      <c r="CC200">
        <v>23.428368714233571</v>
      </c>
      <c r="CD200">
        <v>4.5803210955642601</v>
      </c>
      <c r="CE200">
        <v>4.2122439037015997</v>
      </c>
    </row>
    <row r="201" spans="1:101" x14ac:dyDescent="0.25">
      <c r="A201" s="6">
        <v>200</v>
      </c>
      <c r="B201" s="6">
        <v>1</v>
      </c>
      <c r="C201" t="s">
        <v>115</v>
      </c>
      <c r="D201" t="s">
        <v>186</v>
      </c>
      <c r="E201" t="s">
        <v>154</v>
      </c>
      <c r="F201">
        <v>-1</v>
      </c>
      <c r="G201">
        <v>8</v>
      </c>
      <c r="H201">
        <v>6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220.5</v>
      </c>
      <c r="P201">
        <v>37.303922351060997</v>
      </c>
      <c r="Q201">
        <v>-1</v>
      </c>
      <c r="R201">
        <v>-1</v>
      </c>
      <c r="S201">
        <v>-1</v>
      </c>
      <c r="T201">
        <v>2.4529999999999998</v>
      </c>
      <c r="U201">
        <v>2.496</v>
      </c>
      <c r="V201">
        <v>2.3159999999999998</v>
      </c>
      <c r="W201">
        <v>2.3839999999999999</v>
      </c>
      <c r="X201">
        <v>2.153</v>
      </c>
      <c r="Y201">
        <v>2.3380000000000001</v>
      </c>
      <c r="Z201">
        <v>2.3679999999999999</v>
      </c>
      <c r="AA201">
        <v>2.13</v>
      </c>
      <c r="AB201">
        <v>2.3079999999999998</v>
      </c>
      <c r="AC201">
        <v>2.5259999999999998</v>
      </c>
      <c r="AD201">
        <v>2.3210000000000002</v>
      </c>
      <c r="AE201">
        <v>2.3849999999999998</v>
      </c>
      <c r="AF201">
        <v>2.524</v>
      </c>
      <c r="AG201">
        <v>2.548</v>
      </c>
      <c r="AN201" t="s">
        <v>155</v>
      </c>
      <c r="AO201" t="s">
        <v>155</v>
      </c>
      <c r="AP201" t="s">
        <v>156</v>
      </c>
      <c r="AQ201" t="s">
        <v>155</v>
      </c>
      <c r="AR201" t="s">
        <v>156</v>
      </c>
      <c r="AS201" t="s">
        <v>155</v>
      </c>
      <c r="AT201" t="s">
        <v>156</v>
      </c>
      <c r="AU201" t="s">
        <v>156</v>
      </c>
      <c r="AV201" t="s">
        <v>155</v>
      </c>
      <c r="AW201" t="s">
        <v>155</v>
      </c>
      <c r="AX201" t="s">
        <v>156</v>
      </c>
      <c r="AY201" t="s">
        <v>156</v>
      </c>
      <c r="AZ201" t="s">
        <v>155</v>
      </c>
      <c r="BA201" t="s">
        <v>155</v>
      </c>
      <c r="CB201">
        <v>46.33836592714654</v>
      </c>
      <c r="CC201">
        <v>1728.6028044213251</v>
      </c>
      <c r="CD201">
        <v>50.100824851934298</v>
      </c>
      <c r="CE201">
        <v>52.407288586354497</v>
      </c>
      <c r="CF201">
        <v>43.1718921861697</v>
      </c>
      <c r="CG201">
        <v>46.531967543081301</v>
      </c>
      <c r="CH201">
        <v>35.736520375702199</v>
      </c>
      <c r="CI201">
        <v>44.242076147199299</v>
      </c>
      <c r="CJ201">
        <v>45.727433220449697</v>
      </c>
      <c r="CK201">
        <v>34.756128892909999</v>
      </c>
      <c r="CL201">
        <v>42.786716531099103</v>
      </c>
      <c r="CM201">
        <v>54.0543429778769</v>
      </c>
      <c r="CN201">
        <v>43.413703915510297</v>
      </c>
      <c r="CO201">
        <v>46.582537169214397</v>
      </c>
      <c r="CP201">
        <v>53.943564958835303</v>
      </c>
      <c r="CQ201">
        <v>55.282125623714599</v>
      </c>
    </row>
    <row r="202" spans="1:101" x14ac:dyDescent="0.25">
      <c r="A202" s="6">
        <v>201</v>
      </c>
      <c r="B202" s="6">
        <v>1</v>
      </c>
      <c r="C202" t="s">
        <v>117</v>
      </c>
      <c r="D202" t="s">
        <v>161</v>
      </c>
      <c r="E202" t="s">
        <v>154</v>
      </c>
      <c r="F202">
        <v>-1</v>
      </c>
      <c r="G202">
        <v>3</v>
      </c>
      <c r="H202">
        <v>0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45</v>
      </c>
      <c r="P202">
        <v>9.8412537810165794</v>
      </c>
      <c r="Q202">
        <v>-1</v>
      </c>
      <c r="R202">
        <v>-1</v>
      </c>
      <c r="S202">
        <v>-1</v>
      </c>
      <c r="T202">
        <v>0.98099999999999998</v>
      </c>
      <c r="U202">
        <v>1.0349999999999999</v>
      </c>
      <c r="V202">
        <v>1.08</v>
      </c>
      <c r="AN202" t="s">
        <v>155</v>
      </c>
      <c r="AO202" t="s">
        <v>155</v>
      </c>
      <c r="AP202" t="s">
        <v>155</v>
      </c>
      <c r="CB202">
        <v>5.3374099385472107</v>
      </c>
      <c r="CC202">
        <v>52.526805738563205</v>
      </c>
      <c r="CD202">
        <v>4.6660668367820897</v>
      </c>
      <c r="CE202">
        <v>5.3607275091850601</v>
      </c>
      <c r="CF202">
        <v>5.9854354696744796</v>
      </c>
    </row>
    <row r="203" spans="1:101" x14ac:dyDescent="0.25">
      <c r="A203" s="6">
        <v>202</v>
      </c>
      <c r="B203" s="6">
        <v>1</v>
      </c>
      <c r="C203" t="s">
        <v>117</v>
      </c>
      <c r="D203" t="s">
        <v>172</v>
      </c>
      <c r="E203" t="s">
        <v>158</v>
      </c>
      <c r="F203">
        <v>-1</v>
      </c>
      <c r="G203">
        <v>4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60</v>
      </c>
      <c r="P203">
        <v>13.121671708022101</v>
      </c>
      <c r="Q203">
        <v>-1</v>
      </c>
      <c r="R203">
        <v>-1</v>
      </c>
      <c r="S203">
        <v>-1</v>
      </c>
      <c r="T203">
        <v>0.30399999999999999</v>
      </c>
      <c r="U203">
        <v>0.29399999999999998</v>
      </c>
      <c r="V203">
        <v>0.28499999999999998</v>
      </c>
      <c r="W203">
        <v>0.28699999999999998</v>
      </c>
      <c r="AN203" t="s">
        <v>159</v>
      </c>
      <c r="AO203" t="s">
        <v>159</v>
      </c>
      <c r="AP203" t="s">
        <v>159</v>
      </c>
      <c r="AQ203" t="s">
        <v>159</v>
      </c>
      <c r="CB203">
        <v>0.67243286437225103</v>
      </c>
      <c r="CC203">
        <v>8.8234432919776289</v>
      </c>
      <c r="CD203">
        <v>0.74041771577438797</v>
      </c>
      <c r="CE203">
        <v>0.68033902120397705</v>
      </c>
      <c r="CF203">
        <v>0.628874710985174</v>
      </c>
      <c r="CG203">
        <v>0.64010000952546497</v>
      </c>
    </row>
    <row r="204" spans="1:101" x14ac:dyDescent="0.25">
      <c r="A204" s="6">
        <v>203</v>
      </c>
      <c r="B204" s="6">
        <v>1</v>
      </c>
      <c r="C204" t="s">
        <v>117</v>
      </c>
      <c r="D204" t="s">
        <v>186</v>
      </c>
      <c r="E204" t="s">
        <v>154</v>
      </c>
      <c r="F204">
        <v>-1</v>
      </c>
      <c r="G204">
        <v>6</v>
      </c>
      <c r="H204">
        <v>3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135</v>
      </c>
      <c r="P204">
        <v>29.523761343049799</v>
      </c>
      <c r="Q204">
        <v>-1</v>
      </c>
      <c r="R204">
        <v>-1</v>
      </c>
      <c r="S204">
        <v>-1</v>
      </c>
      <c r="T204">
        <v>2.4409999999999998</v>
      </c>
      <c r="U204">
        <v>2.2770000000000001</v>
      </c>
      <c r="V204">
        <v>2.5110000000000001</v>
      </c>
      <c r="W204">
        <v>2.2949999999999999</v>
      </c>
      <c r="X204">
        <v>2.41</v>
      </c>
      <c r="Y204">
        <v>2.3140000000000001</v>
      </c>
      <c r="Z204">
        <v>2.5390000000000001</v>
      </c>
      <c r="AA204">
        <v>2.3519999999999999</v>
      </c>
      <c r="AB204">
        <v>2.6720000000000002</v>
      </c>
      <c r="AN204" t="s">
        <v>155</v>
      </c>
      <c r="AO204" t="s">
        <v>155</v>
      </c>
      <c r="AP204" t="s">
        <v>155</v>
      </c>
      <c r="AQ204" t="s">
        <v>156</v>
      </c>
      <c r="AR204" t="s">
        <v>155</v>
      </c>
      <c r="AS204" t="s">
        <v>156</v>
      </c>
      <c r="AT204" t="s">
        <v>155</v>
      </c>
      <c r="AU204" t="s">
        <v>156</v>
      </c>
      <c r="AV204" t="s">
        <v>155</v>
      </c>
      <c r="CB204">
        <v>48.81550677158026</v>
      </c>
      <c r="CC204">
        <v>1441.217371764167</v>
      </c>
      <c r="CD204">
        <v>49.468503778455201</v>
      </c>
      <c r="CE204">
        <v>41.314117041293798</v>
      </c>
      <c r="CF204">
        <v>53.226904790497798</v>
      </c>
      <c r="CG204">
        <v>42.165319260707598</v>
      </c>
      <c r="CH204">
        <v>47.857759895796697</v>
      </c>
      <c r="CI204">
        <v>43.0753995700396</v>
      </c>
      <c r="CJ204">
        <v>54.777804473455603</v>
      </c>
      <c r="CK204">
        <v>44.931495956320802</v>
      </c>
      <c r="CL204">
        <v>62.522256177655201</v>
      </c>
    </row>
    <row r="205" spans="1:101" x14ac:dyDescent="0.25">
      <c r="A205" s="6">
        <v>204</v>
      </c>
      <c r="B205" s="6">
        <v>1</v>
      </c>
      <c r="C205" t="s">
        <v>117</v>
      </c>
      <c r="D205" t="s">
        <v>166</v>
      </c>
      <c r="E205" t="s">
        <v>154</v>
      </c>
      <c r="F205">
        <v>-1</v>
      </c>
      <c r="G205">
        <v>2</v>
      </c>
      <c r="H205">
        <v>38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600</v>
      </c>
      <c r="P205">
        <v>131.216717080221</v>
      </c>
      <c r="Q205">
        <v>-1</v>
      </c>
      <c r="R205">
        <v>-1</v>
      </c>
      <c r="S205">
        <v>-1</v>
      </c>
      <c r="T205">
        <v>0.75900000000000001</v>
      </c>
      <c r="U205">
        <v>0.81</v>
      </c>
      <c r="V205">
        <v>0.81399999999999995</v>
      </c>
      <c r="W205">
        <v>0.80500000000000005</v>
      </c>
      <c r="X205">
        <v>0.81200000000000006</v>
      </c>
      <c r="Y205">
        <v>0.81499999999999995</v>
      </c>
      <c r="Z205">
        <v>0.86299999999999999</v>
      </c>
      <c r="AA205">
        <v>0.78100000000000003</v>
      </c>
      <c r="AB205">
        <v>0.83599999999999997</v>
      </c>
      <c r="AC205">
        <v>0.81699999999999995</v>
      </c>
      <c r="AD205">
        <v>0.86299999999999999</v>
      </c>
      <c r="AE205">
        <v>0.83799999999999997</v>
      </c>
      <c r="AF205">
        <v>0.86299999999999999</v>
      </c>
      <c r="AG205">
        <v>0.85399999999999998</v>
      </c>
      <c r="AH205">
        <v>0.80600000000000005</v>
      </c>
      <c r="AI205">
        <v>0.76800000000000002</v>
      </c>
      <c r="AJ205">
        <v>0.81399999999999995</v>
      </c>
      <c r="AK205">
        <v>0.85299999999999998</v>
      </c>
      <c r="AL205">
        <v>0.81200000000000006</v>
      </c>
      <c r="AM205">
        <v>0.79</v>
      </c>
      <c r="AN205" t="s">
        <v>156</v>
      </c>
      <c r="AO205" t="s">
        <v>156</v>
      </c>
      <c r="AP205" t="s">
        <v>156</v>
      </c>
      <c r="AQ205" t="s">
        <v>156</v>
      </c>
      <c r="AR205" t="s">
        <v>156</v>
      </c>
      <c r="AS205" t="s">
        <v>156</v>
      </c>
      <c r="AT205" t="s">
        <v>156</v>
      </c>
      <c r="AU205" t="s">
        <v>156</v>
      </c>
      <c r="AV205" t="s">
        <v>156</v>
      </c>
      <c r="AW205" t="s">
        <v>156</v>
      </c>
      <c r="AX205" t="s">
        <v>156</v>
      </c>
      <c r="AY205" t="s">
        <v>156</v>
      </c>
      <c r="AZ205" t="s">
        <v>156</v>
      </c>
      <c r="BA205" t="s">
        <v>156</v>
      </c>
      <c r="BB205" t="s">
        <v>156</v>
      </c>
      <c r="BC205" t="s">
        <v>156</v>
      </c>
      <c r="BD205" t="s">
        <v>156</v>
      </c>
      <c r="BE205" t="s">
        <v>156</v>
      </c>
      <c r="BF205" t="s">
        <v>156</v>
      </c>
      <c r="BG205" t="s">
        <v>156</v>
      </c>
      <c r="CB205">
        <v>2.3951532407363549</v>
      </c>
      <c r="CC205">
        <v>314.28414515347674</v>
      </c>
      <c r="CD205">
        <v>1.759902832469</v>
      </c>
      <c r="CE205">
        <v>2.27831812361593</v>
      </c>
      <c r="CF205">
        <v>2.3233130260173298</v>
      </c>
      <c r="CG205">
        <v>2.2229949956114901</v>
      </c>
      <c r="CH205">
        <v>2.3007332877484901</v>
      </c>
      <c r="CI205">
        <v>2.3346648602228699</v>
      </c>
      <c r="CJ205">
        <v>2.9301624525319099</v>
      </c>
      <c r="CK205">
        <v>1.97130327968347</v>
      </c>
      <c r="CL205">
        <v>2.5827820615271002</v>
      </c>
      <c r="CM205">
        <v>2.35749295935952</v>
      </c>
      <c r="CN205">
        <v>2.9301624525319099</v>
      </c>
      <c r="CO205">
        <v>2.6073995961352701</v>
      </c>
      <c r="CP205">
        <v>2.9301624525319099</v>
      </c>
      <c r="CQ205">
        <v>2.8107135451850001</v>
      </c>
      <c r="CR205">
        <v>2.2339783292891302</v>
      </c>
      <c r="CS205">
        <v>1.8442206623744499</v>
      </c>
      <c r="CT205">
        <v>2.3233130260173298</v>
      </c>
      <c r="CU205">
        <v>2.79767005058727</v>
      </c>
      <c r="CV205">
        <v>2.3007332877484901</v>
      </c>
      <c r="CW205">
        <v>2.0630435335392199</v>
      </c>
    </row>
    <row r="206" spans="1:101" x14ac:dyDescent="0.25">
      <c r="A206" s="6">
        <v>205</v>
      </c>
      <c r="B206" s="6">
        <v>1</v>
      </c>
      <c r="C206" t="s">
        <v>117</v>
      </c>
      <c r="D206" t="s">
        <v>181</v>
      </c>
      <c r="E206" t="s">
        <v>154</v>
      </c>
      <c r="F206">
        <v>-1</v>
      </c>
      <c r="G206">
        <v>41</v>
      </c>
      <c r="H206">
        <v>27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1020</v>
      </c>
      <c r="P206">
        <v>223.06841903637601</v>
      </c>
      <c r="Q206">
        <v>-1</v>
      </c>
      <c r="R206">
        <v>-1</v>
      </c>
      <c r="S206">
        <v>-1</v>
      </c>
      <c r="T206">
        <v>1.38</v>
      </c>
      <c r="U206">
        <v>1.278</v>
      </c>
      <c r="V206">
        <v>1.472</v>
      </c>
      <c r="W206">
        <v>1.5209999999999999</v>
      </c>
      <c r="X206">
        <v>1.32</v>
      </c>
      <c r="Y206">
        <v>1.486</v>
      </c>
      <c r="Z206">
        <v>1.5389999999999999</v>
      </c>
      <c r="AA206">
        <v>1.3779999999999999</v>
      </c>
      <c r="AB206">
        <v>1.41</v>
      </c>
      <c r="AC206">
        <v>1.4530000000000001</v>
      </c>
      <c r="AD206">
        <v>1.464</v>
      </c>
      <c r="AE206">
        <v>1.1819999999999999</v>
      </c>
      <c r="AF206">
        <v>1.4550000000000001</v>
      </c>
      <c r="AG206">
        <v>1.2749999999999999</v>
      </c>
      <c r="AH206">
        <v>1.43</v>
      </c>
      <c r="AI206">
        <v>1.4350000000000001</v>
      </c>
      <c r="AJ206">
        <v>1.3069999999999999</v>
      </c>
      <c r="AK206">
        <v>1.4239999999999999</v>
      </c>
      <c r="AL206">
        <v>1.204</v>
      </c>
      <c r="AM206">
        <v>1.4</v>
      </c>
      <c r="AN206" t="s">
        <v>155</v>
      </c>
      <c r="AO206" t="s">
        <v>156</v>
      </c>
      <c r="AP206" t="s">
        <v>155</v>
      </c>
      <c r="AQ206" t="s">
        <v>155</v>
      </c>
      <c r="AR206" t="s">
        <v>156</v>
      </c>
      <c r="AS206" t="s">
        <v>155</v>
      </c>
      <c r="AT206" t="s">
        <v>155</v>
      </c>
      <c r="AU206" t="s">
        <v>155</v>
      </c>
      <c r="AV206" t="s">
        <v>155</v>
      </c>
      <c r="AW206" t="s">
        <v>155</v>
      </c>
      <c r="AX206" t="s">
        <v>155</v>
      </c>
      <c r="AY206" t="s">
        <v>156</v>
      </c>
      <c r="AZ206" t="s">
        <v>155</v>
      </c>
      <c r="BA206" t="s">
        <v>156</v>
      </c>
      <c r="BB206" t="s">
        <v>155</v>
      </c>
      <c r="BC206" t="s">
        <v>155</v>
      </c>
      <c r="BD206" t="s">
        <v>156</v>
      </c>
      <c r="BE206" t="s">
        <v>155</v>
      </c>
      <c r="BF206" t="s">
        <v>156</v>
      </c>
      <c r="BG206" t="s">
        <v>155</v>
      </c>
      <c r="CB206">
        <v>11.635702420100849</v>
      </c>
      <c r="CC206">
        <v>2595.5577432296304</v>
      </c>
      <c r="CD206">
        <v>11.293149047199901</v>
      </c>
      <c r="CE206">
        <v>9.2564218243487293</v>
      </c>
      <c r="CF206">
        <v>13.3477927299301</v>
      </c>
      <c r="CG206">
        <v>14.529239763875101</v>
      </c>
      <c r="CH206">
        <v>10.065021526016301</v>
      </c>
      <c r="CI206">
        <v>13.679081674792601</v>
      </c>
      <c r="CJ206">
        <v>14.9787734277475</v>
      </c>
      <c r="CK206">
        <v>11.250807648056099</v>
      </c>
      <c r="CL206">
        <v>11.9400385233479</v>
      </c>
      <c r="CM206">
        <v>12.9061339207027</v>
      </c>
      <c r="CN206">
        <v>13.160718955032999</v>
      </c>
      <c r="CO206">
        <v>7.5614918862098204</v>
      </c>
      <c r="CP206">
        <v>12.9521951394029</v>
      </c>
      <c r="CQ206">
        <v>9.2002494940053499</v>
      </c>
      <c r="CR206">
        <v>12.383646984456799</v>
      </c>
      <c r="CS206">
        <v>12.4961045464803</v>
      </c>
      <c r="CT206">
        <v>9.8102934425383204</v>
      </c>
      <c r="CU206">
        <v>12.2495207728709</v>
      </c>
      <c r="CV206">
        <v>7.9314177949494402</v>
      </c>
      <c r="CW206">
        <v>11.7219493000532</v>
      </c>
    </row>
    <row r="207" spans="1:101" x14ac:dyDescent="0.25">
      <c r="A207" s="6">
        <v>206</v>
      </c>
      <c r="B207" s="6">
        <v>1</v>
      </c>
      <c r="C207" t="s">
        <v>117</v>
      </c>
      <c r="D207" t="s">
        <v>173</v>
      </c>
      <c r="E207" t="s">
        <v>168</v>
      </c>
      <c r="F207">
        <v>-1</v>
      </c>
      <c r="G207">
        <v>89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1335</v>
      </c>
      <c r="P207">
        <v>291.95719550349202</v>
      </c>
      <c r="Q207">
        <v>-1</v>
      </c>
      <c r="R207">
        <v>-1</v>
      </c>
      <c r="S207">
        <v>-1</v>
      </c>
      <c r="T207">
        <v>0.69399999999999995</v>
      </c>
      <c r="U207">
        <v>0.77</v>
      </c>
      <c r="V207">
        <v>0.80600000000000005</v>
      </c>
      <c r="W207">
        <v>0.84099999999999997</v>
      </c>
      <c r="X207">
        <v>0.89600000000000002</v>
      </c>
      <c r="Y207">
        <v>0.70599999999999996</v>
      </c>
      <c r="Z207">
        <v>0.70699999999999996</v>
      </c>
      <c r="AA207">
        <v>0.82799999999999996</v>
      </c>
      <c r="AB207">
        <v>0.77600000000000002</v>
      </c>
      <c r="AC207">
        <v>0.72799999999999998</v>
      </c>
      <c r="AD207">
        <v>0.78900000000000003</v>
      </c>
      <c r="AE207">
        <v>0.84399999999999997</v>
      </c>
      <c r="AF207">
        <v>0.82499999999999996</v>
      </c>
      <c r="AG207">
        <v>0.69399999999999995</v>
      </c>
      <c r="AH207">
        <v>0.871</v>
      </c>
      <c r="AI207">
        <v>0.72599999999999998</v>
      </c>
      <c r="AJ207">
        <v>0.82899999999999996</v>
      </c>
      <c r="AK207">
        <v>0.61099999999999999</v>
      </c>
      <c r="AL207">
        <v>0.64900000000000002</v>
      </c>
      <c r="AM207">
        <v>0.68400000000000005</v>
      </c>
      <c r="AN207" t="s">
        <v>169</v>
      </c>
      <c r="AO207" t="s">
        <v>169</v>
      </c>
      <c r="AP207" t="s">
        <v>169</v>
      </c>
      <c r="AQ207" t="s">
        <v>169</v>
      </c>
      <c r="AR207" t="s">
        <v>169</v>
      </c>
      <c r="AS207" t="s">
        <v>169</v>
      </c>
      <c r="AT207" t="s">
        <v>169</v>
      </c>
      <c r="AU207" t="s">
        <v>169</v>
      </c>
      <c r="AV207" t="s">
        <v>169</v>
      </c>
      <c r="AW207" t="s">
        <v>169</v>
      </c>
      <c r="AX207" t="s">
        <v>169</v>
      </c>
      <c r="AY207" t="s">
        <v>169</v>
      </c>
      <c r="AZ207" t="s">
        <v>169</v>
      </c>
      <c r="BA207" t="s">
        <v>169</v>
      </c>
      <c r="BB207" t="s">
        <v>169</v>
      </c>
      <c r="BC207" t="s">
        <v>169</v>
      </c>
      <c r="BD207" t="s">
        <v>169</v>
      </c>
      <c r="BE207" t="s">
        <v>169</v>
      </c>
      <c r="BF207" t="s">
        <v>169</v>
      </c>
      <c r="BG207" t="s">
        <v>169</v>
      </c>
      <c r="CB207">
        <v>1.9104347378707414</v>
      </c>
      <c r="CC207">
        <v>557.76516826119052</v>
      </c>
      <c r="CD207">
        <v>1.23346246352023</v>
      </c>
      <c r="CE207">
        <v>1.86336107463689</v>
      </c>
      <c r="CF207">
        <v>2.2339783292891302</v>
      </c>
      <c r="CG207">
        <v>2.6446544988728902</v>
      </c>
      <c r="CH207">
        <v>3.4008825856522802</v>
      </c>
      <c r="CI207">
        <v>1.3203330762874499</v>
      </c>
      <c r="CJ207">
        <v>1.32777324343637</v>
      </c>
      <c r="CK207">
        <v>2.4860466682810598</v>
      </c>
      <c r="CL207">
        <v>1.92167470408387</v>
      </c>
      <c r="CM207">
        <v>1.4913872152582699</v>
      </c>
      <c r="CN207">
        <v>2.05269555890222</v>
      </c>
      <c r="CO207">
        <v>2.6823061976212301</v>
      </c>
      <c r="CP207">
        <v>2.4504791728531501</v>
      </c>
      <c r="CQ207">
        <v>1.23346246352023</v>
      </c>
      <c r="CR207">
        <v>3.0394913749407499</v>
      </c>
      <c r="CS207">
        <v>1.4751875013843101</v>
      </c>
      <c r="CT207">
        <v>2.4979878762977998</v>
      </c>
      <c r="CU207">
        <v>0.74389637880552095</v>
      </c>
      <c r="CV207">
        <v>0.94523607086767103</v>
      </c>
      <c r="CW207">
        <v>1.1643983029035001</v>
      </c>
    </row>
    <row r="208" spans="1:101" x14ac:dyDescent="0.25">
      <c r="A208" s="6">
        <v>207</v>
      </c>
      <c r="B208" s="6">
        <v>1</v>
      </c>
      <c r="C208" t="s">
        <v>119</v>
      </c>
      <c r="D208" t="s">
        <v>172</v>
      </c>
      <c r="E208" t="s">
        <v>158</v>
      </c>
      <c r="F208">
        <v>-1</v>
      </c>
      <c r="G208">
        <v>19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67.6875</v>
      </c>
      <c r="P208">
        <v>36.233929654931998</v>
      </c>
      <c r="Q208">
        <v>-1</v>
      </c>
      <c r="R208">
        <v>-1</v>
      </c>
      <c r="S208">
        <v>-1</v>
      </c>
      <c r="T208">
        <v>0.33500000000000002</v>
      </c>
      <c r="U208">
        <v>0.42599999999999999</v>
      </c>
      <c r="V208">
        <v>0.28999999999999998</v>
      </c>
      <c r="W208">
        <v>0.40500000000000003</v>
      </c>
      <c r="X208">
        <v>0.35899999999999999</v>
      </c>
      <c r="Y208">
        <v>0.32300000000000001</v>
      </c>
      <c r="Z208">
        <v>0.29299999999999998</v>
      </c>
      <c r="AA208">
        <v>0.29199999999999998</v>
      </c>
      <c r="AB208">
        <v>0.29499999999999998</v>
      </c>
      <c r="AC208">
        <v>0.29399999999999998</v>
      </c>
      <c r="AD208">
        <v>0.372</v>
      </c>
      <c r="AE208">
        <v>0.28299999999999997</v>
      </c>
      <c r="AF208">
        <v>0.315</v>
      </c>
      <c r="AG208">
        <v>0.32700000000000001</v>
      </c>
      <c r="AH208">
        <v>0.318</v>
      </c>
      <c r="AI208">
        <v>0.27300000000000002</v>
      </c>
      <c r="AJ208">
        <v>0.30499999999999999</v>
      </c>
      <c r="AK208">
        <v>0.35</v>
      </c>
      <c r="AL208">
        <v>0.31900000000000001</v>
      </c>
      <c r="AN208" t="s">
        <v>159</v>
      </c>
      <c r="AO208" t="s">
        <v>159</v>
      </c>
      <c r="AP208" t="s">
        <v>159</v>
      </c>
      <c r="AQ208" t="s">
        <v>159</v>
      </c>
      <c r="AR208" t="s">
        <v>159</v>
      </c>
      <c r="AS208" t="s">
        <v>159</v>
      </c>
      <c r="AT208" t="s">
        <v>159</v>
      </c>
      <c r="AU208" t="s">
        <v>159</v>
      </c>
      <c r="AV208" t="s">
        <v>159</v>
      </c>
      <c r="AW208" t="s">
        <v>159</v>
      </c>
      <c r="AX208" t="s">
        <v>159</v>
      </c>
      <c r="AY208" t="s">
        <v>159</v>
      </c>
      <c r="AZ208" t="s">
        <v>159</v>
      </c>
      <c r="BA208" t="s">
        <v>159</v>
      </c>
      <c r="BB208" t="s">
        <v>159</v>
      </c>
      <c r="BC208" t="s">
        <v>159</v>
      </c>
      <c r="BD208" t="s">
        <v>159</v>
      </c>
      <c r="BE208" t="s">
        <v>159</v>
      </c>
      <c r="BF208" t="s">
        <v>159</v>
      </c>
      <c r="CB208">
        <v>0.90312824269041136</v>
      </c>
      <c r="CC208">
        <v>32.723885215026719</v>
      </c>
      <c r="CD208">
        <v>0.94660762129906295</v>
      </c>
      <c r="CE208">
        <v>1.7386530256291399</v>
      </c>
      <c r="CF208">
        <v>0.65716370524932799</v>
      </c>
      <c r="CG208">
        <v>1.5299169057386099</v>
      </c>
      <c r="CH208">
        <v>1.1277052176481499</v>
      </c>
      <c r="CI208">
        <v>0.86315544877939998</v>
      </c>
      <c r="CJ208">
        <v>0.67449962789376405</v>
      </c>
      <c r="CK208">
        <v>0.66869064751763696</v>
      </c>
      <c r="CL208">
        <v>0.68620888241743205</v>
      </c>
      <c r="CM208">
        <v>0.68033902120397705</v>
      </c>
      <c r="CN208">
        <v>1.2339008767651101</v>
      </c>
      <c r="CO208">
        <v>0.61776929221737797</v>
      </c>
      <c r="CP208">
        <v>0.810088255700673</v>
      </c>
      <c r="CQ208">
        <v>0.890455968354951</v>
      </c>
      <c r="CR208">
        <v>0.82974997592986099</v>
      </c>
      <c r="CS208">
        <v>0.56402471134249299</v>
      </c>
      <c r="CT208">
        <v>0.74659526022016598</v>
      </c>
      <c r="CU208">
        <v>1.0575448316324201</v>
      </c>
      <c r="CV208">
        <v>0.83636733557826104</v>
      </c>
    </row>
    <row r="209" spans="1:101" x14ac:dyDescent="0.25">
      <c r="A209" s="6">
        <v>208</v>
      </c>
      <c r="B209" s="6">
        <v>1</v>
      </c>
      <c r="C209" t="s">
        <v>119</v>
      </c>
      <c r="D209" t="s">
        <v>153</v>
      </c>
      <c r="E209" t="s">
        <v>154</v>
      </c>
      <c r="F209">
        <v>-1</v>
      </c>
      <c r="G209">
        <v>4</v>
      </c>
      <c r="H209">
        <v>13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60.5625</v>
      </c>
      <c r="P209">
        <v>32.419831796518103</v>
      </c>
      <c r="Q209">
        <v>-1</v>
      </c>
      <c r="R209">
        <v>-1</v>
      </c>
      <c r="S209">
        <v>-1</v>
      </c>
      <c r="T209">
        <v>1.147</v>
      </c>
      <c r="U209">
        <v>1.3280000000000001</v>
      </c>
      <c r="V209">
        <v>1.093</v>
      </c>
      <c r="W209">
        <v>1.375</v>
      </c>
      <c r="X209">
        <v>1.1200000000000001</v>
      </c>
      <c r="Y209">
        <v>1.284</v>
      </c>
      <c r="Z209">
        <v>1.1950000000000001</v>
      </c>
      <c r="AA209">
        <v>1.306</v>
      </c>
      <c r="AB209">
        <v>1.087</v>
      </c>
      <c r="AC209">
        <v>1.196</v>
      </c>
      <c r="AD209">
        <v>1.1120000000000001</v>
      </c>
      <c r="AE209">
        <v>1.099</v>
      </c>
      <c r="AF209">
        <v>1.2030000000000001</v>
      </c>
      <c r="AG209">
        <v>1.208</v>
      </c>
      <c r="AH209">
        <v>1.222</v>
      </c>
      <c r="AI209">
        <v>1.224</v>
      </c>
      <c r="AN209" t="s">
        <v>156</v>
      </c>
      <c r="AO209" t="s">
        <v>155</v>
      </c>
      <c r="AP209" t="s">
        <v>156</v>
      </c>
      <c r="AQ209" t="s">
        <v>155</v>
      </c>
      <c r="AR209" t="s">
        <v>156</v>
      </c>
      <c r="AS209" t="s">
        <v>155</v>
      </c>
      <c r="AT209" t="s">
        <v>156</v>
      </c>
      <c r="AU209" t="s">
        <v>155</v>
      </c>
      <c r="AV209" t="s">
        <v>156</v>
      </c>
      <c r="AW209" t="s">
        <v>156</v>
      </c>
      <c r="AX209" t="s">
        <v>156</v>
      </c>
      <c r="AY209" t="s">
        <v>156</v>
      </c>
      <c r="AZ209" t="s">
        <v>156</v>
      </c>
      <c r="BA209" t="s">
        <v>156</v>
      </c>
      <c r="BB209" t="s">
        <v>156</v>
      </c>
      <c r="BC209" t="s">
        <v>156</v>
      </c>
      <c r="CB209">
        <v>7.9455737121369889</v>
      </c>
      <c r="CC209">
        <v>257.59416327431711</v>
      </c>
      <c r="CD209">
        <v>6.9951571981901397</v>
      </c>
      <c r="CE209">
        <v>10.2237739968404</v>
      </c>
      <c r="CF209">
        <v>6.1738268571266701</v>
      </c>
      <c r="CG209">
        <v>11.187478519976199</v>
      </c>
      <c r="CH209">
        <v>6.5766223636186298</v>
      </c>
      <c r="CI209">
        <v>9.3693969230428191</v>
      </c>
      <c r="CJ209">
        <v>7.7787730503521404</v>
      </c>
      <c r="CK209">
        <v>9.7908648218886505</v>
      </c>
      <c r="CL209">
        <v>6.08643159550539</v>
      </c>
      <c r="CM209">
        <v>7.7956437011095696</v>
      </c>
      <c r="CN209">
        <v>6.4556447763001898</v>
      </c>
      <c r="CO209">
        <v>6.2619882677621801</v>
      </c>
      <c r="CP209">
        <v>7.9143672881413698</v>
      </c>
      <c r="CQ209">
        <v>7.99984524995961</v>
      </c>
      <c r="CR209">
        <v>8.2421905277714806</v>
      </c>
      <c r="CS209">
        <v>8.2771742566063899</v>
      </c>
    </row>
    <row r="210" spans="1:101" x14ac:dyDescent="0.25">
      <c r="A210" s="6">
        <v>209</v>
      </c>
      <c r="B210" s="6">
        <v>1</v>
      </c>
      <c r="C210" t="s">
        <v>119</v>
      </c>
      <c r="D210" t="s">
        <v>186</v>
      </c>
      <c r="E210" t="s">
        <v>154</v>
      </c>
      <c r="F210">
        <v>-1</v>
      </c>
      <c r="G210">
        <v>0</v>
      </c>
      <c r="H210">
        <v>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3.5625</v>
      </c>
      <c r="P210">
        <v>1.9070489292069499</v>
      </c>
      <c r="Q210">
        <v>-1</v>
      </c>
      <c r="R210">
        <v>-1</v>
      </c>
      <c r="S210">
        <v>-1</v>
      </c>
      <c r="T210">
        <v>2.395</v>
      </c>
      <c r="AN210" t="s">
        <v>156</v>
      </c>
      <c r="CB210">
        <v>47.090089644347898</v>
      </c>
      <c r="CC210">
        <v>89.803105032512946</v>
      </c>
      <c r="CD210">
        <v>47.090089644347898</v>
      </c>
    </row>
    <row r="211" spans="1:101" x14ac:dyDescent="0.25">
      <c r="A211" s="6">
        <v>210</v>
      </c>
      <c r="B211" s="6">
        <v>1</v>
      </c>
      <c r="C211" t="s">
        <v>119</v>
      </c>
      <c r="D211" t="s">
        <v>161</v>
      </c>
      <c r="E211" t="s">
        <v>154</v>
      </c>
      <c r="F211">
        <v>-1</v>
      </c>
      <c r="G211">
        <v>0</v>
      </c>
      <c r="H211">
        <v>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3.5625</v>
      </c>
      <c r="P211">
        <v>1.9070489292069499</v>
      </c>
      <c r="Q211">
        <v>-1</v>
      </c>
      <c r="R211">
        <v>-1</v>
      </c>
      <c r="S211">
        <v>-1</v>
      </c>
      <c r="T211">
        <v>0.94</v>
      </c>
      <c r="AN211" t="s">
        <v>156</v>
      </c>
      <c r="CB211">
        <v>4.1776241691879799</v>
      </c>
      <c r="CC211">
        <v>7.9669336984790107</v>
      </c>
      <c r="CD211">
        <v>4.1776241691879799</v>
      </c>
    </row>
    <row r="212" spans="1:101" x14ac:dyDescent="0.25">
      <c r="A212" s="6">
        <v>211</v>
      </c>
      <c r="B212" s="6">
        <v>1</v>
      </c>
      <c r="C212" t="s">
        <v>119</v>
      </c>
      <c r="D212" t="s">
        <v>162</v>
      </c>
      <c r="E212" t="s">
        <v>154</v>
      </c>
      <c r="F212">
        <v>-1</v>
      </c>
      <c r="G212">
        <v>2</v>
      </c>
      <c r="H212">
        <v>0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7.125</v>
      </c>
      <c r="P212">
        <v>3.81409785841389</v>
      </c>
      <c r="Q212">
        <v>-1</v>
      </c>
      <c r="R212">
        <v>-1</v>
      </c>
      <c r="S212">
        <v>-1</v>
      </c>
      <c r="T212">
        <v>1.0129999999999999</v>
      </c>
      <c r="U212">
        <v>0.98099999999999998</v>
      </c>
      <c r="AN212" t="s">
        <v>155</v>
      </c>
      <c r="AO212" t="s">
        <v>155</v>
      </c>
      <c r="CB212">
        <v>4.8683178761471204</v>
      </c>
      <c r="CC212">
        <v>18.56824078549079</v>
      </c>
      <c r="CD212">
        <v>5.0705689155121503</v>
      </c>
      <c r="CE212">
        <v>4.6660668367820897</v>
      </c>
    </row>
    <row r="213" spans="1:101" x14ac:dyDescent="0.25">
      <c r="A213" s="6">
        <v>212</v>
      </c>
      <c r="B213" s="6">
        <v>1</v>
      </c>
      <c r="C213" t="s">
        <v>119</v>
      </c>
      <c r="D213" t="s">
        <v>184</v>
      </c>
      <c r="E213" t="s">
        <v>154</v>
      </c>
      <c r="F213">
        <v>-1</v>
      </c>
      <c r="G213">
        <v>3</v>
      </c>
      <c r="H213">
        <v>0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10.6875</v>
      </c>
      <c r="P213">
        <v>5.7211467876208397</v>
      </c>
      <c r="Q213">
        <v>-1</v>
      </c>
      <c r="R213">
        <v>-1</v>
      </c>
      <c r="S213">
        <v>-1</v>
      </c>
      <c r="T213">
        <v>0.52400000000000002</v>
      </c>
      <c r="U213">
        <v>0.497</v>
      </c>
      <c r="V213">
        <v>0.82599999999999996</v>
      </c>
      <c r="AN213" t="s">
        <v>155</v>
      </c>
      <c r="AO213" t="s">
        <v>187</v>
      </c>
      <c r="AP213" t="s">
        <v>155</v>
      </c>
      <c r="CB213">
        <v>1.5701025191432798</v>
      </c>
      <c r="CC213">
        <v>8.9827869836319625</v>
      </c>
      <c r="CD213">
        <v>0.91959427635464897</v>
      </c>
      <c r="CE213">
        <v>0.80184656492513995</v>
      </c>
      <c r="CF213">
        <v>2.9888667161500502</v>
      </c>
    </row>
    <row r="214" spans="1:101" x14ac:dyDescent="0.25">
      <c r="A214" s="6">
        <v>213</v>
      </c>
      <c r="B214" s="6">
        <v>1</v>
      </c>
      <c r="C214" t="s">
        <v>119</v>
      </c>
      <c r="D214" t="s">
        <v>177</v>
      </c>
      <c r="E214" t="s">
        <v>168</v>
      </c>
      <c r="F214">
        <v>-1</v>
      </c>
      <c r="G214">
        <v>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3.5625</v>
      </c>
      <c r="P214">
        <v>1.9070489292069499</v>
      </c>
      <c r="Q214">
        <v>-1</v>
      </c>
      <c r="R214">
        <v>-1</v>
      </c>
      <c r="S214">
        <v>-1</v>
      </c>
      <c r="T214">
        <v>0.38</v>
      </c>
      <c r="AN214" t="s">
        <v>169</v>
      </c>
      <c r="CB214">
        <v>0.400099253854658</v>
      </c>
      <c r="CC214">
        <v>0.76300885364002513</v>
      </c>
      <c r="CD214">
        <v>0.400099253854658</v>
      </c>
    </row>
    <row r="215" spans="1:101" x14ac:dyDescent="0.25">
      <c r="A215" s="6">
        <v>214</v>
      </c>
      <c r="B215" s="6">
        <v>1</v>
      </c>
      <c r="C215" t="s">
        <v>119</v>
      </c>
      <c r="D215" t="s">
        <v>166</v>
      </c>
      <c r="E215" t="s">
        <v>154</v>
      </c>
      <c r="F215">
        <v>-1</v>
      </c>
      <c r="G215">
        <v>28</v>
      </c>
      <c r="H215">
        <v>26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192.375</v>
      </c>
      <c r="P215">
        <v>102.980642177175</v>
      </c>
      <c r="Q215">
        <v>-1</v>
      </c>
      <c r="R215">
        <v>-1</v>
      </c>
      <c r="S215">
        <v>-1</v>
      </c>
      <c r="T215">
        <v>1.085</v>
      </c>
      <c r="U215">
        <v>1.1779999999999999</v>
      </c>
      <c r="V215">
        <v>1.05</v>
      </c>
      <c r="W215">
        <v>0.81599999999999995</v>
      </c>
      <c r="X215">
        <v>0.92500000000000004</v>
      </c>
      <c r="Y215">
        <v>0.88500000000000001</v>
      </c>
      <c r="Z215">
        <v>0.86899999999999999</v>
      </c>
      <c r="AA215">
        <v>0.999</v>
      </c>
      <c r="AB215">
        <v>0.92400000000000004</v>
      </c>
      <c r="AC215">
        <v>0.90200000000000002</v>
      </c>
      <c r="AD215">
        <v>0.879</v>
      </c>
      <c r="AE215">
        <v>0.84899999999999998</v>
      </c>
      <c r="AF215">
        <v>0.86799999999999999</v>
      </c>
      <c r="AG215">
        <v>0.94899999999999995</v>
      </c>
      <c r="AH215">
        <v>1.0249999999999999</v>
      </c>
      <c r="AI215">
        <v>1.026</v>
      </c>
      <c r="AJ215">
        <v>1.024</v>
      </c>
      <c r="AK215">
        <v>0.96799999999999997</v>
      </c>
      <c r="AL215">
        <v>1.161</v>
      </c>
      <c r="AM215">
        <v>0.91700000000000004</v>
      </c>
      <c r="AN215" t="s">
        <v>155</v>
      </c>
      <c r="AO215" t="s">
        <v>155</v>
      </c>
      <c r="AP215" t="s">
        <v>155</v>
      </c>
      <c r="AQ215" t="s">
        <v>156</v>
      </c>
      <c r="AR215" t="s">
        <v>156</v>
      </c>
      <c r="AS215" t="s">
        <v>156</v>
      </c>
      <c r="AT215" t="s">
        <v>156</v>
      </c>
      <c r="AU215" t="s">
        <v>155</v>
      </c>
      <c r="AV215" t="s">
        <v>156</v>
      </c>
      <c r="AW215" t="s">
        <v>156</v>
      </c>
      <c r="AX215" t="s">
        <v>156</v>
      </c>
      <c r="AY215" t="s">
        <v>156</v>
      </c>
      <c r="AZ215" t="s">
        <v>156</v>
      </c>
      <c r="BA215" t="s">
        <v>156</v>
      </c>
      <c r="BB215" t="s">
        <v>155</v>
      </c>
      <c r="BC215" t="s">
        <v>155</v>
      </c>
      <c r="BD215" t="s">
        <v>155</v>
      </c>
      <c r="BE215" t="s">
        <v>156</v>
      </c>
      <c r="BF215" t="s">
        <v>155</v>
      </c>
      <c r="BG215" t="s">
        <v>156</v>
      </c>
      <c r="CB215">
        <v>4.8598086095066559</v>
      </c>
      <c r="CC215">
        <v>500.46621146515935</v>
      </c>
      <c r="CD215">
        <v>7.2708452361726303</v>
      </c>
      <c r="CE215">
        <v>10.0780299125793</v>
      </c>
      <c r="CF215">
        <v>6.3833749834048801</v>
      </c>
      <c r="CG215">
        <v>2.3460581379249699</v>
      </c>
      <c r="CH215">
        <v>3.8593264767572899</v>
      </c>
      <c r="CI215">
        <v>3.2381251118301999</v>
      </c>
      <c r="CJ215">
        <v>3.0118778351758402</v>
      </c>
      <c r="CK215">
        <v>5.2384623660428904</v>
      </c>
      <c r="CL215">
        <v>3.8427892375041601</v>
      </c>
      <c r="CM215">
        <v>3.4921974750831901</v>
      </c>
      <c r="CN215">
        <v>3.15184370960805</v>
      </c>
      <c r="CO215">
        <v>2.7459483887317799</v>
      </c>
      <c r="CP215">
        <v>2.9981416587330298</v>
      </c>
      <c r="CQ215">
        <v>4.2724373524274499</v>
      </c>
      <c r="CR215">
        <v>5.8009962612558201</v>
      </c>
      <c r="CS215">
        <v>5.8234970826094203</v>
      </c>
      <c r="CT215">
        <v>5.7785605430333904</v>
      </c>
      <c r="CU215">
        <v>4.62225614482601</v>
      </c>
      <c r="CV215">
        <v>9.5128960763435408</v>
      </c>
      <c r="CW215">
        <v>3.72850820008926</v>
      </c>
    </row>
    <row r="216" spans="1:101" x14ac:dyDescent="0.25">
      <c r="A216" s="6">
        <v>215</v>
      </c>
      <c r="B216" s="6">
        <v>1</v>
      </c>
      <c r="C216" t="s">
        <v>119</v>
      </c>
      <c r="D216" t="s">
        <v>167</v>
      </c>
      <c r="E216" t="s">
        <v>168</v>
      </c>
      <c r="F216">
        <v>-1</v>
      </c>
      <c r="G216">
        <v>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3.5625</v>
      </c>
      <c r="P216">
        <v>1.9070489292069499</v>
      </c>
      <c r="Q216">
        <v>-1</v>
      </c>
      <c r="R216">
        <v>-1</v>
      </c>
      <c r="S216">
        <v>-1</v>
      </c>
      <c r="T216">
        <v>0.42299999999999999</v>
      </c>
      <c r="AN216" t="s">
        <v>169</v>
      </c>
      <c r="CB216">
        <v>0.52814087147043098</v>
      </c>
      <c r="CC216">
        <v>1.0071904834081107</v>
      </c>
      <c r="CD216">
        <v>0.52814087147043098</v>
      </c>
    </row>
    <row r="217" spans="1:101" x14ac:dyDescent="0.25">
      <c r="A217" s="6">
        <v>216</v>
      </c>
      <c r="B217" s="6">
        <v>1</v>
      </c>
      <c r="C217" t="s">
        <v>119</v>
      </c>
      <c r="D217" t="s">
        <v>173</v>
      </c>
      <c r="E217" t="s">
        <v>168</v>
      </c>
      <c r="F217">
        <v>-1</v>
      </c>
      <c r="G217">
        <v>110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391.875</v>
      </c>
      <c r="P217">
        <v>209.77538221276399</v>
      </c>
      <c r="Q217">
        <v>-1</v>
      </c>
      <c r="R217">
        <v>-1</v>
      </c>
      <c r="S217">
        <v>-1</v>
      </c>
      <c r="T217">
        <v>0.749</v>
      </c>
      <c r="U217">
        <v>0.65700000000000003</v>
      </c>
      <c r="V217">
        <v>0.42099999999999999</v>
      </c>
      <c r="W217">
        <v>0.49399999999999999</v>
      </c>
      <c r="X217">
        <v>0.56699999999999995</v>
      </c>
      <c r="Y217">
        <v>0.42799999999999999</v>
      </c>
      <c r="Z217">
        <v>0.65200000000000002</v>
      </c>
      <c r="AA217">
        <v>0.56499999999999995</v>
      </c>
      <c r="AB217">
        <v>0.61</v>
      </c>
      <c r="AC217">
        <v>0.47099999999999997</v>
      </c>
      <c r="AD217">
        <v>0.45100000000000001</v>
      </c>
      <c r="AE217">
        <v>0.40799999999999997</v>
      </c>
      <c r="AF217">
        <v>0.64600000000000002</v>
      </c>
      <c r="AG217">
        <v>0.40200000000000002</v>
      </c>
      <c r="AH217">
        <v>0.72299999999999998</v>
      </c>
      <c r="AI217">
        <v>0.38500000000000001</v>
      </c>
      <c r="AJ217">
        <v>0.41099999999999998</v>
      </c>
      <c r="AK217">
        <v>0.40400000000000003</v>
      </c>
      <c r="AL217">
        <v>0.42299999999999999</v>
      </c>
      <c r="AM217">
        <v>0.63300000000000001</v>
      </c>
      <c r="AN217" t="s">
        <v>169</v>
      </c>
      <c r="AO217" t="s">
        <v>169</v>
      </c>
      <c r="AP217" t="s">
        <v>169</v>
      </c>
      <c r="AQ217" t="s">
        <v>169</v>
      </c>
      <c r="AR217" t="s">
        <v>169</v>
      </c>
      <c r="AS217" t="s">
        <v>169</v>
      </c>
      <c r="AT217" t="s">
        <v>169</v>
      </c>
      <c r="AU217" t="s">
        <v>169</v>
      </c>
      <c r="AV217" t="s">
        <v>169</v>
      </c>
      <c r="AW217" t="s">
        <v>169</v>
      </c>
      <c r="AX217" t="s">
        <v>169</v>
      </c>
      <c r="AY217" t="s">
        <v>169</v>
      </c>
      <c r="AZ217" t="s">
        <v>169</v>
      </c>
      <c r="BA217" t="s">
        <v>169</v>
      </c>
      <c r="BB217" t="s">
        <v>169</v>
      </c>
      <c r="BC217" t="s">
        <v>169</v>
      </c>
      <c r="BD217" t="s">
        <v>169</v>
      </c>
      <c r="BE217" t="s">
        <v>169</v>
      </c>
      <c r="BF217" t="s">
        <v>169</v>
      </c>
      <c r="BG217" t="s">
        <v>169</v>
      </c>
      <c r="CB217">
        <v>0.53679094143960304</v>
      </c>
      <c r="CC217">
        <v>112.60552490884214</v>
      </c>
      <c r="CD217">
        <v>1.66963544635729</v>
      </c>
      <c r="CE217">
        <v>0.99234653389490202</v>
      </c>
      <c r="CF217">
        <v>0.16956208978183299</v>
      </c>
      <c r="CG217">
        <v>0.319907798522447</v>
      </c>
      <c r="CH217">
        <v>0.55290890390602798</v>
      </c>
      <c r="CI217">
        <v>0.18103418989640399</v>
      </c>
      <c r="CJ217">
        <v>0.96270182478797295</v>
      </c>
      <c r="CK217">
        <v>0.54520669196328497</v>
      </c>
      <c r="CL217">
        <v>0.73907461352366499</v>
      </c>
      <c r="CM217">
        <v>0.26474138787200902</v>
      </c>
      <c r="CN217">
        <v>0.222848497963999</v>
      </c>
      <c r="CO217">
        <v>0.14970961290221499</v>
      </c>
      <c r="CP217">
        <v>0.928008462149291</v>
      </c>
      <c r="CQ217">
        <v>0.14115825166425999</v>
      </c>
      <c r="CR217">
        <v>1.4511352112182201</v>
      </c>
      <c r="CS217">
        <v>0.11890714073594</v>
      </c>
      <c r="CT217">
        <v>0.154127762174181</v>
      </c>
      <c r="CU217">
        <v>0.143966968367888</v>
      </c>
      <c r="CV217">
        <v>0.172782637214144</v>
      </c>
      <c r="CW217">
        <v>0.85605480389608601</v>
      </c>
    </row>
    <row r="218" spans="1:101" x14ac:dyDescent="0.25">
      <c r="A218" s="6">
        <v>217</v>
      </c>
      <c r="B218" s="6">
        <v>1</v>
      </c>
      <c r="C218" t="s">
        <v>121</v>
      </c>
      <c r="D218" t="s">
        <v>153</v>
      </c>
      <c r="E218" t="s">
        <v>154</v>
      </c>
      <c r="F218">
        <v>-1</v>
      </c>
      <c r="G218">
        <v>1</v>
      </c>
      <c r="H218">
        <v>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129</v>
      </c>
      <c r="P218">
        <v>15.070688743480799</v>
      </c>
      <c r="Q218">
        <v>-1</v>
      </c>
      <c r="R218">
        <v>-1</v>
      </c>
      <c r="S218">
        <v>-1</v>
      </c>
      <c r="T218">
        <v>1.288</v>
      </c>
      <c r="U218">
        <v>1.2350000000000001</v>
      </c>
      <c r="AN218" t="s">
        <v>155</v>
      </c>
      <c r="AO218" t="s">
        <v>156</v>
      </c>
      <c r="CB218">
        <v>8.9581977249855544</v>
      </c>
      <c r="CC218">
        <v>135.0062096158151</v>
      </c>
      <c r="CD218">
        <v>9.4451815794461194</v>
      </c>
      <c r="CE218">
        <v>8.4712138705249895</v>
      </c>
    </row>
    <row r="219" spans="1:101" x14ac:dyDescent="0.25">
      <c r="A219" s="6">
        <v>218</v>
      </c>
      <c r="B219" s="6">
        <v>1</v>
      </c>
      <c r="C219" t="s">
        <v>121</v>
      </c>
      <c r="D219" t="s">
        <v>172</v>
      </c>
      <c r="E219" t="s">
        <v>158</v>
      </c>
      <c r="F219">
        <v>-1</v>
      </c>
      <c r="G219">
        <v>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64.5</v>
      </c>
      <c r="P219">
        <v>7.5353443717403898</v>
      </c>
      <c r="Q219">
        <v>-1</v>
      </c>
      <c r="R219">
        <v>-1</v>
      </c>
      <c r="S219">
        <v>-1</v>
      </c>
      <c r="T219">
        <v>0.30599999999999999</v>
      </c>
      <c r="AN219" t="s">
        <v>159</v>
      </c>
      <c r="CB219">
        <v>0.75280387152912998</v>
      </c>
      <c r="CC219">
        <v>5.6726364163514047</v>
      </c>
      <c r="CD219">
        <v>0.75280387152912998</v>
      </c>
    </row>
    <row r="220" spans="1:101" x14ac:dyDescent="0.25">
      <c r="A220" s="6">
        <v>219</v>
      </c>
      <c r="B220" s="6">
        <v>1</v>
      </c>
      <c r="C220" t="s">
        <v>121</v>
      </c>
      <c r="D220" t="s">
        <v>166</v>
      </c>
      <c r="E220" t="s">
        <v>154</v>
      </c>
      <c r="F220">
        <v>-1</v>
      </c>
      <c r="G220">
        <v>1</v>
      </c>
      <c r="H220">
        <v>18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1225.5</v>
      </c>
      <c r="P220">
        <v>143.17154306306699</v>
      </c>
      <c r="Q220">
        <v>-1</v>
      </c>
      <c r="R220">
        <v>-1</v>
      </c>
      <c r="S220">
        <v>-1</v>
      </c>
      <c r="T220">
        <v>0.96499999999999997</v>
      </c>
      <c r="U220">
        <v>0.88</v>
      </c>
      <c r="V220">
        <v>0.83599999999999997</v>
      </c>
      <c r="W220">
        <v>0.82499999999999996</v>
      </c>
      <c r="X220">
        <v>0.83199999999999996</v>
      </c>
      <c r="Y220">
        <v>0.85</v>
      </c>
      <c r="Z220">
        <v>0.80400000000000005</v>
      </c>
      <c r="AA220">
        <v>0.81799999999999995</v>
      </c>
      <c r="AB220">
        <v>0.82399999999999995</v>
      </c>
      <c r="AC220">
        <v>0.78600000000000003</v>
      </c>
      <c r="AD220">
        <v>0.94</v>
      </c>
      <c r="AE220">
        <v>0.83</v>
      </c>
      <c r="AF220">
        <v>0.78100000000000003</v>
      </c>
      <c r="AG220">
        <v>0.80200000000000005</v>
      </c>
      <c r="AH220">
        <v>0.77100000000000002</v>
      </c>
      <c r="AI220">
        <v>0.76800000000000002</v>
      </c>
      <c r="AJ220">
        <v>0.79100000000000004</v>
      </c>
      <c r="AK220">
        <v>0.81299999999999994</v>
      </c>
      <c r="AL220">
        <v>0.82599999999999996</v>
      </c>
      <c r="AN220" t="s">
        <v>156</v>
      </c>
      <c r="AO220" t="s">
        <v>156</v>
      </c>
      <c r="AP220" t="s">
        <v>156</v>
      </c>
      <c r="AQ220" t="s">
        <v>156</v>
      </c>
      <c r="AR220" t="s">
        <v>156</v>
      </c>
      <c r="AS220" t="s">
        <v>156</v>
      </c>
      <c r="AT220" t="s">
        <v>156</v>
      </c>
      <c r="AU220" t="s">
        <v>156</v>
      </c>
      <c r="AV220" t="s">
        <v>156</v>
      </c>
      <c r="AW220" t="s">
        <v>156</v>
      </c>
      <c r="AX220" t="s">
        <v>155</v>
      </c>
      <c r="AY220" t="s">
        <v>156</v>
      </c>
      <c r="AZ220" t="s">
        <v>156</v>
      </c>
      <c r="BA220" t="s">
        <v>156</v>
      </c>
      <c r="BB220" t="s">
        <v>156</v>
      </c>
      <c r="BC220" t="s">
        <v>156</v>
      </c>
      <c r="BD220" t="s">
        <v>156</v>
      </c>
      <c r="BE220" t="s">
        <v>156</v>
      </c>
      <c r="BF220" t="s">
        <v>156</v>
      </c>
      <c r="CB220">
        <v>2.5499911329353937</v>
      </c>
      <c r="CC220">
        <v>365.0861652994987</v>
      </c>
      <c r="CD220">
        <v>4.5656464073515997</v>
      </c>
      <c r="CE220">
        <v>3.1661030665237901</v>
      </c>
      <c r="CF220">
        <v>2.5827820615271002</v>
      </c>
      <c r="CG220">
        <v>2.4504791728531501</v>
      </c>
      <c r="CH220">
        <v>2.5340690539667698</v>
      </c>
      <c r="CI220">
        <v>2.7588111657657999</v>
      </c>
      <c r="CJ220">
        <v>2.2120521096297501</v>
      </c>
      <c r="CK220">
        <v>2.3689694248816302</v>
      </c>
      <c r="CL220">
        <v>2.4387083787608899</v>
      </c>
      <c r="CM220">
        <v>2.0218845224020998</v>
      </c>
      <c r="CN220">
        <v>4.1138307371007699</v>
      </c>
      <c r="CO220">
        <v>2.5099719419613802</v>
      </c>
      <c r="CP220">
        <v>1.97130327968347</v>
      </c>
      <c r="CQ220">
        <v>2.1902872851766801</v>
      </c>
      <c r="CR220">
        <v>1.87298681791993</v>
      </c>
      <c r="CS220">
        <v>1.8442206623744499</v>
      </c>
      <c r="CT220">
        <v>2.07343048453611</v>
      </c>
      <c r="CU220">
        <v>2.31200253519168</v>
      </c>
      <c r="CV220">
        <v>2.4622924181654402</v>
      </c>
    </row>
    <row r="221" spans="1:101" x14ac:dyDescent="0.25">
      <c r="A221" s="6">
        <v>220</v>
      </c>
      <c r="B221" s="6">
        <v>1</v>
      </c>
      <c r="C221" t="s">
        <v>121</v>
      </c>
      <c r="D221" t="s">
        <v>181</v>
      </c>
      <c r="E221" t="s">
        <v>154</v>
      </c>
      <c r="F221">
        <v>-1</v>
      </c>
      <c r="G221">
        <v>0</v>
      </c>
      <c r="H221">
        <v>3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193.5</v>
      </c>
      <c r="P221">
        <v>22.606033115221202</v>
      </c>
      <c r="Q221">
        <v>-1</v>
      </c>
      <c r="R221">
        <v>-1</v>
      </c>
      <c r="S221">
        <v>-1</v>
      </c>
      <c r="T221">
        <v>1.2989999999999999</v>
      </c>
      <c r="U221">
        <v>1.2909999999999999</v>
      </c>
      <c r="V221">
        <v>1.3380000000000001</v>
      </c>
      <c r="AN221" t="s">
        <v>156</v>
      </c>
      <c r="AO221" t="s">
        <v>156</v>
      </c>
      <c r="AP221" t="s">
        <v>156</v>
      </c>
      <c r="CB221">
        <v>9.860718603338487</v>
      </c>
      <c r="CC221">
        <v>222.9117312869476</v>
      </c>
      <c r="CD221">
        <v>9.6555257747589707</v>
      </c>
      <c r="CE221">
        <v>9.5022662209244899</v>
      </c>
      <c r="CF221">
        <v>10.424363814332001</v>
      </c>
    </row>
    <row r="222" spans="1:101" x14ac:dyDescent="0.25">
      <c r="A222" s="6">
        <v>221</v>
      </c>
      <c r="B222" s="6">
        <v>1</v>
      </c>
      <c r="C222" t="s">
        <v>121</v>
      </c>
      <c r="D222" t="s">
        <v>173</v>
      </c>
      <c r="E222" t="s">
        <v>168</v>
      </c>
      <c r="F222">
        <v>-1</v>
      </c>
      <c r="G222">
        <v>158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10191</v>
      </c>
      <c r="P222">
        <v>1190.5844107349801</v>
      </c>
      <c r="Q222">
        <v>-1</v>
      </c>
      <c r="R222">
        <v>-1</v>
      </c>
      <c r="S222">
        <v>-1</v>
      </c>
      <c r="T222">
        <v>0.78800000000000003</v>
      </c>
      <c r="U222">
        <v>0.89400000000000002</v>
      </c>
      <c r="V222">
        <v>0.83199999999999996</v>
      </c>
      <c r="W222">
        <v>0.69899999999999995</v>
      </c>
      <c r="X222">
        <v>0.624</v>
      </c>
      <c r="Y222">
        <v>0.749</v>
      </c>
      <c r="Z222">
        <v>0.81299999999999994</v>
      </c>
      <c r="AA222">
        <v>0.68300000000000005</v>
      </c>
      <c r="AB222">
        <v>0.46899999999999997</v>
      </c>
      <c r="AC222">
        <v>0.70299999999999996</v>
      </c>
      <c r="AD222">
        <v>0.80600000000000005</v>
      </c>
      <c r="AE222">
        <v>0.67600000000000005</v>
      </c>
      <c r="AF222">
        <v>0.63600000000000001</v>
      </c>
      <c r="AG222">
        <v>0.66</v>
      </c>
      <c r="AH222">
        <v>0.84499999999999997</v>
      </c>
      <c r="AI222">
        <v>0.72799999999999998</v>
      </c>
      <c r="AJ222">
        <v>0.80700000000000005</v>
      </c>
      <c r="AK222">
        <v>0.86799999999999999</v>
      </c>
      <c r="AL222">
        <v>0.77600000000000002</v>
      </c>
      <c r="AM222">
        <v>0.77100000000000002</v>
      </c>
      <c r="AN222" t="s">
        <v>169</v>
      </c>
      <c r="AO222" t="s">
        <v>169</v>
      </c>
      <c r="AP222" t="s">
        <v>169</v>
      </c>
      <c r="AQ222" t="s">
        <v>169</v>
      </c>
      <c r="AR222" t="s">
        <v>169</v>
      </c>
      <c r="AS222" t="s">
        <v>169</v>
      </c>
      <c r="AT222" t="s">
        <v>169</v>
      </c>
      <c r="AU222" t="s">
        <v>169</v>
      </c>
      <c r="AV222" t="s">
        <v>169</v>
      </c>
      <c r="AW222" t="s">
        <v>169</v>
      </c>
      <c r="AX222" t="s">
        <v>169</v>
      </c>
      <c r="AY222" t="s">
        <v>169</v>
      </c>
      <c r="AZ222" t="s">
        <v>169</v>
      </c>
      <c r="BA222" t="s">
        <v>169</v>
      </c>
      <c r="BB222" t="s">
        <v>169</v>
      </c>
      <c r="BC222" t="s">
        <v>169</v>
      </c>
      <c r="BD222" t="s">
        <v>169</v>
      </c>
      <c r="BE222" t="s">
        <v>169</v>
      </c>
      <c r="BF222" t="s">
        <v>169</v>
      </c>
      <c r="BG222" t="s">
        <v>169</v>
      </c>
      <c r="CB222">
        <v>1.758753983359679</v>
      </c>
      <c r="CC222">
        <v>2093.9450749060825</v>
      </c>
      <c r="CD222">
        <v>2.0423864634905899</v>
      </c>
      <c r="CE222">
        <v>3.37084505092071</v>
      </c>
      <c r="CF222">
        <v>2.5340690539667698</v>
      </c>
      <c r="CG222">
        <v>1.2691215765017201</v>
      </c>
      <c r="CH222">
        <v>0.80874509740031797</v>
      </c>
      <c r="CI222">
        <v>1.66963544635729</v>
      </c>
      <c r="CJ222">
        <v>2.31200253519168</v>
      </c>
      <c r="CK222">
        <v>1.1576546846970699</v>
      </c>
      <c r="CL222">
        <v>0.26030650762149998</v>
      </c>
      <c r="CM222">
        <v>1.29819962782172</v>
      </c>
      <c r="CN222">
        <v>2.2339783292891302</v>
      </c>
      <c r="CO222">
        <v>1.1112639423694799</v>
      </c>
      <c r="CP222">
        <v>0.87227532860314405</v>
      </c>
      <c r="CQ222">
        <v>1.0104579939946701</v>
      </c>
      <c r="CR222">
        <v>2.6949454232666099</v>
      </c>
      <c r="CS222">
        <v>1.4913872152582699</v>
      </c>
      <c r="CT222">
        <v>2.24500220970608</v>
      </c>
      <c r="CU222">
        <v>2.9981416587330298</v>
      </c>
      <c r="CV222">
        <v>1.92167470408387</v>
      </c>
      <c r="CW222">
        <v>1.87298681791993</v>
      </c>
    </row>
    <row r="223" spans="1:101" x14ac:dyDescent="0.25">
      <c r="A223" s="6">
        <v>222</v>
      </c>
      <c r="B223" s="6">
        <v>1</v>
      </c>
      <c r="C223" t="s">
        <v>121</v>
      </c>
      <c r="D223" t="s">
        <v>167</v>
      </c>
      <c r="E223" t="s">
        <v>168</v>
      </c>
      <c r="F223">
        <v>-1</v>
      </c>
      <c r="G223">
        <v>20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1290</v>
      </c>
      <c r="P223">
        <v>150.70688743480801</v>
      </c>
      <c r="Q223">
        <v>-1</v>
      </c>
      <c r="R223">
        <v>-1</v>
      </c>
      <c r="S223">
        <v>-1</v>
      </c>
      <c r="T223">
        <v>0.499</v>
      </c>
      <c r="U223">
        <v>0.51600000000000001</v>
      </c>
      <c r="V223">
        <v>0.502</v>
      </c>
      <c r="W223">
        <v>0.71199999999999997</v>
      </c>
      <c r="X223">
        <v>0.48099999999999998</v>
      </c>
      <c r="Y223">
        <v>0.76400000000000001</v>
      </c>
      <c r="Z223">
        <v>0.46899999999999997</v>
      </c>
      <c r="AA223">
        <v>0.59499999999999997</v>
      </c>
      <c r="AB223">
        <v>1.147</v>
      </c>
      <c r="AC223">
        <v>0.502</v>
      </c>
      <c r="AD223">
        <v>0.50900000000000001</v>
      </c>
      <c r="AE223">
        <v>0.46</v>
      </c>
      <c r="AF223">
        <v>0.49299999999999999</v>
      </c>
      <c r="AG223">
        <v>0.505</v>
      </c>
      <c r="AH223">
        <v>0.65200000000000002</v>
      </c>
      <c r="AI223">
        <v>0.55900000000000005</v>
      </c>
      <c r="AJ223">
        <v>0.502</v>
      </c>
      <c r="AK223">
        <v>0.47599999999999998</v>
      </c>
      <c r="AL223">
        <v>0.50800000000000001</v>
      </c>
      <c r="AM223">
        <v>0.48899999999999999</v>
      </c>
      <c r="AN223" t="s">
        <v>169</v>
      </c>
      <c r="AO223" t="s">
        <v>169</v>
      </c>
      <c r="AP223" t="s">
        <v>169</v>
      </c>
      <c r="AQ223" t="s">
        <v>169</v>
      </c>
      <c r="AR223" t="s">
        <v>169</v>
      </c>
      <c r="AS223" t="s">
        <v>169</v>
      </c>
      <c r="AT223" t="s">
        <v>169</v>
      </c>
      <c r="AU223" t="s">
        <v>169</v>
      </c>
      <c r="AV223" t="s">
        <v>169</v>
      </c>
      <c r="AW223" t="s">
        <v>169</v>
      </c>
      <c r="AX223" t="s">
        <v>169</v>
      </c>
      <c r="AY223" t="s">
        <v>169</v>
      </c>
      <c r="AZ223" t="s">
        <v>169</v>
      </c>
      <c r="BA223" t="s">
        <v>169</v>
      </c>
      <c r="BB223" t="s">
        <v>169</v>
      </c>
      <c r="BC223" t="s">
        <v>169</v>
      </c>
      <c r="BD223" t="s">
        <v>169</v>
      </c>
      <c r="BE223" t="s">
        <v>169</v>
      </c>
      <c r="BF223" t="s">
        <v>169</v>
      </c>
      <c r="BG223" t="s">
        <v>169</v>
      </c>
      <c r="CB223">
        <v>1.3255241707714389</v>
      </c>
      <c r="CC223">
        <v>199.76562199656848</v>
      </c>
      <c r="CD223">
        <v>0.81023059668390596</v>
      </c>
      <c r="CE223">
        <v>0.88367171365022601</v>
      </c>
      <c r="CF223">
        <v>0.822907183790618</v>
      </c>
      <c r="CG223">
        <v>2.0344705600492698</v>
      </c>
      <c r="CH223">
        <v>0.73668864187058802</v>
      </c>
      <c r="CI223">
        <v>2.4419683169381701</v>
      </c>
      <c r="CJ223">
        <v>0.690026689097195</v>
      </c>
      <c r="CK223">
        <v>1.2779891521828</v>
      </c>
      <c r="CL223">
        <v>6.9951571981901397</v>
      </c>
      <c r="CM223">
        <v>0.822907183790618</v>
      </c>
      <c r="CN223">
        <v>0.85295728435863905</v>
      </c>
      <c r="CO223">
        <v>0.65625255955974104</v>
      </c>
      <c r="CP223">
        <v>0.78523879359677495</v>
      </c>
      <c r="CQ223">
        <v>0.83570479796318897</v>
      </c>
      <c r="CR223">
        <v>1.6196810430062201</v>
      </c>
      <c r="CS223">
        <v>1.0872384647870299</v>
      </c>
      <c r="CT223">
        <v>0.822907183790618</v>
      </c>
      <c r="CU223">
        <v>0.71701828966870895</v>
      </c>
      <c r="CV223">
        <v>0.84862386541023005</v>
      </c>
      <c r="CW223">
        <v>0.76884389704409295</v>
      </c>
    </row>
    <row r="224" spans="1:101" x14ac:dyDescent="0.25">
      <c r="A224" s="6">
        <v>223</v>
      </c>
      <c r="B224" s="6">
        <v>1</v>
      </c>
      <c r="C224" t="s">
        <v>121</v>
      </c>
      <c r="D224" t="s">
        <v>161</v>
      </c>
      <c r="E224" t="s">
        <v>154</v>
      </c>
      <c r="F224">
        <v>-1</v>
      </c>
      <c r="G224">
        <v>5</v>
      </c>
      <c r="H224">
        <v>6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709.5</v>
      </c>
      <c r="P224">
        <v>82.888788089144199</v>
      </c>
      <c r="Q224">
        <v>-1</v>
      </c>
      <c r="R224">
        <v>-1</v>
      </c>
      <c r="S224">
        <v>-1</v>
      </c>
      <c r="T224">
        <v>0.91200000000000003</v>
      </c>
      <c r="U224">
        <v>0.96399999999999997</v>
      </c>
      <c r="V224">
        <v>0.997</v>
      </c>
      <c r="W224">
        <v>1.006</v>
      </c>
      <c r="X224">
        <v>1.0569999999999999</v>
      </c>
      <c r="Y224">
        <v>0.97299999999999998</v>
      </c>
      <c r="Z224">
        <v>1.038</v>
      </c>
      <c r="AA224">
        <v>0.96</v>
      </c>
      <c r="AB224">
        <v>0.98099999999999998</v>
      </c>
      <c r="AC224">
        <v>0.98499999999999999</v>
      </c>
      <c r="AD224">
        <v>1.008</v>
      </c>
      <c r="AN224" t="s">
        <v>156</v>
      </c>
      <c r="AO224" t="s">
        <v>156</v>
      </c>
      <c r="AP224" t="s">
        <v>156</v>
      </c>
      <c r="AQ224" t="s">
        <v>155</v>
      </c>
      <c r="AR224" t="s">
        <v>155</v>
      </c>
      <c r="AS224" t="s">
        <v>156</v>
      </c>
      <c r="AT224" t="s">
        <v>155</v>
      </c>
      <c r="AU224" t="s">
        <v>156</v>
      </c>
      <c r="AV224" t="s">
        <v>156</v>
      </c>
      <c r="AW224" t="s">
        <v>155</v>
      </c>
      <c r="AX224" t="s">
        <v>155</v>
      </c>
      <c r="CB224">
        <v>4.7816254460802972</v>
      </c>
      <c r="CC224">
        <v>396.34313832180936</v>
      </c>
      <c r="CD224">
        <v>3.86291238060014</v>
      </c>
      <c r="CE224">
        <v>4.4595161806715797</v>
      </c>
      <c r="CF224">
        <v>4.8657376190996899</v>
      </c>
      <c r="CG224">
        <v>4.98031710964508</v>
      </c>
      <c r="CH224">
        <v>5.6608603776044504</v>
      </c>
      <c r="CI224">
        <v>4.5681513309562298</v>
      </c>
      <c r="CJ224">
        <v>5.4010646010744896</v>
      </c>
      <c r="CK224">
        <v>4.4117482267033301</v>
      </c>
      <c r="CL224">
        <v>4.6660668367820897</v>
      </c>
      <c r="CM224">
        <v>4.7155034096386297</v>
      </c>
      <c r="CN224">
        <v>5.0060018341075603</v>
      </c>
    </row>
    <row r="225" spans="1:101" x14ac:dyDescent="0.25">
      <c r="A225" s="6">
        <v>224</v>
      </c>
      <c r="B225" s="6">
        <v>1</v>
      </c>
      <c r="C225" t="s">
        <v>123</v>
      </c>
      <c r="D225" t="s">
        <v>153</v>
      </c>
      <c r="E225" t="s">
        <v>154</v>
      </c>
      <c r="F225">
        <v>-1</v>
      </c>
      <c r="G225">
        <v>1</v>
      </c>
      <c r="H225">
        <v>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4.8333333333333304</v>
      </c>
      <c r="P225">
        <v>1.3868149031856301</v>
      </c>
      <c r="Q225">
        <v>-1</v>
      </c>
      <c r="R225">
        <v>-1</v>
      </c>
      <c r="S225">
        <v>-1</v>
      </c>
      <c r="T225">
        <v>1.258</v>
      </c>
      <c r="AN225" t="s">
        <v>155</v>
      </c>
      <c r="CB225">
        <v>8.8858931502862699</v>
      </c>
      <c r="CC225">
        <v>12.323089048932106</v>
      </c>
      <c r="CD225">
        <v>8.8858931502862699</v>
      </c>
    </row>
    <row r="226" spans="1:101" x14ac:dyDescent="0.25">
      <c r="A226" s="6">
        <v>225</v>
      </c>
      <c r="B226" s="6">
        <v>1</v>
      </c>
      <c r="C226" t="s">
        <v>123</v>
      </c>
      <c r="D226" t="s">
        <v>173</v>
      </c>
      <c r="E226" t="s">
        <v>168</v>
      </c>
      <c r="F226">
        <v>-1</v>
      </c>
      <c r="G226">
        <v>78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377</v>
      </c>
      <c r="P226">
        <v>108.17156244847899</v>
      </c>
      <c r="Q226">
        <v>-1</v>
      </c>
      <c r="R226">
        <v>-1</v>
      </c>
      <c r="S226">
        <v>-1</v>
      </c>
      <c r="T226">
        <v>0.56799999999999995</v>
      </c>
      <c r="U226">
        <v>0.80100000000000005</v>
      </c>
      <c r="V226">
        <v>0.67500000000000004</v>
      </c>
      <c r="W226">
        <v>0.70099999999999996</v>
      </c>
      <c r="X226">
        <v>0.747</v>
      </c>
      <c r="Y226">
        <v>0.82299999999999995</v>
      </c>
      <c r="Z226">
        <v>0.83499999999999996</v>
      </c>
      <c r="AA226">
        <v>0.60699999999999998</v>
      </c>
      <c r="AB226">
        <v>0.78600000000000003</v>
      </c>
      <c r="AC226">
        <v>0.77600000000000002</v>
      </c>
      <c r="AD226">
        <v>0.72099999999999997</v>
      </c>
      <c r="AE226">
        <v>0.89</v>
      </c>
      <c r="AF226">
        <v>0.64900000000000002</v>
      </c>
      <c r="AG226">
        <v>0.80100000000000005</v>
      </c>
      <c r="AH226">
        <v>0.69599999999999995</v>
      </c>
      <c r="AI226">
        <v>0.84799999999999998</v>
      </c>
      <c r="AJ226">
        <v>0.74</v>
      </c>
      <c r="AK226">
        <v>0.72399999999999998</v>
      </c>
      <c r="AL226">
        <v>0.51600000000000001</v>
      </c>
      <c r="AM226">
        <v>0.77</v>
      </c>
      <c r="AN226" t="s">
        <v>169</v>
      </c>
      <c r="AO226" t="s">
        <v>169</v>
      </c>
      <c r="AP226" t="s">
        <v>169</v>
      </c>
      <c r="AQ226" t="s">
        <v>169</v>
      </c>
      <c r="AR226" t="s">
        <v>169</v>
      </c>
      <c r="AS226" t="s">
        <v>169</v>
      </c>
      <c r="AT226" t="s">
        <v>169</v>
      </c>
      <c r="AU226" t="s">
        <v>169</v>
      </c>
      <c r="AV226" t="s">
        <v>169</v>
      </c>
      <c r="AW226" t="s">
        <v>169</v>
      </c>
      <c r="AX226" t="s">
        <v>169</v>
      </c>
      <c r="AY226" t="s">
        <v>169</v>
      </c>
      <c r="AZ226" t="s">
        <v>169</v>
      </c>
      <c r="BA226" t="s">
        <v>169</v>
      </c>
      <c r="BB226" t="s">
        <v>169</v>
      </c>
      <c r="BC226" t="s">
        <v>169</v>
      </c>
      <c r="BD226" t="s">
        <v>169</v>
      </c>
      <c r="BE226" t="s">
        <v>169</v>
      </c>
      <c r="BF226" t="s">
        <v>169</v>
      </c>
      <c r="BG226" t="s">
        <v>169</v>
      </c>
      <c r="CB226">
        <v>1.679436727556531</v>
      </c>
      <c r="CC226">
        <v>181.66729485315048</v>
      </c>
      <c r="CD226">
        <v>0.55679039234622396</v>
      </c>
      <c r="CE226">
        <v>2.1794651492149</v>
      </c>
      <c r="CF226">
        <v>1.10475205503151</v>
      </c>
      <c r="CG226">
        <v>1.28359900356054</v>
      </c>
      <c r="CH226">
        <v>1.6520060336426901</v>
      </c>
      <c r="CI226">
        <v>2.4269799345799301</v>
      </c>
      <c r="CJ226">
        <v>2.5705387058146498</v>
      </c>
      <c r="CK226">
        <v>0.724749531904054</v>
      </c>
      <c r="CL226">
        <v>2.0218845224020998</v>
      </c>
      <c r="CM226">
        <v>1.92167470408387</v>
      </c>
      <c r="CN226">
        <v>1.43526416225078</v>
      </c>
      <c r="CO226">
        <v>3.3113658555772898</v>
      </c>
      <c r="CP226">
        <v>0.94523607086767103</v>
      </c>
      <c r="CQ226">
        <v>2.1794651492149</v>
      </c>
      <c r="CR226">
        <v>1.24763491858824</v>
      </c>
      <c r="CS226">
        <v>2.7331305300733102</v>
      </c>
      <c r="CT226">
        <v>1.5913978511125999</v>
      </c>
      <c r="CU226">
        <v>1.45911978979715</v>
      </c>
      <c r="CV226">
        <v>0.38031911643132399</v>
      </c>
      <c r="CW226">
        <v>1.86336107463689</v>
      </c>
    </row>
    <row r="227" spans="1:101" x14ac:dyDescent="0.25">
      <c r="A227" s="6">
        <v>226</v>
      </c>
      <c r="B227" s="6">
        <v>1</v>
      </c>
      <c r="C227" t="s">
        <v>123</v>
      </c>
      <c r="D227" t="s">
        <v>166</v>
      </c>
      <c r="E227" t="s">
        <v>154</v>
      </c>
      <c r="F227">
        <v>-1</v>
      </c>
      <c r="G227">
        <v>5</v>
      </c>
      <c r="H227">
        <v>24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140.166666666667</v>
      </c>
      <c r="P227">
        <v>40.2176321923831</v>
      </c>
      <c r="Q227">
        <v>-1</v>
      </c>
      <c r="R227">
        <v>-1</v>
      </c>
      <c r="S227">
        <v>-1</v>
      </c>
      <c r="T227">
        <v>0.92</v>
      </c>
      <c r="U227">
        <v>1.012</v>
      </c>
      <c r="V227">
        <v>0.78800000000000003</v>
      </c>
      <c r="W227">
        <v>0.75800000000000001</v>
      </c>
      <c r="X227">
        <v>0.79</v>
      </c>
      <c r="Y227">
        <v>0.88100000000000001</v>
      </c>
      <c r="Z227">
        <v>0.79600000000000004</v>
      </c>
      <c r="AA227">
        <v>0.99299999999999999</v>
      </c>
      <c r="AB227">
        <v>0.85499999999999998</v>
      </c>
      <c r="AC227">
        <v>1.0149999999999999</v>
      </c>
      <c r="AD227">
        <v>0.85399999999999998</v>
      </c>
      <c r="AE227">
        <v>0.871</v>
      </c>
      <c r="AF227">
        <v>0.872</v>
      </c>
      <c r="AG227">
        <v>0.91400000000000003</v>
      </c>
      <c r="AH227">
        <v>0.92</v>
      </c>
      <c r="AI227">
        <v>0.81299999999999994</v>
      </c>
      <c r="AJ227">
        <v>0.80600000000000005</v>
      </c>
      <c r="AK227">
        <v>0.79700000000000004</v>
      </c>
      <c r="AL227">
        <v>0.81299999999999994</v>
      </c>
      <c r="AM227">
        <v>0.76500000000000001</v>
      </c>
      <c r="AN227" t="s">
        <v>156</v>
      </c>
      <c r="AO227" t="s">
        <v>155</v>
      </c>
      <c r="AP227" t="s">
        <v>156</v>
      </c>
      <c r="AQ227" t="s">
        <v>156</v>
      </c>
      <c r="AR227" t="s">
        <v>156</v>
      </c>
      <c r="AS227" t="s">
        <v>156</v>
      </c>
      <c r="AT227" t="s">
        <v>156</v>
      </c>
      <c r="AU227" t="s">
        <v>155</v>
      </c>
      <c r="AV227" t="s">
        <v>156</v>
      </c>
      <c r="AW227" t="s">
        <v>155</v>
      </c>
      <c r="AX227" t="s">
        <v>156</v>
      </c>
      <c r="AY227" t="s">
        <v>156</v>
      </c>
      <c r="AZ227" t="s">
        <v>156</v>
      </c>
      <c r="BA227" t="s">
        <v>155</v>
      </c>
      <c r="BB227" t="s">
        <v>155</v>
      </c>
      <c r="BC227" t="s">
        <v>156</v>
      </c>
      <c r="BD227" t="s">
        <v>156</v>
      </c>
      <c r="BE227" t="s">
        <v>156</v>
      </c>
      <c r="BF227" t="s">
        <v>156</v>
      </c>
      <c r="BG227" t="s">
        <v>156</v>
      </c>
      <c r="CB227">
        <v>3.0571734027428632</v>
      </c>
      <c r="CC227">
        <v>122.95227545984876</v>
      </c>
      <c r="CD227">
        <v>3.7771698509072502</v>
      </c>
      <c r="CE227">
        <v>5.5143645631778799</v>
      </c>
      <c r="CF227">
        <v>2.0423864634905899</v>
      </c>
      <c r="CG227">
        <v>1.7507155383794599</v>
      </c>
      <c r="CH227">
        <v>2.0630435335392199</v>
      </c>
      <c r="CI227">
        <v>3.1804106300670099</v>
      </c>
      <c r="CJ227">
        <v>2.1259532929805398</v>
      </c>
      <c r="CK227">
        <v>5.1146669184477904</v>
      </c>
      <c r="CL227">
        <v>2.8238024807844102</v>
      </c>
      <c r="CM227">
        <v>5.57954812315272</v>
      </c>
      <c r="CN227">
        <v>2.8107135451850001</v>
      </c>
      <c r="CO227">
        <v>3.0394913749407499</v>
      </c>
      <c r="CP227">
        <v>3.0533689517175402</v>
      </c>
      <c r="CQ227">
        <v>3.6803170785330099</v>
      </c>
      <c r="CR227">
        <v>3.7771698509072502</v>
      </c>
      <c r="CS227">
        <v>2.31200253519168</v>
      </c>
      <c r="CT227">
        <v>2.2339783292891302</v>
      </c>
      <c r="CU227">
        <v>2.1365761486443402</v>
      </c>
      <c r="CV227">
        <v>2.31200253519168</v>
      </c>
      <c r="CW227">
        <v>1.81578631033002</v>
      </c>
    </row>
    <row r="228" spans="1:101" x14ac:dyDescent="0.25">
      <c r="A228" s="6">
        <v>227</v>
      </c>
      <c r="B228" s="6">
        <v>1</v>
      </c>
      <c r="C228" t="s">
        <v>123</v>
      </c>
      <c r="D228" t="s">
        <v>184</v>
      </c>
      <c r="E228" t="s">
        <v>154</v>
      </c>
      <c r="F228">
        <v>-1</v>
      </c>
      <c r="G228">
        <v>4</v>
      </c>
      <c r="H228">
        <v>0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19.3333333333333</v>
      </c>
      <c r="P228">
        <v>5.5472596127424998</v>
      </c>
      <c r="Q228">
        <v>-1</v>
      </c>
      <c r="R228">
        <v>-1</v>
      </c>
      <c r="S228">
        <v>-1</v>
      </c>
      <c r="T228">
        <v>0.42699999999999999</v>
      </c>
      <c r="U228">
        <v>0.55800000000000005</v>
      </c>
      <c r="V228">
        <v>1.006</v>
      </c>
      <c r="W228">
        <v>0.46500000000000002</v>
      </c>
      <c r="AN228" t="s">
        <v>155</v>
      </c>
      <c r="AO228" t="s">
        <v>155</v>
      </c>
      <c r="AP228" t="s">
        <v>155</v>
      </c>
      <c r="AQ228" t="s">
        <v>155</v>
      </c>
      <c r="CB228">
        <v>1.8196465307268388</v>
      </c>
      <c r="CC228">
        <v>10.094051709367998</v>
      </c>
      <c r="CD228">
        <v>0.54117337598746795</v>
      </c>
      <c r="CE228">
        <v>1.08220815308457</v>
      </c>
      <c r="CF228">
        <v>4.98031710964508</v>
      </c>
      <c r="CG228">
        <v>0.67488748419023703</v>
      </c>
    </row>
    <row r="229" spans="1:101" x14ac:dyDescent="0.25">
      <c r="A229" s="6">
        <v>228</v>
      </c>
      <c r="B229" s="6">
        <v>1</v>
      </c>
      <c r="C229" t="s">
        <v>123</v>
      </c>
      <c r="D229" t="s">
        <v>161</v>
      </c>
      <c r="E229" t="s">
        <v>154</v>
      </c>
      <c r="F229">
        <v>-1</v>
      </c>
      <c r="G229">
        <v>2</v>
      </c>
      <c r="H229">
        <v>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14.5</v>
      </c>
      <c r="P229">
        <v>4.1604447095568799</v>
      </c>
      <c r="Q229">
        <v>-1</v>
      </c>
      <c r="R229">
        <v>-1</v>
      </c>
      <c r="S229">
        <v>-1</v>
      </c>
      <c r="T229">
        <v>1.042</v>
      </c>
      <c r="U229">
        <v>1.014</v>
      </c>
      <c r="V229">
        <v>0.95599999999999996</v>
      </c>
      <c r="AN229" t="s">
        <v>155</v>
      </c>
      <c r="AO229" t="s">
        <v>155</v>
      </c>
      <c r="AP229" t="s">
        <v>156</v>
      </c>
      <c r="CB229">
        <v>4.9676584908640002</v>
      </c>
      <c r="CC229">
        <v>20.667668487200444</v>
      </c>
      <c r="CD229">
        <v>5.4551364527640898</v>
      </c>
      <c r="CE229">
        <v>5.0835433301828701</v>
      </c>
      <c r="CF229">
        <v>4.36429568964504</v>
      </c>
    </row>
    <row r="230" spans="1:101" x14ac:dyDescent="0.25">
      <c r="A230" s="6">
        <v>229</v>
      </c>
      <c r="B230" s="6">
        <v>1</v>
      </c>
      <c r="C230" t="s">
        <v>123</v>
      </c>
      <c r="D230" t="s">
        <v>181</v>
      </c>
      <c r="E230" t="s">
        <v>154</v>
      </c>
      <c r="F230">
        <v>-1</v>
      </c>
      <c r="G230">
        <v>40</v>
      </c>
      <c r="H230">
        <v>17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275.5</v>
      </c>
      <c r="P230">
        <v>79.048449481580604</v>
      </c>
      <c r="Q230">
        <v>-1</v>
      </c>
      <c r="R230">
        <v>-1</v>
      </c>
      <c r="S230">
        <v>-1</v>
      </c>
      <c r="T230">
        <v>1.4970000000000001</v>
      </c>
      <c r="U230">
        <v>1.26</v>
      </c>
      <c r="V230">
        <v>1.474</v>
      </c>
      <c r="W230">
        <v>1.3049999999999999</v>
      </c>
      <c r="X230">
        <v>1.3660000000000001</v>
      </c>
      <c r="Y230">
        <v>1.43</v>
      </c>
      <c r="Z230">
        <v>1.4410000000000001</v>
      </c>
      <c r="AA230">
        <v>1.484</v>
      </c>
      <c r="AB230">
        <v>1.4910000000000001</v>
      </c>
      <c r="AC230">
        <v>1.492</v>
      </c>
      <c r="AD230">
        <v>1.359</v>
      </c>
      <c r="AE230">
        <v>1.319</v>
      </c>
      <c r="AF230">
        <v>1.1850000000000001</v>
      </c>
      <c r="AG230">
        <v>1.1990000000000001</v>
      </c>
      <c r="AH230">
        <v>1.2729999999999999</v>
      </c>
      <c r="AI230">
        <v>1.45</v>
      </c>
      <c r="AJ230">
        <v>1.331</v>
      </c>
      <c r="AK230">
        <v>1.431</v>
      </c>
      <c r="AL230">
        <v>1.24</v>
      </c>
      <c r="AM230">
        <v>1.4339999999999999</v>
      </c>
      <c r="AN230" t="s">
        <v>155</v>
      </c>
      <c r="AO230" t="s">
        <v>156</v>
      </c>
      <c r="AP230" t="s">
        <v>155</v>
      </c>
      <c r="AQ230" t="s">
        <v>156</v>
      </c>
      <c r="AR230" t="s">
        <v>155</v>
      </c>
      <c r="AS230" t="s">
        <v>155</v>
      </c>
      <c r="AT230" t="s">
        <v>155</v>
      </c>
      <c r="AU230" t="s">
        <v>155</v>
      </c>
      <c r="AV230" t="s">
        <v>155</v>
      </c>
      <c r="AW230" t="s">
        <v>155</v>
      </c>
      <c r="AX230" t="s">
        <v>156</v>
      </c>
      <c r="AY230" t="s">
        <v>155</v>
      </c>
      <c r="AZ230" t="s">
        <v>156</v>
      </c>
      <c r="BA230" t="s">
        <v>156</v>
      </c>
      <c r="BB230" t="s">
        <v>156</v>
      </c>
      <c r="BC230" t="s">
        <v>155</v>
      </c>
      <c r="BD230" t="s">
        <v>156</v>
      </c>
      <c r="BE230" t="s">
        <v>155</v>
      </c>
      <c r="BF230" t="s">
        <v>156</v>
      </c>
      <c r="BG230" t="s">
        <v>155</v>
      </c>
      <c r="CB230">
        <v>11.268944622656033</v>
      </c>
      <c r="CC230">
        <v>890.79259971475483</v>
      </c>
      <c r="CD230">
        <v>13.942886405032199</v>
      </c>
      <c r="CE230">
        <v>8.9225283817413192</v>
      </c>
      <c r="CF230">
        <v>13.3948146527965</v>
      </c>
      <c r="CG230">
        <v>9.7714598403741402</v>
      </c>
      <c r="CH230">
        <v>10.9988058891599</v>
      </c>
      <c r="CI230">
        <v>12.383646984456799</v>
      </c>
      <c r="CJ230">
        <v>12.631878406490401</v>
      </c>
      <c r="CK230">
        <v>13.631449207483101</v>
      </c>
      <c r="CL230">
        <v>13.7986094511538</v>
      </c>
      <c r="CM230">
        <v>13.822591648791001</v>
      </c>
      <c r="CN230">
        <v>10.8534202430666</v>
      </c>
      <c r="CO230">
        <v>10.0452846261663</v>
      </c>
      <c r="CP230">
        <v>7.6112984856430899</v>
      </c>
      <c r="CQ230">
        <v>7.8463903573914102</v>
      </c>
      <c r="CR230">
        <v>9.1629178239901794</v>
      </c>
      <c r="CS230">
        <v>12.8372308762572</v>
      </c>
      <c r="CT230">
        <v>10.283699790521499</v>
      </c>
      <c r="CU230">
        <v>12.406088578368999</v>
      </c>
      <c r="CV230">
        <v>8.5603277092170895</v>
      </c>
      <c r="CW230">
        <v>12.473563095019101</v>
      </c>
    </row>
    <row r="231" spans="1:101" x14ac:dyDescent="0.25">
      <c r="A231" s="6">
        <v>230</v>
      </c>
      <c r="B231" s="6">
        <v>1</v>
      </c>
      <c r="C231" t="s">
        <v>123</v>
      </c>
      <c r="D231" t="s">
        <v>186</v>
      </c>
      <c r="E231" t="s">
        <v>154</v>
      </c>
      <c r="F231">
        <v>-1</v>
      </c>
      <c r="G231">
        <v>22</v>
      </c>
      <c r="H231">
        <v>19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198.166666666667</v>
      </c>
      <c r="P231">
        <v>56.859411030610602</v>
      </c>
      <c r="Q231">
        <v>-1</v>
      </c>
      <c r="R231">
        <v>-1</v>
      </c>
      <c r="S231">
        <v>-1</v>
      </c>
      <c r="T231">
        <v>2.3889999999999998</v>
      </c>
      <c r="U231">
        <v>2.524</v>
      </c>
      <c r="V231">
        <v>2.177</v>
      </c>
      <c r="W231">
        <v>2.42</v>
      </c>
      <c r="X231">
        <v>2.4089999999999998</v>
      </c>
      <c r="Y231">
        <v>2.2770000000000001</v>
      </c>
      <c r="Z231">
        <v>2.6230000000000002</v>
      </c>
      <c r="AA231">
        <v>2.4380000000000002</v>
      </c>
      <c r="AB231">
        <v>2.5630000000000002</v>
      </c>
      <c r="AC231">
        <v>2.4889999999999999</v>
      </c>
      <c r="AD231">
        <v>2.5489999999999999</v>
      </c>
      <c r="AE231">
        <v>2.35</v>
      </c>
      <c r="AF231">
        <v>2.359</v>
      </c>
      <c r="AG231">
        <v>2.4159999999999999</v>
      </c>
      <c r="AH231">
        <v>2.302</v>
      </c>
      <c r="AI231">
        <v>2.5449999999999999</v>
      </c>
      <c r="AJ231">
        <v>2.2799999999999998</v>
      </c>
      <c r="AK231">
        <v>2.23</v>
      </c>
      <c r="AL231">
        <v>2.5230000000000001</v>
      </c>
      <c r="AM231">
        <v>2.6139999999999999</v>
      </c>
      <c r="AN231" t="s">
        <v>156</v>
      </c>
      <c r="AO231" t="s">
        <v>155</v>
      </c>
      <c r="AP231" t="s">
        <v>156</v>
      </c>
      <c r="AQ231" t="s">
        <v>156</v>
      </c>
      <c r="AR231" t="s">
        <v>155</v>
      </c>
      <c r="AS231" t="s">
        <v>156</v>
      </c>
      <c r="AT231" t="s">
        <v>155</v>
      </c>
      <c r="AU231" t="s">
        <v>156</v>
      </c>
      <c r="AV231" t="s">
        <v>156</v>
      </c>
      <c r="AW231" t="s">
        <v>155</v>
      </c>
      <c r="AX231" t="s">
        <v>155</v>
      </c>
      <c r="AY231" t="s">
        <v>155</v>
      </c>
      <c r="AZ231" t="s">
        <v>156</v>
      </c>
      <c r="BA231" t="s">
        <v>155</v>
      </c>
      <c r="BB231" t="s">
        <v>155</v>
      </c>
      <c r="BC231" t="s">
        <v>155</v>
      </c>
      <c r="BD231" t="s">
        <v>156</v>
      </c>
      <c r="BE231" t="s">
        <v>156</v>
      </c>
      <c r="BF231" t="s">
        <v>155</v>
      </c>
      <c r="BG231" t="s">
        <v>155</v>
      </c>
      <c r="CB231">
        <v>48.84230077048413</v>
      </c>
      <c r="CC231">
        <v>2777.1444551896661</v>
      </c>
      <c r="CD231">
        <v>46.785153000404598</v>
      </c>
      <c r="CE231">
        <v>53.943564958835303</v>
      </c>
      <c r="CF231">
        <v>36.777445234353401</v>
      </c>
      <c r="CG231">
        <v>48.373779885982003</v>
      </c>
      <c r="CH231">
        <v>47.806344662241003</v>
      </c>
      <c r="CI231">
        <v>41.314117041293798</v>
      </c>
      <c r="CJ231">
        <v>59.5958198753179</v>
      </c>
      <c r="CK231">
        <v>49.311193326645601</v>
      </c>
      <c r="CL231">
        <v>56.128975623662697</v>
      </c>
      <c r="CM231">
        <v>52.027470116604</v>
      </c>
      <c r="CN231">
        <v>55.338336527381102</v>
      </c>
      <c r="CO231">
        <v>44.832606570734903</v>
      </c>
      <c r="CP231">
        <v>45.278662865446201</v>
      </c>
      <c r="CQ231">
        <v>48.1669641691743</v>
      </c>
      <c r="CR231">
        <v>42.499224286276998</v>
      </c>
      <c r="CS231">
        <v>55.113703274559001</v>
      </c>
      <c r="CT231">
        <v>41.455244407571797</v>
      </c>
      <c r="CU231">
        <v>39.141532141984101</v>
      </c>
      <c r="CV231">
        <v>53.888228259098298</v>
      </c>
      <c r="CW231">
        <v>59.067649182115701</v>
      </c>
    </row>
    <row r="232" spans="1:101" x14ac:dyDescent="0.25">
      <c r="A232" s="6">
        <v>231</v>
      </c>
      <c r="B232" s="6">
        <v>1</v>
      </c>
      <c r="C232" t="s">
        <v>125</v>
      </c>
      <c r="D232" t="s">
        <v>166</v>
      </c>
      <c r="E232" t="s">
        <v>154</v>
      </c>
      <c r="F232">
        <v>-1</v>
      </c>
      <c r="G232">
        <v>29</v>
      </c>
      <c r="H232">
        <v>89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3510.5</v>
      </c>
      <c r="P232">
        <v>428.25595686427999</v>
      </c>
      <c r="Q232">
        <v>-1</v>
      </c>
      <c r="R232">
        <v>-1</v>
      </c>
      <c r="S232">
        <v>-1</v>
      </c>
      <c r="T232">
        <v>0.80800000000000005</v>
      </c>
      <c r="U232">
        <v>1.0609999999999999</v>
      </c>
      <c r="V232">
        <v>0.79500000000000004</v>
      </c>
      <c r="W232">
        <v>0.81</v>
      </c>
      <c r="X232">
        <v>0.76900000000000002</v>
      </c>
      <c r="Y232">
        <v>0.753</v>
      </c>
      <c r="Z232">
        <v>1.012</v>
      </c>
      <c r="AA232">
        <v>1.093</v>
      </c>
      <c r="AB232">
        <v>0.80800000000000005</v>
      </c>
      <c r="AC232">
        <v>0.81100000000000005</v>
      </c>
      <c r="AD232">
        <v>0.83699999999999997</v>
      </c>
      <c r="AE232">
        <v>0.95699999999999996</v>
      </c>
      <c r="AF232">
        <v>0.81499999999999995</v>
      </c>
      <c r="AG232">
        <v>0.80600000000000005</v>
      </c>
      <c r="AH232">
        <v>0.79800000000000004</v>
      </c>
      <c r="AI232">
        <v>0.78700000000000003</v>
      </c>
      <c r="AJ232">
        <v>0.76900000000000002</v>
      </c>
      <c r="AK232">
        <v>0.81299999999999994</v>
      </c>
      <c r="AL232">
        <v>0.99399999999999999</v>
      </c>
      <c r="AM232">
        <v>0.97199999999999998</v>
      </c>
      <c r="AN232" t="s">
        <v>156</v>
      </c>
      <c r="AO232" t="s">
        <v>155</v>
      </c>
      <c r="AP232" t="s">
        <v>156</v>
      </c>
      <c r="AQ232" t="s">
        <v>156</v>
      </c>
      <c r="AR232" t="s">
        <v>156</v>
      </c>
      <c r="AS232" t="s">
        <v>156</v>
      </c>
      <c r="AT232" t="s">
        <v>155</v>
      </c>
      <c r="AU232" t="s">
        <v>155</v>
      </c>
      <c r="AV232" t="s">
        <v>156</v>
      </c>
      <c r="AW232" t="s">
        <v>156</v>
      </c>
      <c r="AX232" t="s">
        <v>156</v>
      </c>
      <c r="AY232" t="s">
        <v>155</v>
      </c>
      <c r="AZ232" t="s">
        <v>156</v>
      </c>
      <c r="BA232" t="s">
        <v>156</v>
      </c>
      <c r="BB232" t="s">
        <v>156</v>
      </c>
      <c r="BC232" t="s">
        <v>156</v>
      </c>
      <c r="BD232" t="s">
        <v>156</v>
      </c>
      <c r="BE232" t="s">
        <v>156</v>
      </c>
      <c r="BF232" t="s">
        <v>155</v>
      </c>
      <c r="BG232" t="s">
        <v>155</v>
      </c>
      <c r="CB232">
        <v>3.208378996158868</v>
      </c>
      <c r="CC232">
        <v>1374.0074169832742</v>
      </c>
      <c r="CD232">
        <v>2.2560667360250299</v>
      </c>
      <c r="CE232">
        <v>6.6530213027982503</v>
      </c>
      <c r="CF232">
        <v>2.1153699989897001</v>
      </c>
      <c r="CG232">
        <v>2.27831812361593</v>
      </c>
      <c r="CH232">
        <v>1.85377238770398</v>
      </c>
      <c r="CI232">
        <v>1.7053161125516001</v>
      </c>
      <c r="CJ232">
        <v>5.5143645631778799</v>
      </c>
      <c r="CK232">
        <v>7.4860182734945502</v>
      </c>
      <c r="CL232">
        <v>2.2560667360250299</v>
      </c>
      <c r="CM232">
        <v>2.2895051838095601</v>
      </c>
      <c r="CN232">
        <v>2.5950689907210802</v>
      </c>
      <c r="CO232">
        <v>4.41722206537513</v>
      </c>
      <c r="CP232">
        <v>2.3346648602228699</v>
      </c>
      <c r="CQ232">
        <v>2.2339783292891302</v>
      </c>
      <c r="CR232">
        <v>2.1472386639509198</v>
      </c>
      <c r="CS232">
        <v>2.03211615028916</v>
      </c>
      <c r="CT232">
        <v>1.85377238770398</v>
      </c>
      <c r="CU232">
        <v>2.31200253519168</v>
      </c>
      <c r="CV232">
        <v>5.1351458847879599</v>
      </c>
      <c r="CW232">
        <v>4.6985506374539199</v>
      </c>
    </row>
    <row r="233" spans="1:101" x14ac:dyDescent="0.25">
      <c r="A233" s="6">
        <v>232</v>
      </c>
      <c r="B233" s="6">
        <v>1</v>
      </c>
      <c r="C233" t="s">
        <v>125</v>
      </c>
      <c r="D233" t="s">
        <v>167</v>
      </c>
      <c r="E233" t="s">
        <v>168</v>
      </c>
      <c r="F233">
        <v>-1</v>
      </c>
      <c r="G233">
        <v>12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357</v>
      </c>
      <c r="P233">
        <v>43.551453240435301</v>
      </c>
      <c r="Q233">
        <v>-1</v>
      </c>
      <c r="R233">
        <v>-1</v>
      </c>
      <c r="S233">
        <v>-1</v>
      </c>
      <c r="T233">
        <v>0.53200000000000003</v>
      </c>
      <c r="U233">
        <v>0.47699999999999998</v>
      </c>
      <c r="V233">
        <v>0.74399999999999999</v>
      </c>
      <c r="W233">
        <v>0.46500000000000002</v>
      </c>
      <c r="X233">
        <v>0.48299999999999998</v>
      </c>
      <c r="Y233">
        <v>0.67100000000000004</v>
      </c>
      <c r="Z233">
        <v>0.64700000000000002</v>
      </c>
      <c r="AA233">
        <v>0.48099999999999998</v>
      </c>
      <c r="AB233">
        <v>0.44400000000000001</v>
      </c>
      <c r="AC233">
        <v>0.495</v>
      </c>
      <c r="AD233">
        <v>0.66400000000000003</v>
      </c>
      <c r="AE233">
        <v>0.44900000000000001</v>
      </c>
      <c r="AN233" t="s">
        <v>169</v>
      </c>
      <c r="AO233" t="s">
        <v>169</v>
      </c>
      <c r="AP233" t="s">
        <v>169</v>
      </c>
      <c r="AQ233" t="s">
        <v>169</v>
      </c>
      <c r="AR233" t="s">
        <v>169</v>
      </c>
      <c r="AS233" t="s">
        <v>169</v>
      </c>
      <c r="AT233" t="s">
        <v>169</v>
      </c>
      <c r="AU233" t="s">
        <v>169</v>
      </c>
      <c r="AV233" t="s">
        <v>169</v>
      </c>
      <c r="AW233" t="s">
        <v>169</v>
      </c>
      <c r="AX233" t="s">
        <v>169</v>
      </c>
      <c r="AY233" t="s">
        <v>169</v>
      </c>
      <c r="CB233">
        <v>1.096044411525676</v>
      </c>
      <c r="CC233">
        <v>47.734326938000905</v>
      </c>
      <c r="CD233">
        <v>0.95639952967041897</v>
      </c>
      <c r="CE233">
        <v>0.72092623143924395</v>
      </c>
      <c r="CF233">
        <v>2.2798282419575902</v>
      </c>
      <c r="CG233">
        <v>0.67488748419023703</v>
      </c>
      <c r="CH233">
        <v>0.74464845861086204</v>
      </c>
      <c r="CI233">
        <v>1.74477549670273</v>
      </c>
      <c r="CJ233">
        <v>1.58770683044659</v>
      </c>
      <c r="CK233">
        <v>0.73668864187058802</v>
      </c>
      <c r="CL233">
        <v>0.59875633145112805</v>
      </c>
      <c r="CM233">
        <v>0.79351600625052998</v>
      </c>
      <c r="CN233">
        <v>1.69802293451633</v>
      </c>
      <c r="CO233">
        <v>0.61637675120186597</v>
      </c>
    </row>
    <row r="234" spans="1:101" x14ac:dyDescent="0.25">
      <c r="A234" s="6">
        <v>233</v>
      </c>
      <c r="B234" s="6">
        <v>1</v>
      </c>
      <c r="C234" t="s">
        <v>125</v>
      </c>
      <c r="D234" t="s">
        <v>172</v>
      </c>
      <c r="E234" t="s">
        <v>158</v>
      </c>
      <c r="F234">
        <v>-1</v>
      </c>
      <c r="G234">
        <v>3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89.25</v>
      </c>
      <c r="P234">
        <v>10.8878633101088</v>
      </c>
      <c r="Q234">
        <v>-1</v>
      </c>
      <c r="R234">
        <v>-1</v>
      </c>
      <c r="S234">
        <v>-1</v>
      </c>
      <c r="T234">
        <v>0.29799999999999999</v>
      </c>
      <c r="U234">
        <v>0.29299999999999998</v>
      </c>
      <c r="V234">
        <v>0.36899999999999999</v>
      </c>
      <c r="AN234" t="s">
        <v>159</v>
      </c>
      <c r="AO234" t="s">
        <v>159</v>
      </c>
      <c r="AP234" t="s">
        <v>159</v>
      </c>
      <c r="CB234">
        <v>0.86246062125286527</v>
      </c>
      <c r="CC234">
        <v>9.3903533545527136</v>
      </c>
      <c r="CD234">
        <v>0.704001821854362</v>
      </c>
      <c r="CE234">
        <v>0.67449962789376405</v>
      </c>
      <c r="CF234">
        <v>1.2088804140104701</v>
      </c>
    </row>
    <row r="235" spans="1:101" x14ac:dyDescent="0.25">
      <c r="A235" s="6">
        <v>234</v>
      </c>
      <c r="B235" s="6">
        <v>1</v>
      </c>
      <c r="C235" t="s">
        <v>125</v>
      </c>
      <c r="D235" t="s">
        <v>173</v>
      </c>
      <c r="E235" t="s">
        <v>168</v>
      </c>
      <c r="F235">
        <v>-1</v>
      </c>
      <c r="G235">
        <v>100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2975</v>
      </c>
      <c r="P235">
        <v>362.92877700362698</v>
      </c>
      <c r="Q235">
        <v>-1</v>
      </c>
      <c r="R235">
        <v>-1</v>
      </c>
      <c r="S235">
        <v>-1</v>
      </c>
      <c r="T235">
        <v>0.45600000000000002</v>
      </c>
      <c r="U235">
        <v>0.41399999999999998</v>
      </c>
      <c r="V235">
        <v>0.84399999999999997</v>
      </c>
      <c r="W235">
        <v>0.81399999999999995</v>
      </c>
      <c r="X235">
        <v>0.878</v>
      </c>
      <c r="Y235">
        <v>0.65400000000000003</v>
      </c>
      <c r="Z235">
        <v>0.67700000000000005</v>
      </c>
      <c r="AA235">
        <v>0.76900000000000002</v>
      </c>
      <c r="AB235">
        <v>0.83699999999999997</v>
      </c>
      <c r="AC235">
        <v>0.82599999999999996</v>
      </c>
      <c r="AD235">
        <v>0.67700000000000005</v>
      </c>
      <c r="AE235">
        <v>0.55800000000000005</v>
      </c>
      <c r="AF235">
        <v>0.81599999999999995</v>
      </c>
      <c r="AG235">
        <v>0.63600000000000001</v>
      </c>
      <c r="AH235">
        <v>0.35</v>
      </c>
      <c r="AI235">
        <v>0.69199999999999995</v>
      </c>
      <c r="AJ235">
        <v>0.80600000000000005</v>
      </c>
      <c r="AK235">
        <v>0.63200000000000001</v>
      </c>
      <c r="AL235">
        <v>0.377</v>
      </c>
      <c r="AM235">
        <v>0.54500000000000004</v>
      </c>
      <c r="AN235" t="s">
        <v>169</v>
      </c>
      <c r="AO235" t="s">
        <v>169</v>
      </c>
      <c r="AP235" t="s">
        <v>169</v>
      </c>
      <c r="AQ235" t="s">
        <v>169</v>
      </c>
      <c r="AR235" t="s">
        <v>169</v>
      </c>
      <c r="AS235" t="s">
        <v>169</v>
      </c>
      <c r="AT235" t="s">
        <v>169</v>
      </c>
      <c r="AU235" t="s">
        <v>169</v>
      </c>
      <c r="AV235" t="s">
        <v>169</v>
      </c>
      <c r="AW235" t="s">
        <v>169</v>
      </c>
      <c r="AX235" t="s">
        <v>169</v>
      </c>
      <c r="AY235" t="s">
        <v>169</v>
      </c>
      <c r="AZ235" t="s">
        <v>169</v>
      </c>
      <c r="BA235" t="s">
        <v>169</v>
      </c>
      <c r="BB235" t="s">
        <v>169</v>
      </c>
      <c r="BC235" t="s">
        <v>169</v>
      </c>
      <c r="BD235" t="s">
        <v>169</v>
      </c>
      <c r="BE235" t="s">
        <v>169</v>
      </c>
      <c r="BF235" t="s">
        <v>169</v>
      </c>
      <c r="BG235" t="s">
        <v>169</v>
      </c>
      <c r="CB235">
        <v>1.3680301866006472</v>
      </c>
      <c r="CC235">
        <v>496.49752252701649</v>
      </c>
      <c r="CD235">
        <v>0.23281945342660601</v>
      </c>
      <c r="CE235">
        <v>0.15864273708680801</v>
      </c>
      <c r="CF235">
        <v>2.6823061976212301</v>
      </c>
      <c r="CG235">
        <v>2.3233130260173298</v>
      </c>
      <c r="CH235">
        <v>3.1376324514621898</v>
      </c>
      <c r="CI235">
        <v>0.97447903654810897</v>
      </c>
      <c r="CJ235">
        <v>1.1178045025624499</v>
      </c>
      <c r="CK235">
        <v>1.85377238770398</v>
      </c>
      <c r="CL235">
        <v>2.5950689907210802</v>
      </c>
      <c r="CM235">
        <v>2.4622924181654402</v>
      </c>
      <c r="CN235">
        <v>1.1178045025624499</v>
      </c>
      <c r="CO235">
        <v>0.51887961577876396</v>
      </c>
      <c r="CP235">
        <v>2.3460581379249699</v>
      </c>
      <c r="CQ235">
        <v>0.87227532860314405</v>
      </c>
      <c r="CR235">
        <v>8.1447728364652805E-2</v>
      </c>
      <c r="CS235">
        <v>1.2194107938735299</v>
      </c>
      <c r="CT235">
        <v>2.2339783292891302</v>
      </c>
      <c r="CU235">
        <v>0.85069844849835996</v>
      </c>
      <c r="CV235">
        <v>0.10939664427252099</v>
      </c>
      <c r="CW235">
        <v>0.47252300153019799</v>
      </c>
    </row>
    <row r="236" spans="1:101" x14ac:dyDescent="0.25">
      <c r="A236" s="6">
        <v>235</v>
      </c>
      <c r="B236" s="6">
        <v>1</v>
      </c>
      <c r="C236" t="s">
        <v>127</v>
      </c>
      <c r="D236" t="s">
        <v>153</v>
      </c>
      <c r="E236" t="s">
        <v>154</v>
      </c>
      <c r="F236">
        <v>-1</v>
      </c>
      <c r="G236">
        <v>2</v>
      </c>
      <c r="H236">
        <v>0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25</v>
      </c>
      <c r="P236">
        <v>12.809250953069199</v>
      </c>
      <c r="Q236">
        <v>-1</v>
      </c>
      <c r="R236">
        <v>-1</v>
      </c>
      <c r="S236">
        <v>-1</v>
      </c>
      <c r="T236">
        <v>1.3140000000000001</v>
      </c>
      <c r="U236">
        <v>1.347</v>
      </c>
      <c r="AN236" t="s">
        <v>155</v>
      </c>
      <c r="AO236" t="s">
        <v>155</v>
      </c>
      <c r="CB236">
        <v>10.276950572686754</v>
      </c>
      <c r="CC236">
        <v>131.64003891783287</v>
      </c>
      <c r="CD236">
        <v>9.9469565793647092</v>
      </c>
      <c r="CE236">
        <v>10.606944566008799</v>
      </c>
    </row>
    <row r="237" spans="1:101" x14ac:dyDescent="0.25">
      <c r="A237" s="6">
        <v>236</v>
      </c>
      <c r="B237" s="6">
        <v>1</v>
      </c>
      <c r="C237" t="s">
        <v>127</v>
      </c>
      <c r="D237" t="s">
        <v>173</v>
      </c>
      <c r="E237" t="s">
        <v>168</v>
      </c>
      <c r="F237">
        <v>-1</v>
      </c>
      <c r="G237">
        <v>76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950</v>
      </c>
      <c r="P237">
        <v>486.75153621662997</v>
      </c>
      <c r="Q237">
        <v>-1</v>
      </c>
      <c r="R237">
        <v>-1</v>
      </c>
      <c r="S237">
        <v>-1</v>
      </c>
      <c r="T237">
        <v>0.66200000000000003</v>
      </c>
      <c r="U237">
        <v>0.71299999999999997</v>
      </c>
      <c r="V237">
        <v>0.65800000000000003</v>
      </c>
      <c r="W237">
        <v>0.66200000000000003</v>
      </c>
      <c r="X237">
        <v>0.77700000000000002</v>
      </c>
      <c r="Y237">
        <v>0.76300000000000001</v>
      </c>
      <c r="Z237">
        <v>0.64</v>
      </c>
      <c r="AA237">
        <v>0.82499999999999996</v>
      </c>
      <c r="AB237">
        <v>0.66600000000000004</v>
      </c>
      <c r="AC237">
        <v>0.56000000000000005</v>
      </c>
      <c r="AD237">
        <v>0.55800000000000005</v>
      </c>
      <c r="AE237">
        <v>0.78700000000000003</v>
      </c>
      <c r="AF237">
        <v>0.69799999999999995</v>
      </c>
      <c r="AG237">
        <v>0.56699999999999995</v>
      </c>
      <c r="AH237">
        <v>0.73799999999999999</v>
      </c>
      <c r="AI237">
        <v>0.86299999999999999</v>
      </c>
      <c r="AJ237">
        <v>0.82099999999999995</v>
      </c>
      <c r="AK237">
        <v>0.77700000000000002</v>
      </c>
      <c r="AL237">
        <v>0.79</v>
      </c>
      <c r="AM237">
        <v>0.80400000000000005</v>
      </c>
      <c r="AN237" t="s">
        <v>169</v>
      </c>
      <c r="AO237" t="s">
        <v>169</v>
      </c>
      <c r="AP237" t="s">
        <v>169</v>
      </c>
      <c r="AQ237" t="s">
        <v>169</v>
      </c>
      <c r="AR237" t="s">
        <v>169</v>
      </c>
      <c r="AS237" t="s">
        <v>169</v>
      </c>
      <c r="AT237" t="s">
        <v>169</v>
      </c>
      <c r="AU237" t="s">
        <v>169</v>
      </c>
      <c r="AV237" t="s">
        <v>169</v>
      </c>
      <c r="AW237" t="s">
        <v>169</v>
      </c>
      <c r="AX237" t="s">
        <v>169</v>
      </c>
      <c r="AY237" t="s">
        <v>169</v>
      </c>
      <c r="AZ237" t="s">
        <v>169</v>
      </c>
      <c r="BA237" t="s">
        <v>169</v>
      </c>
      <c r="BB237" t="s">
        <v>169</v>
      </c>
      <c r="BC237" t="s">
        <v>169</v>
      </c>
      <c r="BD237" t="s">
        <v>169</v>
      </c>
      <c r="BE237" t="s">
        <v>169</v>
      </c>
      <c r="BF237" t="s">
        <v>169</v>
      </c>
      <c r="BG237" t="s">
        <v>169</v>
      </c>
      <c r="CB237">
        <v>1.527221326682247</v>
      </c>
      <c r="CC237">
        <v>743.37732690538337</v>
      </c>
      <c r="CD237">
        <v>1.0226689213157001</v>
      </c>
      <c r="CE237">
        <v>1.3730750429535801</v>
      </c>
      <c r="CF237">
        <v>0.99835647187642296</v>
      </c>
      <c r="CG237">
        <v>1.0226689213157001</v>
      </c>
      <c r="CH237">
        <v>1.93152478183761</v>
      </c>
      <c r="CI237">
        <v>1.7970131520014301</v>
      </c>
      <c r="CJ237">
        <v>0.89425903501841097</v>
      </c>
      <c r="CK237">
        <v>2.4504791728531501</v>
      </c>
      <c r="CL237">
        <v>1.0474216097848601</v>
      </c>
      <c r="CM237">
        <v>0.52630234754966199</v>
      </c>
      <c r="CN237">
        <v>0.51887961577876396</v>
      </c>
      <c r="CO237">
        <v>2.03211615028916</v>
      </c>
      <c r="CP237">
        <v>1.2619288457620901</v>
      </c>
      <c r="CQ237">
        <v>0.55290890390602798</v>
      </c>
      <c r="CR237">
        <v>1.57439099255107</v>
      </c>
      <c r="CS237">
        <v>2.9301624525319099</v>
      </c>
      <c r="CT237">
        <v>2.4036496913128098</v>
      </c>
      <c r="CU237">
        <v>1.93152478183761</v>
      </c>
      <c r="CV237">
        <v>2.0630435335392199</v>
      </c>
      <c r="CW237">
        <v>2.2120521096297501</v>
      </c>
    </row>
    <row r="238" spans="1:101" x14ac:dyDescent="0.25">
      <c r="A238" s="6">
        <v>237</v>
      </c>
      <c r="B238" s="6">
        <v>1</v>
      </c>
      <c r="C238" t="s">
        <v>127</v>
      </c>
      <c r="D238" t="s">
        <v>167</v>
      </c>
      <c r="E238" t="s">
        <v>168</v>
      </c>
      <c r="F238">
        <v>-1</v>
      </c>
      <c r="G238">
        <v>2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25</v>
      </c>
      <c r="P238">
        <v>12.809250953069199</v>
      </c>
      <c r="Q238">
        <v>-1</v>
      </c>
      <c r="R238">
        <v>-1</v>
      </c>
      <c r="S238">
        <v>-1</v>
      </c>
      <c r="T238">
        <v>0.46400000000000002</v>
      </c>
      <c r="U238">
        <v>0.81599999999999995</v>
      </c>
      <c r="AN238" t="s">
        <v>169</v>
      </c>
      <c r="AO238" t="s">
        <v>169</v>
      </c>
      <c r="CB238">
        <v>1.7835913676832229</v>
      </c>
      <c r="CC238">
        <v>22.84646942638232</v>
      </c>
      <c r="CD238">
        <v>0.671134857517246</v>
      </c>
      <c r="CE238">
        <v>2.8960478778491998</v>
      </c>
    </row>
    <row r="239" spans="1:101" x14ac:dyDescent="0.25">
      <c r="A239" s="6">
        <v>238</v>
      </c>
      <c r="B239" s="6">
        <v>1</v>
      </c>
      <c r="C239" t="s">
        <v>127</v>
      </c>
      <c r="D239" t="s">
        <v>166</v>
      </c>
      <c r="E239" t="s">
        <v>154</v>
      </c>
      <c r="F239">
        <v>-1</v>
      </c>
      <c r="G239">
        <v>35</v>
      </c>
      <c r="H239">
        <v>62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1212.5</v>
      </c>
      <c r="P239">
        <v>621.24867122385604</v>
      </c>
      <c r="Q239">
        <v>-1</v>
      </c>
      <c r="R239">
        <v>-1</v>
      </c>
      <c r="S239">
        <v>-1</v>
      </c>
      <c r="T239">
        <v>0.752</v>
      </c>
      <c r="U239">
        <v>0.95699999999999996</v>
      </c>
      <c r="V239">
        <v>0.78700000000000003</v>
      </c>
      <c r="W239">
        <v>0.94299999999999995</v>
      </c>
      <c r="X239">
        <v>0.95299999999999996</v>
      </c>
      <c r="Y239">
        <v>0.76400000000000001</v>
      </c>
      <c r="Z239">
        <v>0.83399999999999996</v>
      </c>
      <c r="AA239">
        <v>0.79</v>
      </c>
      <c r="AB239">
        <v>0.747</v>
      </c>
      <c r="AC239">
        <v>0.97099999999999997</v>
      </c>
      <c r="AD239">
        <v>0.83899999999999997</v>
      </c>
      <c r="AE239">
        <v>0.77600000000000002</v>
      </c>
      <c r="AF239">
        <v>0.79700000000000004</v>
      </c>
      <c r="AG239">
        <v>0.90400000000000003</v>
      </c>
      <c r="AH239">
        <v>0.997</v>
      </c>
      <c r="AI239">
        <v>0.77</v>
      </c>
      <c r="AJ239">
        <v>0.76300000000000001</v>
      </c>
      <c r="AK239">
        <v>0.77200000000000002</v>
      </c>
      <c r="AL239">
        <v>0.91900000000000004</v>
      </c>
      <c r="AM239">
        <v>0.96099999999999997</v>
      </c>
      <c r="AN239" t="s">
        <v>156</v>
      </c>
      <c r="AO239" t="s">
        <v>155</v>
      </c>
      <c r="AP239" t="s">
        <v>156</v>
      </c>
      <c r="AQ239" t="s">
        <v>155</v>
      </c>
      <c r="AR239" t="s">
        <v>155</v>
      </c>
      <c r="AS239" t="s">
        <v>156</v>
      </c>
      <c r="AT239" t="s">
        <v>156</v>
      </c>
      <c r="AU239" t="s">
        <v>156</v>
      </c>
      <c r="AV239" t="s">
        <v>156</v>
      </c>
      <c r="AW239" t="s">
        <v>155</v>
      </c>
      <c r="AX239" t="s">
        <v>156</v>
      </c>
      <c r="AY239" t="s">
        <v>156</v>
      </c>
      <c r="AZ239" t="s">
        <v>156</v>
      </c>
      <c r="BA239" t="s">
        <v>155</v>
      </c>
      <c r="BB239" t="s">
        <v>155</v>
      </c>
      <c r="BC239" t="s">
        <v>156</v>
      </c>
      <c r="BD239" t="s">
        <v>156</v>
      </c>
      <c r="BE239" t="s">
        <v>156</v>
      </c>
      <c r="BF239" t="s">
        <v>155</v>
      </c>
      <c r="BG239" t="s">
        <v>155</v>
      </c>
      <c r="CB239">
        <v>2.9304165944441523</v>
      </c>
      <c r="CC239">
        <v>1820.517415430767</v>
      </c>
      <c r="CD239">
        <v>1.6963429847904099</v>
      </c>
      <c r="CE239">
        <v>4.41722206537513</v>
      </c>
      <c r="CF239">
        <v>2.03211615028916</v>
      </c>
      <c r="CG239">
        <v>4.1662013962107798</v>
      </c>
      <c r="CH239">
        <v>4.3443784975512196</v>
      </c>
      <c r="CI239">
        <v>1.80638148633513</v>
      </c>
      <c r="CJ239">
        <v>2.55833882096419</v>
      </c>
      <c r="CK239">
        <v>2.0630435335392199</v>
      </c>
      <c r="CL239">
        <v>1.6520060336426901</v>
      </c>
      <c r="CM239">
        <v>4.6793893542606204</v>
      </c>
      <c r="CN239">
        <v>2.61977398062748</v>
      </c>
      <c r="CO239">
        <v>1.92167470408387</v>
      </c>
      <c r="CP239">
        <v>2.1365761486443402</v>
      </c>
      <c r="CQ239">
        <v>3.5230394713450499</v>
      </c>
      <c r="CR239">
        <v>5.1969509569900803</v>
      </c>
      <c r="CS239">
        <v>1.86336107463689</v>
      </c>
      <c r="CT239">
        <v>1.7970131520014301</v>
      </c>
      <c r="CU239">
        <v>1.8826497124193</v>
      </c>
      <c r="CV239">
        <v>3.7608968323137502</v>
      </c>
      <c r="CW239">
        <v>4.4909755328623104</v>
      </c>
    </row>
    <row r="240" spans="1:101" x14ac:dyDescent="0.25">
      <c r="A240" s="6">
        <v>239</v>
      </c>
      <c r="B240" s="6">
        <v>1</v>
      </c>
      <c r="C240" t="s">
        <v>127</v>
      </c>
      <c r="D240" t="s">
        <v>184</v>
      </c>
      <c r="E240" t="s">
        <v>154</v>
      </c>
      <c r="F240">
        <v>-1</v>
      </c>
      <c r="G240">
        <v>2</v>
      </c>
      <c r="H240">
        <v>0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25</v>
      </c>
      <c r="P240">
        <v>12.809250953069199</v>
      </c>
      <c r="Q240">
        <v>-1</v>
      </c>
      <c r="R240">
        <v>-1</v>
      </c>
      <c r="S240">
        <v>-1</v>
      </c>
      <c r="T240">
        <v>0.628</v>
      </c>
      <c r="U240">
        <v>0.57899999999999996</v>
      </c>
      <c r="AN240" t="s">
        <v>155</v>
      </c>
      <c r="AO240" t="s">
        <v>155</v>
      </c>
      <c r="CB240">
        <v>1.3303122499864499</v>
      </c>
      <c r="CC240">
        <v>17.040303456018563</v>
      </c>
      <c r="CD240">
        <v>1.4697507940894901</v>
      </c>
      <c r="CE240">
        <v>1.19087370588341</v>
      </c>
    </row>
    <row r="241" spans="1:101" x14ac:dyDescent="0.25">
      <c r="A241" s="6">
        <v>240</v>
      </c>
      <c r="B241" s="6">
        <v>1</v>
      </c>
      <c r="C241" t="s">
        <v>127</v>
      </c>
      <c r="D241" t="s">
        <v>186</v>
      </c>
      <c r="E241" t="s">
        <v>154</v>
      </c>
      <c r="F241">
        <v>-1</v>
      </c>
      <c r="G241">
        <v>2</v>
      </c>
      <c r="H241">
        <v>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37.5</v>
      </c>
      <c r="P241">
        <v>19.2138764296038</v>
      </c>
      <c r="Q241">
        <v>-1</v>
      </c>
      <c r="R241">
        <v>-1</v>
      </c>
      <c r="S241">
        <v>-1</v>
      </c>
      <c r="T241">
        <v>2.6070000000000002</v>
      </c>
      <c r="U241">
        <v>2.4350000000000001</v>
      </c>
      <c r="V241">
        <v>2.4319999999999999</v>
      </c>
      <c r="AN241" t="s">
        <v>155</v>
      </c>
      <c r="AO241" t="s">
        <v>156</v>
      </c>
      <c r="AP241" t="s">
        <v>155</v>
      </c>
      <c r="CB241">
        <v>52.270176194337431</v>
      </c>
      <c r="CC241">
        <v>1004.3127063516176</v>
      </c>
      <c r="CD241">
        <v>58.658843586676497</v>
      </c>
      <c r="CE241">
        <v>49.154190355276498</v>
      </c>
      <c r="CF241">
        <v>48.997494641059298</v>
      </c>
    </row>
    <row r="242" spans="1:101" x14ac:dyDescent="0.25">
      <c r="A242" s="6">
        <v>241</v>
      </c>
      <c r="B242" s="6">
        <v>1</v>
      </c>
      <c r="C242" t="s">
        <v>127</v>
      </c>
      <c r="D242" t="s">
        <v>188</v>
      </c>
      <c r="E242" t="s">
        <v>189</v>
      </c>
      <c r="F242">
        <v>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1</v>
      </c>
      <c r="P242">
        <v>0.51237003812276805</v>
      </c>
      <c r="Q242">
        <v>-1</v>
      </c>
      <c r="R242">
        <v>-1</v>
      </c>
      <c r="S242">
        <v>-1</v>
      </c>
      <c r="T242">
        <v>4.7480000000000002</v>
      </c>
      <c r="AN242" t="s">
        <v>159</v>
      </c>
      <c r="CB242">
        <v>245.42903854440499</v>
      </c>
      <c r="CC242">
        <v>125.75048583543109</v>
      </c>
      <c r="CD242">
        <v>245.42903854440499</v>
      </c>
    </row>
    <row r="243" spans="1:101" x14ac:dyDescent="0.25">
      <c r="A243" s="6">
        <v>242</v>
      </c>
      <c r="B243" s="6">
        <v>1</v>
      </c>
      <c r="C243" t="s">
        <v>127</v>
      </c>
      <c r="D243" t="s">
        <v>181</v>
      </c>
      <c r="E243" t="s">
        <v>154</v>
      </c>
      <c r="F243">
        <v>-1</v>
      </c>
      <c r="G243">
        <v>4</v>
      </c>
      <c r="H243">
        <v>3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87.5</v>
      </c>
      <c r="P243">
        <v>44.832378335742199</v>
      </c>
      <c r="Q243">
        <v>-1</v>
      </c>
      <c r="R243">
        <v>-1</v>
      </c>
      <c r="S243">
        <v>-1</v>
      </c>
      <c r="T243">
        <v>1.36</v>
      </c>
      <c r="U243">
        <v>1.2769999999999999</v>
      </c>
      <c r="V243">
        <v>1.232</v>
      </c>
      <c r="W243">
        <v>1.4139999999999999</v>
      </c>
      <c r="X243">
        <v>1.2709999999999999</v>
      </c>
      <c r="Y243">
        <v>1.3720000000000001</v>
      </c>
      <c r="Z243">
        <v>1.4219999999999999</v>
      </c>
      <c r="AN243" t="s">
        <v>155</v>
      </c>
      <c r="AO243" t="s">
        <v>156</v>
      </c>
      <c r="AP243" t="s">
        <v>156</v>
      </c>
      <c r="AQ243" t="s">
        <v>155</v>
      </c>
      <c r="AR243" t="s">
        <v>156</v>
      </c>
      <c r="AS243" t="s">
        <v>155</v>
      </c>
      <c r="AT243" t="s">
        <v>155</v>
      </c>
      <c r="CB243">
        <v>10.430405249078689</v>
      </c>
      <c r="CC243">
        <v>467.61987432180712</v>
      </c>
      <c r="CD243">
        <v>10.8741169355306</v>
      </c>
      <c r="CE243">
        <v>9.2376743898150604</v>
      </c>
      <c r="CF243">
        <v>8.4180201214849397</v>
      </c>
      <c r="CG243">
        <v>12.0279661368057</v>
      </c>
      <c r="CH243">
        <v>9.1256792934622197</v>
      </c>
      <c r="CI243">
        <v>11.1243687058047</v>
      </c>
      <c r="CJ243">
        <v>12.205011160647601</v>
      </c>
    </row>
    <row r="244" spans="1:101" x14ac:dyDescent="0.25">
      <c r="A244" s="6">
        <v>243</v>
      </c>
      <c r="B244" s="6">
        <v>1</v>
      </c>
      <c r="C244" t="s">
        <v>129</v>
      </c>
      <c r="D244" t="s">
        <v>190</v>
      </c>
      <c r="E244" t="s">
        <v>154</v>
      </c>
      <c r="F244">
        <v>-1</v>
      </c>
      <c r="G244">
        <v>1</v>
      </c>
      <c r="H244">
        <v>2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28.8</v>
      </c>
      <c r="P244">
        <v>18.780690851918202</v>
      </c>
      <c r="Q244">
        <v>-1</v>
      </c>
      <c r="R244">
        <v>-1</v>
      </c>
      <c r="S244">
        <v>-1</v>
      </c>
      <c r="T244">
        <v>1.139</v>
      </c>
      <c r="U244">
        <v>1.046</v>
      </c>
      <c r="V244">
        <v>0.98599999999999999</v>
      </c>
      <c r="AN244" t="s">
        <v>155</v>
      </c>
      <c r="AO244" t="s">
        <v>156</v>
      </c>
      <c r="AP244" t="s">
        <v>156</v>
      </c>
      <c r="CB244">
        <v>5.7023148973890905</v>
      </c>
      <c r="CC244">
        <v>107.09341322815217</v>
      </c>
      <c r="CD244">
        <v>6.86949278278757</v>
      </c>
      <c r="CE244">
        <v>5.5095393493695601</v>
      </c>
      <c r="CF244">
        <v>4.7279125600101404</v>
      </c>
    </row>
    <row r="245" spans="1:101" x14ac:dyDescent="0.25">
      <c r="A245" s="6">
        <v>244</v>
      </c>
      <c r="B245" s="6">
        <v>1</v>
      </c>
      <c r="C245" t="s">
        <v>129</v>
      </c>
      <c r="D245" t="s">
        <v>172</v>
      </c>
      <c r="E245" t="s">
        <v>158</v>
      </c>
      <c r="F245">
        <v>-1</v>
      </c>
      <c r="G245">
        <v>6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57.6</v>
      </c>
      <c r="P245">
        <v>37.561381703836403</v>
      </c>
      <c r="Q245">
        <v>-1</v>
      </c>
      <c r="R245">
        <v>-1</v>
      </c>
      <c r="S245">
        <v>-1</v>
      </c>
      <c r="T245">
        <v>0.371</v>
      </c>
      <c r="U245">
        <v>0.28499999999999998</v>
      </c>
      <c r="V245">
        <v>0.34599999999999997</v>
      </c>
      <c r="W245">
        <v>0.28799999999999998</v>
      </c>
      <c r="X245">
        <v>0.28399999999999997</v>
      </c>
      <c r="Y245">
        <v>0.28899999999999998</v>
      </c>
      <c r="AN245" t="s">
        <v>159</v>
      </c>
      <c r="AO245" t="s">
        <v>159</v>
      </c>
      <c r="AP245" t="s">
        <v>159</v>
      </c>
      <c r="AQ245" t="s">
        <v>159</v>
      </c>
      <c r="AR245" t="s">
        <v>159</v>
      </c>
      <c r="AS245" t="s">
        <v>159</v>
      </c>
      <c r="CB245">
        <v>0.80035748212537416</v>
      </c>
      <c r="CC245">
        <v>30.062532885632599</v>
      </c>
      <c r="CD245">
        <v>1.22552627326874</v>
      </c>
      <c r="CE245">
        <v>0.628874710985174</v>
      </c>
      <c r="CF245">
        <v>1.0272334781416199</v>
      </c>
      <c r="CG245">
        <v>0.645757752872818</v>
      </c>
      <c r="CH245">
        <v>0.62330704450808005</v>
      </c>
      <c r="CI245">
        <v>0.65144563297581304</v>
      </c>
    </row>
    <row r="246" spans="1:101" x14ac:dyDescent="0.25">
      <c r="A246" s="6">
        <v>245</v>
      </c>
      <c r="B246" s="6">
        <v>1</v>
      </c>
      <c r="C246" t="s">
        <v>129</v>
      </c>
      <c r="D246" t="s">
        <v>153</v>
      </c>
      <c r="E246" t="s">
        <v>154</v>
      </c>
      <c r="F246">
        <v>-1</v>
      </c>
      <c r="G246">
        <v>1</v>
      </c>
      <c r="H246">
        <v>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19.2</v>
      </c>
      <c r="P246">
        <v>12.5204605679455</v>
      </c>
      <c r="Q246">
        <v>-1</v>
      </c>
      <c r="R246">
        <v>-1</v>
      </c>
      <c r="S246">
        <v>-1</v>
      </c>
      <c r="T246">
        <v>1.286</v>
      </c>
      <c r="U246">
        <v>1.196</v>
      </c>
      <c r="AN246" t="s">
        <v>155</v>
      </c>
      <c r="AO246" t="s">
        <v>156</v>
      </c>
      <c r="CB246">
        <v>8.6014430513029456</v>
      </c>
      <c r="CC246">
        <v>107.69402855126735</v>
      </c>
      <c r="CD246">
        <v>9.4072424014963207</v>
      </c>
      <c r="CE246">
        <v>7.7956437011095696</v>
      </c>
    </row>
    <row r="247" spans="1:101" x14ac:dyDescent="0.25">
      <c r="A247" s="6">
        <v>246</v>
      </c>
      <c r="B247" s="6">
        <v>1</v>
      </c>
      <c r="C247" t="s">
        <v>129</v>
      </c>
      <c r="D247" t="s">
        <v>186</v>
      </c>
      <c r="E247" t="s">
        <v>154</v>
      </c>
      <c r="F247">
        <v>-1</v>
      </c>
      <c r="G247">
        <v>1</v>
      </c>
      <c r="H247">
        <v>0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9.6</v>
      </c>
      <c r="P247">
        <v>6.2602302839727297</v>
      </c>
      <c r="Q247">
        <v>-1</v>
      </c>
      <c r="R247">
        <v>-1</v>
      </c>
      <c r="S247">
        <v>-1</v>
      </c>
      <c r="T247">
        <v>2.629</v>
      </c>
      <c r="AN247" t="s">
        <v>155</v>
      </c>
      <c r="CB247">
        <v>59.9495385074637</v>
      </c>
      <c r="CC247">
        <v>375.2979164746136</v>
      </c>
      <c r="CD247">
        <v>59.9495385074637</v>
      </c>
    </row>
    <row r="248" spans="1:101" x14ac:dyDescent="0.25">
      <c r="A248" s="6">
        <v>247</v>
      </c>
      <c r="B248" s="6">
        <v>1</v>
      </c>
      <c r="C248" t="s">
        <v>129</v>
      </c>
      <c r="D248" t="s">
        <v>181</v>
      </c>
      <c r="E248" t="s">
        <v>154</v>
      </c>
      <c r="F248">
        <v>-1</v>
      </c>
      <c r="G248">
        <v>4</v>
      </c>
      <c r="H248">
        <v>10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134.4</v>
      </c>
      <c r="P248">
        <v>87.643223975618199</v>
      </c>
      <c r="Q248">
        <v>-1</v>
      </c>
      <c r="R248">
        <v>-1</v>
      </c>
      <c r="S248">
        <v>-1</v>
      </c>
      <c r="T248">
        <v>1.29</v>
      </c>
      <c r="U248">
        <v>1.2669999999999999</v>
      </c>
      <c r="V248">
        <v>1.2909999999999999</v>
      </c>
      <c r="W248">
        <v>1.33</v>
      </c>
      <c r="X248">
        <v>1.2609999999999999</v>
      </c>
      <c r="Y248">
        <v>1.2749999999999999</v>
      </c>
      <c r="Z248">
        <v>1.4319999999999999</v>
      </c>
      <c r="AA248">
        <v>1.53</v>
      </c>
      <c r="AB248">
        <v>1.2889999999999999</v>
      </c>
      <c r="AC248">
        <v>1.391</v>
      </c>
      <c r="AD248">
        <v>1.4059999999999999</v>
      </c>
      <c r="AE248">
        <v>1.1850000000000001</v>
      </c>
      <c r="AF248">
        <v>1.254</v>
      </c>
      <c r="AN248" t="s">
        <v>156</v>
      </c>
      <c r="AO248" t="s">
        <v>156</v>
      </c>
      <c r="AP248" t="s">
        <v>156</v>
      </c>
      <c r="AQ248" t="s">
        <v>156</v>
      </c>
      <c r="AR248" t="s">
        <v>156</v>
      </c>
      <c r="AS248" t="s">
        <v>156</v>
      </c>
      <c r="AT248" t="s">
        <v>155</v>
      </c>
      <c r="AU248" t="s">
        <v>155</v>
      </c>
      <c r="AV248" t="s">
        <v>156</v>
      </c>
      <c r="AW248" t="s">
        <v>155</v>
      </c>
      <c r="AX248" t="s">
        <v>155</v>
      </c>
      <c r="AY248" t="s">
        <v>156</v>
      </c>
      <c r="AZ248" t="s">
        <v>156</v>
      </c>
      <c r="CB248">
        <v>10.222459236454309</v>
      </c>
      <c r="CC248">
        <v>895.92928444219206</v>
      </c>
      <c r="CD248">
        <v>9.4832145428410506</v>
      </c>
      <c r="CE248">
        <v>9.0514813053603493</v>
      </c>
      <c r="CF248">
        <v>9.5022662209244899</v>
      </c>
      <c r="CG248">
        <v>10.263700635015301</v>
      </c>
      <c r="CH248">
        <v>8.9408807084737294</v>
      </c>
      <c r="CI248">
        <v>9.2002494940053499</v>
      </c>
      <c r="CJ248">
        <v>12.428555121244001</v>
      </c>
      <c r="CK248">
        <v>14.752955486752301</v>
      </c>
      <c r="CL248">
        <v>9.4641863325932807</v>
      </c>
      <c r="CM248">
        <v>11.5277750427367</v>
      </c>
      <c r="CN248">
        <v>11.8525066265214</v>
      </c>
      <c r="CO248">
        <v>7.6112984856430899</v>
      </c>
      <c r="CP248">
        <v>8.8129000717949708</v>
      </c>
    </row>
    <row r="249" spans="1:101" x14ac:dyDescent="0.25">
      <c r="A249" s="6">
        <v>248</v>
      </c>
      <c r="B249" s="6">
        <v>1</v>
      </c>
      <c r="C249" t="s">
        <v>129</v>
      </c>
      <c r="D249" t="s">
        <v>161</v>
      </c>
      <c r="E249" t="s">
        <v>154</v>
      </c>
      <c r="F249">
        <v>-1</v>
      </c>
      <c r="G249">
        <v>2</v>
      </c>
      <c r="H249">
        <v>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28.8</v>
      </c>
      <c r="P249">
        <v>18.780690851918202</v>
      </c>
      <c r="Q249">
        <v>-1</v>
      </c>
      <c r="R249">
        <v>-1</v>
      </c>
      <c r="S249">
        <v>-1</v>
      </c>
      <c r="T249">
        <v>0.97799999999999998</v>
      </c>
      <c r="U249">
        <v>0.94</v>
      </c>
      <c r="V249">
        <v>1.026</v>
      </c>
      <c r="AN249" t="s">
        <v>156</v>
      </c>
      <c r="AO249" t="s">
        <v>155</v>
      </c>
      <c r="AP249" t="s">
        <v>155</v>
      </c>
      <c r="CB249">
        <v>4.682550358748987</v>
      </c>
      <c r="CC249">
        <v>87.941530686203393</v>
      </c>
      <c r="CD249">
        <v>4.6291991011698803</v>
      </c>
      <c r="CE249">
        <v>4.1776241691879799</v>
      </c>
      <c r="CF249">
        <v>5.2408278058890998</v>
      </c>
    </row>
    <row r="250" spans="1:101" x14ac:dyDescent="0.25">
      <c r="A250" s="6">
        <v>249</v>
      </c>
      <c r="B250" s="6">
        <v>1</v>
      </c>
      <c r="C250" t="s">
        <v>129</v>
      </c>
      <c r="D250" t="s">
        <v>166</v>
      </c>
      <c r="E250" t="s">
        <v>154</v>
      </c>
      <c r="F250">
        <v>-1</v>
      </c>
      <c r="G250">
        <v>64</v>
      </c>
      <c r="H250">
        <v>64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1228.8</v>
      </c>
      <c r="P250">
        <v>801.30947634850997</v>
      </c>
      <c r="Q250">
        <v>-1</v>
      </c>
      <c r="R250">
        <v>-1</v>
      </c>
      <c r="S250">
        <v>-1</v>
      </c>
      <c r="T250">
        <v>1.1140000000000001</v>
      </c>
      <c r="U250">
        <v>0.91700000000000004</v>
      </c>
      <c r="V250">
        <v>1.087</v>
      </c>
      <c r="W250">
        <v>1.02</v>
      </c>
      <c r="X250">
        <v>1.0549999999999999</v>
      </c>
      <c r="Y250">
        <v>0.83</v>
      </c>
      <c r="Z250">
        <v>0.84799999999999998</v>
      </c>
      <c r="AA250">
        <v>0.82599999999999996</v>
      </c>
      <c r="AB250">
        <v>1.169</v>
      </c>
      <c r="AC250">
        <v>0.97299999999999998</v>
      </c>
      <c r="AD250">
        <v>0.879</v>
      </c>
      <c r="AE250">
        <v>1.097</v>
      </c>
      <c r="AF250">
        <v>0.873</v>
      </c>
      <c r="AG250">
        <v>1.0920000000000001</v>
      </c>
      <c r="AH250">
        <v>1.0229999999999999</v>
      </c>
      <c r="AI250">
        <v>0.86</v>
      </c>
      <c r="AJ250">
        <v>0.81699999999999995</v>
      </c>
      <c r="AK250">
        <v>0.96199999999999997</v>
      </c>
      <c r="AL250">
        <v>0.91400000000000003</v>
      </c>
      <c r="AM250">
        <v>0.86099999999999999</v>
      </c>
      <c r="AN250" t="s">
        <v>155</v>
      </c>
      <c r="AO250" t="s">
        <v>156</v>
      </c>
      <c r="AP250" t="s">
        <v>155</v>
      </c>
      <c r="AQ250" t="s">
        <v>155</v>
      </c>
      <c r="AR250" t="s">
        <v>155</v>
      </c>
      <c r="AS250" t="s">
        <v>156</v>
      </c>
      <c r="AT250" t="s">
        <v>156</v>
      </c>
      <c r="AU250" t="s">
        <v>156</v>
      </c>
      <c r="AV250" t="s">
        <v>155</v>
      </c>
      <c r="AW250" t="s">
        <v>155</v>
      </c>
      <c r="AX250" t="s">
        <v>156</v>
      </c>
      <c r="AY250" t="s">
        <v>155</v>
      </c>
      <c r="AZ250" t="s">
        <v>156</v>
      </c>
      <c r="BA250" t="s">
        <v>155</v>
      </c>
      <c r="BB250" t="s">
        <v>155</v>
      </c>
      <c r="BC250" t="s">
        <v>156</v>
      </c>
      <c r="BD250" t="s">
        <v>156</v>
      </c>
      <c r="BE250" t="s">
        <v>156</v>
      </c>
      <c r="BF250" t="s">
        <v>156</v>
      </c>
      <c r="BG250" t="s">
        <v>156</v>
      </c>
      <c r="CB250">
        <v>4.8444866345419095</v>
      </c>
      <c r="CC250">
        <v>3881.9330483021331</v>
      </c>
      <c r="CD250">
        <v>8.0735222702611598</v>
      </c>
      <c r="CE250">
        <v>3.72850820008926</v>
      </c>
      <c r="CF250">
        <v>7.3241989042297799</v>
      </c>
      <c r="CG250">
        <v>5.6894662019152804</v>
      </c>
      <c r="CH250">
        <v>6.5049071921345201</v>
      </c>
      <c r="CI250">
        <v>2.5099719419613802</v>
      </c>
      <c r="CJ250">
        <v>2.7331305300733102</v>
      </c>
      <c r="CK250">
        <v>2.4622924181654402</v>
      </c>
      <c r="CL250">
        <v>9.7758031823186506</v>
      </c>
      <c r="CM250">
        <v>4.7177705585475804</v>
      </c>
      <c r="CN250">
        <v>3.15184370960805</v>
      </c>
      <c r="CO250">
        <v>7.5953737871416296</v>
      </c>
      <c r="CP250">
        <v>3.0672938755920001</v>
      </c>
      <c r="CQ250">
        <v>7.4588644413519898</v>
      </c>
      <c r="CR250">
        <v>5.7561898028763201</v>
      </c>
      <c r="CS250">
        <v>2.8899324488583402</v>
      </c>
      <c r="CT250">
        <v>2.35749295935952</v>
      </c>
      <c r="CU250">
        <v>4.5095569506553899</v>
      </c>
      <c r="CV250">
        <v>3.6803170785330099</v>
      </c>
      <c r="CW250">
        <v>2.9032962371655802</v>
      </c>
    </row>
    <row r="251" spans="1:101" x14ac:dyDescent="0.25">
      <c r="A251" s="6">
        <v>250</v>
      </c>
      <c r="B251" s="6">
        <v>1</v>
      </c>
      <c r="C251" t="s">
        <v>129</v>
      </c>
      <c r="D251" t="s">
        <v>167</v>
      </c>
      <c r="E251" t="s">
        <v>168</v>
      </c>
      <c r="F251">
        <v>-1</v>
      </c>
      <c r="G251">
        <v>11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105.6</v>
      </c>
      <c r="P251">
        <v>68.862533123700004</v>
      </c>
      <c r="Q251">
        <v>-1</v>
      </c>
      <c r="R251">
        <v>-1</v>
      </c>
      <c r="S251">
        <v>-1</v>
      </c>
      <c r="T251">
        <v>0.502</v>
      </c>
      <c r="U251">
        <v>0.96299999999999997</v>
      </c>
      <c r="V251">
        <v>0.5</v>
      </c>
      <c r="W251">
        <v>0.94599999999999995</v>
      </c>
      <c r="X251">
        <v>0.48599999999999999</v>
      </c>
      <c r="Y251">
        <v>0.64900000000000002</v>
      </c>
      <c r="Z251">
        <v>0.67600000000000005</v>
      </c>
      <c r="AA251">
        <v>0.64400000000000002</v>
      </c>
      <c r="AB251">
        <v>0.54300000000000004</v>
      </c>
      <c r="AC251">
        <v>0.78600000000000003</v>
      </c>
      <c r="AD251">
        <v>0.48699999999999999</v>
      </c>
      <c r="AN251" t="s">
        <v>169</v>
      </c>
      <c r="AO251" t="s">
        <v>169</v>
      </c>
      <c r="AP251" t="s">
        <v>169</v>
      </c>
      <c r="AQ251" t="s">
        <v>169</v>
      </c>
      <c r="AR251" t="s">
        <v>169</v>
      </c>
      <c r="AS251" t="s">
        <v>169</v>
      </c>
      <c r="AT251" t="s">
        <v>169</v>
      </c>
      <c r="AU251" t="s">
        <v>169</v>
      </c>
      <c r="AV251" t="s">
        <v>169</v>
      </c>
      <c r="AW251" t="s">
        <v>169</v>
      </c>
      <c r="AX251" t="s">
        <v>169</v>
      </c>
      <c r="CB251">
        <v>1.8576275511613773</v>
      </c>
      <c r="CC251">
        <v>127.92093877334807</v>
      </c>
      <c r="CD251">
        <v>0.822907183790618</v>
      </c>
      <c r="CE251">
        <v>4.4475445794530604</v>
      </c>
      <c r="CF251">
        <v>0.81444270461981905</v>
      </c>
      <c r="CG251">
        <v>4.2470391997764096</v>
      </c>
      <c r="CH251">
        <v>0.75668680978987102</v>
      </c>
      <c r="CI251">
        <v>1.6004495582718401</v>
      </c>
      <c r="CJ251">
        <v>1.7786486567659401</v>
      </c>
      <c r="CK251">
        <v>1.56870984702197</v>
      </c>
      <c r="CL251">
        <v>1.00846257289259</v>
      </c>
      <c r="CM251">
        <v>2.6282859924326298</v>
      </c>
      <c r="CN251">
        <v>0.76072595796040199</v>
      </c>
    </row>
    <row r="252" spans="1:101" x14ac:dyDescent="0.25">
      <c r="A252" s="6">
        <v>251</v>
      </c>
      <c r="B252" s="6">
        <v>1</v>
      </c>
      <c r="C252" t="s">
        <v>129</v>
      </c>
      <c r="D252" t="s">
        <v>170</v>
      </c>
      <c r="E252" t="s">
        <v>158</v>
      </c>
      <c r="F252">
        <v>-1</v>
      </c>
      <c r="G252">
        <v>8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76.8</v>
      </c>
      <c r="P252">
        <v>50.081842271781902</v>
      </c>
      <c r="Q252">
        <v>-1</v>
      </c>
      <c r="R252">
        <v>-1</v>
      </c>
      <c r="S252">
        <v>-1</v>
      </c>
      <c r="T252">
        <v>0.59099999999999997</v>
      </c>
      <c r="U252">
        <v>0.55300000000000005</v>
      </c>
      <c r="V252">
        <v>0.56299999999999994</v>
      </c>
      <c r="W252">
        <v>0.54600000000000004</v>
      </c>
      <c r="X252">
        <v>1.2210000000000001</v>
      </c>
      <c r="Y252">
        <v>1.0580000000000001</v>
      </c>
      <c r="Z252">
        <v>1.4530000000000001</v>
      </c>
      <c r="AA252">
        <v>0.51200000000000001</v>
      </c>
      <c r="AN252" t="s">
        <v>159</v>
      </c>
      <c r="AO252" t="s">
        <v>159</v>
      </c>
      <c r="AP252" t="s">
        <v>159</v>
      </c>
      <c r="AQ252" t="s">
        <v>159</v>
      </c>
      <c r="AR252" t="s">
        <v>159</v>
      </c>
      <c r="AS252" t="s">
        <v>159</v>
      </c>
      <c r="AT252" t="s">
        <v>159</v>
      </c>
      <c r="AU252" t="s">
        <v>159</v>
      </c>
      <c r="CB252">
        <v>4.1985885503484361</v>
      </c>
      <c r="CC252">
        <v>210.27304954265981</v>
      </c>
      <c r="CD252">
        <v>1.11553320026563</v>
      </c>
      <c r="CE252">
        <v>0.92366274552657701</v>
      </c>
      <c r="CF252">
        <v>0.97189175062572097</v>
      </c>
      <c r="CG252">
        <v>0.89084297537114898</v>
      </c>
      <c r="CH252">
        <v>8.7588389320913809</v>
      </c>
      <c r="CI252">
        <v>5.8306013756699198</v>
      </c>
      <c r="CJ252">
        <v>14.3551719546555</v>
      </c>
      <c r="CK252">
        <v>0.74216546858161803</v>
      </c>
    </row>
    <row r="253" spans="1:101" x14ac:dyDescent="0.25">
      <c r="A253" s="6">
        <v>252</v>
      </c>
      <c r="B253" s="6">
        <v>1</v>
      </c>
      <c r="C253" t="s">
        <v>129</v>
      </c>
      <c r="D253" t="s">
        <v>173</v>
      </c>
      <c r="E253" t="s">
        <v>168</v>
      </c>
      <c r="F253">
        <v>-1</v>
      </c>
      <c r="G253">
        <v>36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345.6</v>
      </c>
      <c r="P253">
        <v>225.36829022301799</v>
      </c>
      <c r="Q253">
        <v>-1</v>
      </c>
      <c r="R253">
        <v>-1</v>
      </c>
      <c r="S253">
        <v>-1</v>
      </c>
      <c r="T253">
        <v>0.42799999999999999</v>
      </c>
      <c r="U253">
        <v>0.878</v>
      </c>
      <c r="V253">
        <v>0.84199999999999997</v>
      </c>
      <c r="W253">
        <v>0.66300000000000003</v>
      </c>
      <c r="X253">
        <v>0.69399999999999995</v>
      </c>
      <c r="Y253">
        <v>0.76</v>
      </c>
      <c r="Z253">
        <v>0.81299999999999994</v>
      </c>
      <c r="AA253">
        <v>0.96599999999999997</v>
      </c>
      <c r="AB253">
        <v>0.88700000000000001</v>
      </c>
      <c r="AC253">
        <v>0.91900000000000004</v>
      </c>
      <c r="AD253">
        <v>0.879</v>
      </c>
      <c r="AE253">
        <v>0.84199999999999997</v>
      </c>
      <c r="AF253">
        <v>0.41399999999999998</v>
      </c>
      <c r="AG253">
        <v>0.72199999999999998</v>
      </c>
      <c r="AH253">
        <v>0.35699999999999998</v>
      </c>
      <c r="AI253">
        <v>0.41399999999999998</v>
      </c>
      <c r="AJ253">
        <v>0.91800000000000004</v>
      </c>
      <c r="AK253">
        <v>0.40899999999999997</v>
      </c>
      <c r="AL253">
        <v>0.749</v>
      </c>
      <c r="AM253">
        <v>0.41399999999999998</v>
      </c>
      <c r="AN253" t="s">
        <v>169</v>
      </c>
      <c r="AO253" t="s">
        <v>169</v>
      </c>
      <c r="AP253" t="s">
        <v>169</v>
      </c>
      <c r="AQ253" t="s">
        <v>169</v>
      </c>
      <c r="AR253" t="s">
        <v>169</v>
      </c>
      <c r="AS253" t="s">
        <v>169</v>
      </c>
      <c r="AT253" t="s">
        <v>169</v>
      </c>
      <c r="AU253" t="s">
        <v>169</v>
      </c>
      <c r="AV253" t="s">
        <v>169</v>
      </c>
      <c r="AW253" t="s">
        <v>169</v>
      </c>
      <c r="AX253" t="s">
        <v>169</v>
      </c>
      <c r="AY253" t="s">
        <v>169</v>
      </c>
      <c r="AZ253" t="s">
        <v>169</v>
      </c>
      <c r="BA253" t="s">
        <v>169</v>
      </c>
      <c r="BB253" t="s">
        <v>169</v>
      </c>
      <c r="BC253" t="s">
        <v>169</v>
      </c>
      <c r="BD253" t="s">
        <v>169</v>
      </c>
      <c r="BE253" t="s">
        <v>169</v>
      </c>
      <c r="BF253" t="s">
        <v>169</v>
      </c>
      <c r="BG253" t="s">
        <v>169</v>
      </c>
      <c r="CB253">
        <v>1.8656786331253605</v>
      </c>
      <c r="CC253">
        <v>420.46480365307974</v>
      </c>
      <c r="CD253">
        <v>0.18103418989640399</v>
      </c>
      <c r="CE253">
        <v>3.1376324514621898</v>
      </c>
      <c r="CF253">
        <v>2.6571608389373398</v>
      </c>
      <c r="CG253">
        <v>1.0288156162506501</v>
      </c>
      <c r="CH253">
        <v>1.23346246352023</v>
      </c>
      <c r="CI253">
        <v>1.76912614726404</v>
      </c>
      <c r="CJ253">
        <v>2.31200253519168</v>
      </c>
      <c r="CK253">
        <v>4.5844583534761796</v>
      </c>
      <c r="CL253">
        <v>3.2672744055172802</v>
      </c>
      <c r="CM253">
        <v>3.7608968323137502</v>
      </c>
      <c r="CN253">
        <v>3.15184370960805</v>
      </c>
      <c r="CO253">
        <v>2.6571608389373398</v>
      </c>
      <c r="CP253">
        <v>0.15864273708680801</v>
      </c>
      <c r="CQ253">
        <v>1.4431833650788</v>
      </c>
      <c r="CR253">
        <v>8.8109281131908704E-2</v>
      </c>
      <c r="CS253">
        <v>0.15864273708680801</v>
      </c>
      <c r="CT253">
        <v>3.7446763195390398</v>
      </c>
      <c r="CU253">
        <v>0.151171656764609</v>
      </c>
      <c r="CV253">
        <v>1.66963544635729</v>
      </c>
      <c r="CW253">
        <v>0.15864273708680801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94A-0CF1-6344-AF10-87E35702CA7E}">
  <dimension ref="A1:T23"/>
  <sheetViews>
    <sheetView workbookViewId="0">
      <selection sqref="A1:XFD1048576"/>
    </sheetView>
  </sheetViews>
  <sheetFormatPr defaultColWidth="11" defaultRowHeight="15.75" x14ac:dyDescent="0.25"/>
  <cols>
    <col min="16" max="16" width="11" style="2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273</v>
      </c>
      <c r="E1" s="1" t="s">
        <v>3</v>
      </c>
      <c r="F1" s="1" t="s">
        <v>4</v>
      </c>
      <c r="G1" s="1" t="s">
        <v>5</v>
      </c>
      <c r="H1" s="13" t="s">
        <v>252</v>
      </c>
      <c r="I1" s="13" t="s">
        <v>253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6</v>
      </c>
      <c r="O1" s="2" t="s">
        <v>251</v>
      </c>
      <c r="P1" s="19" t="s">
        <v>254</v>
      </c>
      <c r="Q1" s="2" t="s">
        <v>255</v>
      </c>
      <c r="R1" s="2" t="s">
        <v>256</v>
      </c>
      <c r="S1" s="2" t="s">
        <v>257</v>
      </c>
      <c r="T1" s="1" t="s">
        <v>7</v>
      </c>
    </row>
    <row r="2" spans="1:20" x14ac:dyDescent="0.25">
      <c r="A2" t="s">
        <v>111</v>
      </c>
      <c r="B2" t="s">
        <v>112</v>
      </c>
      <c r="C2" t="s">
        <v>275</v>
      </c>
      <c r="D2" t="s">
        <v>272</v>
      </c>
      <c r="E2">
        <v>52</v>
      </c>
      <c r="F2">
        <v>236</v>
      </c>
      <c r="G2">
        <v>0.14199999999999999</v>
      </c>
      <c r="H2" s="14">
        <f t="shared" ref="H2:H23" si="0">PI()*0.25^2*(F2*G2)</f>
        <v>6.5800658129438219</v>
      </c>
      <c r="I2" s="14">
        <f t="shared" ref="I2:I23" si="1">F2*G2/E2</f>
        <v>0.64446153846153842</v>
      </c>
      <c r="J2">
        <v>103.5</v>
      </c>
      <c r="K2">
        <v>1</v>
      </c>
      <c r="L2">
        <v>2</v>
      </c>
      <c r="M2">
        <v>0</v>
      </c>
      <c r="N2" s="4">
        <v>45033</v>
      </c>
      <c r="O2" s="5">
        <v>0.76666666666666705</v>
      </c>
      <c r="P2" s="20" t="s">
        <v>277</v>
      </c>
      <c r="Q2" s="18">
        <v>72.8</v>
      </c>
      <c r="R2" s="13">
        <v>43.424766666666663</v>
      </c>
      <c r="S2" s="13">
        <v>-76.789333333333332</v>
      </c>
      <c r="T2" t="s">
        <v>114</v>
      </c>
    </row>
    <row r="3" spans="1:20" x14ac:dyDescent="0.25">
      <c r="A3" t="s">
        <v>111</v>
      </c>
      <c r="B3" t="s">
        <v>115</v>
      </c>
      <c r="C3" t="s">
        <v>263</v>
      </c>
      <c r="D3" t="s">
        <v>271</v>
      </c>
      <c r="E3">
        <v>50</v>
      </c>
      <c r="F3">
        <v>212</v>
      </c>
      <c r="G3">
        <v>0.14199999999999999</v>
      </c>
      <c r="H3" s="14">
        <f t="shared" si="0"/>
        <v>5.9109065777291949</v>
      </c>
      <c r="I3" s="14">
        <f t="shared" si="1"/>
        <v>0.60207999999999995</v>
      </c>
      <c r="J3">
        <v>5</v>
      </c>
      <c r="K3">
        <v>1</v>
      </c>
      <c r="L3">
        <v>5</v>
      </c>
      <c r="M3">
        <v>0</v>
      </c>
      <c r="N3" s="4">
        <v>45036</v>
      </c>
      <c r="O3" s="5">
        <v>0.39236111111111099</v>
      </c>
      <c r="P3" s="20" t="s">
        <v>276</v>
      </c>
      <c r="Q3" s="18">
        <v>51.9</v>
      </c>
      <c r="R3" s="13">
        <v>43.786799999999999</v>
      </c>
      <c r="S3" s="13">
        <v>-77.1584</v>
      </c>
      <c r="T3" t="s">
        <v>114</v>
      </c>
    </row>
    <row r="4" spans="1:20" x14ac:dyDescent="0.25">
      <c r="A4" t="s">
        <v>111</v>
      </c>
      <c r="B4" t="s">
        <v>117</v>
      </c>
      <c r="C4" t="s">
        <v>264</v>
      </c>
      <c r="D4" t="s">
        <v>271</v>
      </c>
      <c r="E4">
        <v>35</v>
      </c>
      <c r="F4">
        <v>164</v>
      </c>
      <c r="G4">
        <v>0.14199999999999999</v>
      </c>
      <c r="H4" s="14">
        <f t="shared" si="0"/>
        <v>4.5725881072999428</v>
      </c>
      <c r="I4" s="14">
        <f t="shared" si="1"/>
        <v>0.6653714285714285</v>
      </c>
      <c r="J4">
        <v>8</v>
      </c>
      <c r="K4">
        <v>1</v>
      </c>
      <c r="L4">
        <v>8</v>
      </c>
      <c r="M4">
        <v>0</v>
      </c>
      <c r="N4" s="4">
        <v>45036</v>
      </c>
      <c r="O4" s="5">
        <v>0.54444444444444395</v>
      </c>
      <c r="P4" s="20" t="s">
        <v>277</v>
      </c>
      <c r="Q4" s="18">
        <v>10.7</v>
      </c>
      <c r="R4" s="13">
        <v>43.225000000000001</v>
      </c>
      <c r="S4" s="13">
        <v>-79.271766666666664</v>
      </c>
      <c r="T4" t="s">
        <v>114</v>
      </c>
    </row>
    <row r="5" spans="1:20" x14ac:dyDescent="0.25">
      <c r="A5" t="s">
        <v>111</v>
      </c>
      <c r="B5" t="s">
        <v>119</v>
      </c>
      <c r="C5" t="s">
        <v>274</v>
      </c>
      <c r="D5" t="s">
        <v>271</v>
      </c>
      <c r="E5">
        <v>13</v>
      </c>
      <c r="F5">
        <v>67</v>
      </c>
      <c r="G5">
        <v>0.14199999999999999</v>
      </c>
      <c r="H5" s="14">
        <f t="shared" si="0"/>
        <v>1.8680695316408307</v>
      </c>
      <c r="I5" s="14">
        <f t="shared" si="1"/>
        <v>0.73184615384615381</v>
      </c>
      <c r="J5">
        <v>62.5</v>
      </c>
      <c r="K5">
        <v>1</v>
      </c>
      <c r="L5">
        <v>2</v>
      </c>
      <c r="M5">
        <v>0</v>
      </c>
      <c r="N5" s="4">
        <v>45033</v>
      </c>
      <c r="O5" s="5">
        <v>0.68402777777777801</v>
      </c>
      <c r="P5" s="20" t="s">
        <v>277</v>
      </c>
      <c r="Q5" s="16">
        <v>50</v>
      </c>
      <c r="R5" s="13">
        <v>43.317666666699999</v>
      </c>
      <c r="S5" s="13">
        <v>-78.999216666699994</v>
      </c>
      <c r="T5" t="s">
        <v>114</v>
      </c>
    </row>
    <row r="6" spans="1:20" x14ac:dyDescent="0.25">
      <c r="A6" t="s">
        <v>111</v>
      </c>
      <c r="B6" t="s">
        <v>121</v>
      </c>
      <c r="C6" t="s">
        <v>265</v>
      </c>
      <c r="D6" t="s">
        <v>271</v>
      </c>
      <c r="E6">
        <v>71</v>
      </c>
      <c r="F6">
        <v>307</v>
      </c>
      <c r="G6">
        <v>0.14199999999999999</v>
      </c>
      <c r="H6" s="14">
        <f t="shared" si="0"/>
        <v>8.5596618837870881</v>
      </c>
      <c r="I6" s="14">
        <f t="shared" si="1"/>
        <v>0.61399999999999988</v>
      </c>
      <c r="J6">
        <v>55</v>
      </c>
      <c r="K6">
        <v>1</v>
      </c>
      <c r="L6">
        <v>4</v>
      </c>
      <c r="M6">
        <v>0</v>
      </c>
      <c r="N6" s="4">
        <v>45036</v>
      </c>
      <c r="O6" s="5">
        <v>0.66388888888888897</v>
      </c>
      <c r="P6" s="20" t="s">
        <v>277</v>
      </c>
      <c r="Q6" s="18">
        <v>74</v>
      </c>
      <c r="R6">
        <v>43.408283333299998</v>
      </c>
      <c r="S6">
        <v>-76.789083333299999</v>
      </c>
      <c r="T6" t="s">
        <v>114</v>
      </c>
    </row>
    <row r="7" spans="1:20" x14ac:dyDescent="0.25">
      <c r="A7" t="s">
        <v>111</v>
      </c>
      <c r="B7" t="s">
        <v>123</v>
      </c>
      <c r="C7" t="s">
        <v>268</v>
      </c>
      <c r="D7" t="s">
        <v>271</v>
      </c>
      <c r="E7">
        <v>28</v>
      </c>
      <c r="F7">
        <v>125</v>
      </c>
      <c r="G7">
        <v>0.14199999999999999</v>
      </c>
      <c r="H7" s="14">
        <f t="shared" si="0"/>
        <v>3.4852043500761769</v>
      </c>
      <c r="I7" s="14">
        <f t="shared" si="1"/>
        <v>0.6339285714285714</v>
      </c>
      <c r="J7">
        <v>6</v>
      </c>
      <c r="K7">
        <v>1</v>
      </c>
      <c r="L7">
        <v>6</v>
      </c>
      <c r="M7">
        <v>0</v>
      </c>
      <c r="N7" s="4">
        <v>45036</v>
      </c>
      <c r="O7" s="5">
        <v>0.48680555555555599</v>
      </c>
      <c r="P7" s="20" t="s">
        <v>276</v>
      </c>
      <c r="Q7" s="18">
        <v>16</v>
      </c>
      <c r="R7" s="13">
        <v>43.949866666666665</v>
      </c>
      <c r="S7" s="13">
        <v>-78.050116666666668</v>
      </c>
      <c r="T7" t="s">
        <v>114</v>
      </c>
    </row>
    <row r="8" spans="1:20" x14ac:dyDescent="0.25">
      <c r="A8" t="s">
        <v>111</v>
      </c>
      <c r="B8" t="s">
        <v>125</v>
      </c>
      <c r="C8" t="s">
        <v>259</v>
      </c>
      <c r="D8" t="s">
        <v>272</v>
      </c>
      <c r="E8">
        <v>48</v>
      </c>
      <c r="F8">
        <v>294</v>
      </c>
      <c r="G8">
        <v>0.14199999999999999</v>
      </c>
      <c r="H8" s="14">
        <f t="shared" si="0"/>
        <v>8.1972006313791663</v>
      </c>
      <c r="I8" s="14">
        <f t="shared" si="1"/>
        <v>0.86974999999999991</v>
      </c>
      <c r="J8">
        <v>6</v>
      </c>
      <c r="K8">
        <v>1</v>
      </c>
      <c r="L8">
        <v>1</v>
      </c>
      <c r="M8">
        <v>0</v>
      </c>
      <c r="N8" s="4">
        <v>45033</v>
      </c>
      <c r="O8" s="5">
        <v>0.51597222222222205</v>
      </c>
      <c r="P8" s="20" t="s">
        <v>277</v>
      </c>
      <c r="Q8" s="18">
        <v>50.3</v>
      </c>
      <c r="R8">
        <v>43.548850000000002</v>
      </c>
      <c r="S8">
        <v>-79.417000000000002</v>
      </c>
      <c r="T8" t="s">
        <v>114</v>
      </c>
    </row>
    <row r="9" spans="1:20" x14ac:dyDescent="0.25">
      <c r="A9" t="s">
        <v>111</v>
      </c>
      <c r="B9" t="s">
        <v>127</v>
      </c>
      <c r="C9" t="s">
        <v>269</v>
      </c>
      <c r="D9" t="s">
        <v>272</v>
      </c>
      <c r="E9">
        <v>14</v>
      </c>
      <c r="F9">
        <v>70</v>
      </c>
      <c r="G9">
        <v>0.14199999999999999</v>
      </c>
      <c r="H9" s="14">
        <f t="shared" si="0"/>
        <v>1.9517144360426588</v>
      </c>
      <c r="I9" s="14">
        <f t="shared" si="1"/>
        <v>0.71</v>
      </c>
      <c r="J9">
        <v>4</v>
      </c>
      <c r="K9">
        <v>1</v>
      </c>
      <c r="L9">
        <v>4</v>
      </c>
      <c r="M9">
        <v>0</v>
      </c>
      <c r="N9" s="4">
        <v>45036</v>
      </c>
      <c r="O9" s="5">
        <v>0.19097222222222199</v>
      </c>
      <c r="P9" s="20" t="s">
        <v>276</v>
      </c>
      <c r="Q9" s="18">
        <v>28.3</v>
      </c>
      <c r="R9" s="13">
        <v>43.845700000000001</v>
      </c>
      <c r="S9" s="13">
        <v>-76.997200000000007</v>
      </c>
      <c r="T9" t="s">
        <v>114</v>
      </c>
    </row>
    <row r="10" spans="1:20" x14ac:dyDescent="0.25">
      <c r="A10" t="s">
        <v>111</v>
      </c>
      <c r="B10" t="s">
        <v>129</v>
      </c>
      <c r="C10" t="s">
        <v>270</v>
      </c>
      <c r="D10" t="s">
        <v>272</v>
      </c>
      <c r="E10">
        <v>11</v>
      </c>
      <c r="F10">
        <v>55</v>
      </c>
      <c r="G10">
        <v>0.14199999999999999</v>
      </c>
      <c r="H10" s="14">
        <f t="shared" si="0"/>
        <v>1.5334899140335176</v>
      </c>
      <c r="I10" s="14">
        <f t="shared" si="1"/>
        <v>0.71</v>
      </c>
      <c r="J10">
        <v>9</v>
      </c>
      <c r="K10">
        <v>1</v>
      </c>
      <c r="L10">
        <v>4</v>
      </c>
      <c r="M10">
        <v>0</v>
      </c>
      <c r="N10" s="4">
        <v>45033</v>
      </c>
      <c r="O10" s="5">
        <v>0.37916666666666698</v>
      </c>
      <c r="P10" s="20" t="s">
        <v>276</v>
      </c>
      <c r="Q10" s="18">
        <v>35.1</v>
      </c>
      <c r="R10" s="13">
        <v>43.886000000000003</v>
      </c>
      <c r="S10" s="13">
        <v>-76.734133333333332</v>
      </c>
      <c r="T10" t="s">
        <v>114</v>
      </c>
    </row>
    <row r="11" spans="1:20" x14ac:dyDescent="0.25">
      <c r="A11" t="s">
        <v>131</v>
      </c>
      <c r="B11" t="s">
        <v>132</v>
      </c>
      <c r="C11" t="s">
        <v>258</v>
      </c>
      <c r="D11" t="s">
        <v>271</v>
      </c>
      <c r="E11">
        <v>20</v>
      </c>
      <c r="F11">
        <v>87</v>
      </c>
      <c r="G11">
        <v>0.14299999999999999</v>
      </c>
      <c r="H11" s="14">
        <f t="shared" si="0"/>
        <v>2.4427846377069131</v>
      </c>
      <c r="I11" s="14">
        <f t="shared" si="1"/>
        <v>0.62204999999999999</v>
      </c>
      <c r="J11">
        <v>49</v>
      </c>
      <c r="K11">
        <v>32</v>
      </c>
      <c r="L11">
        <v>1</v>
      </c>
      <c r="M11">
        <v>1</v>
      </c>
      <c r="N11" s="4">
        <v>45154</v>
      </c>
      <c r="O11" s="5">
        <v>0.42847222222222198</v>
      </c>
      <c r="P11" s="15" t="s">
        <v>276</v>
      </c>
      <c r="Q11" s="16">
        <v>23.1</v>
      </c>
      <c r="R11" s="13">
        <v>43.307749999999999</v>
      </c>
      <c r="S11" s="13">
        <v>-76.951549999999997</v>
      </c>
      <c r="T11" t="s">
        <v>134</v>
      </c>
    </row>
    <row r="12" spans="1:20" x14ac:dyDescent="0.25">
      <c r="A12" t="s">
        <v>131</v>
      </c>
      <c r="B12" t="s">
        <v>135</v>
      </c>
      <c r="C12" t="s">
        <v>259</v>
      </c>
      <c r="D12" t="s">
        <v>272</v>
      </c>
      <c r="E12">
        <v>20</v>
      </c>
      <c r="F12">
        <v>95</v>
      </c>
      <c r="G12">
        <v>0.14299999999999999</v>
      </c>
      <c r="H12" s="14">
        <f t="shared" si="0"/>
        <v>2.6674085124385836</v>
      </c>
      <c r="I12" s="14">
        <f t="shared" si="1"/>
        <v>0.67924999999999991</v>
      </c>
      <c r="J12">
        <v>61</v>
      </c>
      <c r="K12">
        <v>32</v>
      </c>
      <c r="L12">
        <v>1</v>
      </c>
      <c r="M12">
        <v>1</v>
      </c>
      <c r="N12" s="4">
        <v>45153</v>
      </c>
      <c r="O12" s="5">
        <v>0.43194444444444402</v>
      </c>
      <c r="P12" s="15" t="s">
        <v>276</v>
      </c>
      <c r="Q12" s="16">
        <v>50</v>
      </c>
      <c r="R12" s="13">
        <v>43.583666666666666</v>
      </c>
      <c r="S12" s="13">
        <v>-79.417216666666661</v>
      </c>
      <c r="T12" t="s">
        <v>134</v>
      </c>
    </row>
    <row r="13" spans="1:20" x14ac:dyDescent="0.25">
      <c r="A13" t="s">
        <v>131</v>
      </c>
      <c r="B13" t="s">
        <v>136</v>
      </c>
      <c r="C13" t="s">
        <v>260</v>
      </c>
      <c r="D13" t="s">
        <v>272</v>
      </c>
      <c r="E13">
        <v>13</v>
      </c>
      <c r="F13">
        <v>62</v>
      </c>
      <c r="G13">
        <v>0.14299999999999999</v>
      </c>
      <c r="H13" s="14">
        <f t="shared" si="0"/>
        <v>1.740835029170444</v>
      </c>
      <c r="I13" s="14">
        <f t="shared" si="1"/>
        <v>0.68199999999999994</v>
      </c>
      <c r="J13">
        <v>40</v>
      </c>
      <c r="K13">
        <v>32</v>
      </c>
      <c r="L13">
        <v>1</v>
      </c>
      <c r="M13">
        <v>1</v>
      </c>
      <c r="N13" s="4">
        <v>45152</v>
      </c>
      <c r="O13" s="5">
        <v>0.67152777777777795</v>
      </c>
      <c r="P13" s="15" t="s">
        <v>277</v>
      </c>
      <c r="Q13" s="16">
        <v>13.3</v>
      </c>
      <c r="R13" s="13">
        <v>43.318633333333331</v>
      </c>
      <c r="S13" s="13">
        <v>-78.999750000000006</v>
      </c>
      <c r="T13" t="s">
        <v>134</v>
      </c>
    </row>
    <row r="14" spans="1:20" x14ac:dyDescent="0.25">
      <c r="A14" t="s">
        <v>131</v>
      </c>
      <c r="B14" t="s">
        <v>138</v>
      </c>
      <c r="C14" t="s">
        <v>261</v>
      </c>
      <c r="D14" t="s">
        <v>272</v>
      </c>
      <c r="E14">
        <v>20</v>
      </c>
      <c r="F14">
        <v>50</v>
      </c>
      <c r="G14">
        <v>0.14299999999999999</v>
      </c>
      <c r="H14" s="14">
        <f t="shared" si="0"/>
        <v>1.4038992170729387</v>
      </c>
      <c r="I14" s="14">
        <f t="shared" si="1"/>
        <v>0.35749999999999998</v>
      </c>
      <c r="J14">
        <v>60.5</v>
      </c>
      <c r="K14">
        <v>64</v>
      </c>
      <c r="L14">
        <v>1</v>
      </c>
      <c r="M14">
        <v>1</v>
      </c>
      <c r="N14" s="4">
        <v>45152</v>
      </c>
      <c r="O14" s="5">
        <v>0.75347222222222199</v>
      </c>
      <c r="P14" s="15" t="s">
        <v>277</v>
      </c>
      <c r="Q14" s="16">
        <v>51.9</v>
      </c>
      <c r="R14" s="13">
        <v>43.374200000000002</v>
      </c>
      <c r="S14" s="13">
        <v>-78.730166666666662</v>
      </c>
      <c r="T14" t="s">
        <v>140</v>
      </c>
    </row>
    <row r="15" spans="1:20" x14ac:dyDescent="0.25">
      <c r="A15" t="s">
        <v>131</v>
      </c>
      <c r="B15" t="s">
        <v>141</v>
      </c>
      <c r="C15" t="s">
        <v>262</v>
      </c>
      <c r="D15" t="s">
        <v>272</v>
      </c>
      <c r="E15">
        <v>16</v>
      </c>
      <c r="F15">
        <v>102</v>
      </c>
      <c r="G15">
        <v>0.14299999999999999</v>
      </c>
      <c r="H15" s="14">
        <f t="shared" si="0"/>
        <v>2.8639544028287949</v>
      </c>
      <c r="I15" s="14">
        <f t="shared" si="1"/>
        <v>0.91162499999999991</v>
      </c>
      <c r="J15">
        <v>61.5</v>
      </c>
      <c r="K15">
        <v>32</v>
      </c>
      <c r="L15">
        <v>1</v>
      </c>
      <c r="M15">
        <v>1</v>
      </c>
      <c r="N15" s="4">
        <v>45153</v>
      </c>
      <c r="O15" s="5">
        <v>0.43541666666666701</v>
      </c>
      <c r="P15" s="17" t="s">
        <v>276</v>
      </c>
      <c r="Q15" s="18">
        <v>16.399999999999999</v>
      </c>
      <c r="R15" s="13">
        <v>43.383249999999997</v>
      </c>
      <c r="S15" s="13">
        <v>-77.989850000000004</v>
      </c>
      <c r="T15" t="s">
        <v>134</v>
      </c>
    </row>
    <row r="16" spans="1:20" x14ac:dyDescent="0.25">
      <c r="A16" t="s">
        <v>131</v>
      </c>
      <c r="B16" t="s">
        <v>143</v>
      </c>
      <c r="C16" t="s">
        <v>263</v>
      </c>
      <c r="D16" t="s">
        <v>271</v>
      </c>
      <c r="E16">
        <v>20</v>
      </c>
      <c r="F16">
        <v>103</v>
      </c>
      <c r="G16">
        <v>0.14299999999999999</v>
      </c>
      <c r="H16" s="14">
        <f t="shared" si="0"/>
        <v>2.8920323871702536</v>
      </c>
      <c r="I16" s="14">
        <f t="shared" si="1"/>
        <v>0.73644999999999994</v>
      </c>
      <c r="J16">
        <v>37</v>
      </c>
      <c r="K16">
        <v>128</v>
      </c>
      <c r="L16">
        <v>1</v>
      </c>
      <c r="M16">
        <v>1</v>
      </c>
      <c r="N16" s="4">
        <v>45153</v>
      </c>
      <c r="O16" s="5">
        <v>0.91666666666666696</v>
      </c>
      <c r="P16" s="17" t="s">
        <v>276</v>
      </c>
      <c r="Q16" s="18">
        <v>51.9</v>
      </c>
      <c r="R16" s="13">
        <v>43.786799999999999</v>
      </c>
      <c r="S16" s="13">
        <v>-77.1584</v>
      </c>
      <c r="T16" t="s">
        <v>134</v>
      </c>
    </row>
    <row r="17" spans="1:20" x14ac:dyDescent="0.25">
      <c r="A17" t="s">
        <v>131</v>
      </c>
      <c r="B17" t="s">
        <v>144</v>
      </c>
      <c r="C17" t="s">
        <v>264</v>
      </c>
      <c r="D17" t="s">
        <v>271</v>
      </c>
      <c r="E17">
        <v>20</v>
      </c>
      <c r="F17">
        <v>85</v>
      </c>
      <c r="G17">
        <v>0.14299999999999999</v>
      </c>
      <c r="H17" s="14">
        <f t="shared" si="0"/>
        <v>2.3866286690239957</v>
      </c>
      <c r="I17" s="14">
        <f t="shared" si="1"/>
        <v>0.60775000000000001</v>
      </c>
      <c r="J17">
        <v>28</v>
      </c>
      <c r="K17">
        <v>64</v>
      </c>
      <c r="L17">
        <v>1</v>
      </c>
      <c r="M17">
        <v>1</v>
      </c>
      <c r="N17" s="4">
        <v>45154</v>
      </c>
      <c r="O17" s="5">
        <v>0.16666666666666699</v>
      </c>
      <c r="P17" s="17" t="s">
        <v>276</v>
      </c>
      <c r="Q17" s="18">
        <v>35.1</v>
      </c>
      <c r="R17" s="13">
        <v>43.886000000000003</v>
      </c>
      <c r="S17" s="13">
        <v>-76.734133333333332</v>
      </c>
      <c r="T17" t="s">
        <v>140</v>
      </c>
    </row>
    <row r="18" spans="1:20" x14ac:dyDescent="0.25">
      <c r="A18" t="s">
        <v>131</v>
      </c>
      <c r="B18" t="s">
        <v>145</v>
      </c>
      <c r="C18" t="s">
        <v>265</v>
      </c>
      <c r="D18" t="s">
        <v>271</v>
      </c>
      <c r="E18">
        <v>20</v>
      </c>
      <c r="F18">
        <v>87</v>
      </c>
      <c r="G18">
        <v>0.14299999999999999</v>
      </c>
      <c r="H18" s="14">
        <f t="shared" si="0"/>
        <v>2.4427846377069131</v>
      </c>
      <c r="I18" s="14">
        <f t="shared" si="1"/>
        <v>0.62204999999999999</v>
      </c>
      <c r="J18">
        <v>34</v>
      </c>
      <c r="K18">
        <v>32</v>
      </c>
      <c r="L18">
        <v>1</v>
      </c>
      <c r="M18">
        <v>1</v>
      </c>
      <c r="N18" s="4">
        <v>45154</v>
      </c>
      <c r="O18" s="5">
        <v>0.37847222222222199</v>
      </c>
      <c r="P18" s="17" t="s">
        <v>276</v>
      </c>
      <c r="Q18" s="18">
        <v>72.8</v>
      </c>
      <c r="R18" s="13">
        <v>43.424766666666663</v>
      </c>
      <c r="S18" s="13">
        <v>-76.789333333333332</v>
      </c>
      <c r="T18" t="s">
        <v>140</v>
      </c>
    </row>
    <row r="19" spans="1:20" x14ac:dyDescent="0.25">
      <c r="A19" t="s">
        <v>131</v>
      </c>
      <c r="B19" t="s">
        <v>146</v>
      </c>
      <c r="C19" t="s">
        <v>266</v>
      </c>
      <c r="D19" t="s">
        <v>271</v>
      </c>
      <c r="E19">
        <v>20</v>
      </c>
      <c r="F19">
        <v>100</v>
      </c>
      <c r="G19">
        <v>0.14299999999999999</v>
      </c>
      <c r="H19" s="14">
        <f t="shared" si="0"/>
        <v>2.8077984341458775</v>
      </c>
      <c r="I19" s="14">
        <f t="shared" si="1"/>
        <v>0.71499999999999997</v>
      </c>
      <c r="J19">
        <v>46</v>
      </c>
      <c r="K19">
        <v>64</v>
      </c>
      <c r="L19">
        <v>1</v>
      </c>
      <c r="M19">
        <v>1</v>
      </c>
      <c r="N19" s="4">
        <v>45154</v>
      </c>
      <c r="O19" s="5">
        <v>0.27083333333333298</v>
      </c>
      <c r="P19" s="17" t="s">
        <v>276</v>
      </c>
      <c r="Q19" s="18">
        <v>37.1</v>
      </c>
      <c r="R19" s="13">
        <v>43.632383333333337</v>
      </c>
      <c r="S19" s="13">
        <v>-76.287033333333326</v>
      </c>
      <c r="T19" t="s">
        <v>134</v>
      </c>
    </row>
    <row r="20" spans="1:20" x14ac:dyDescent="0.25">
      <c r="A20" t="s">
        <v>131</v>
      </c>
      <c r="B20" t="s">
        <v>148</v>
      </c>
      <c r="C20" t="s">
        <v>267</v>
      </c>
      <c r="D20" t="s">
        <v>272</v>
      </c>
      <c r="E20">
        <v>20</v>
      </c>
      <c r="F20">
        <v>112</v>
      </c>
      <c r="G20">
        <v>0.14299999999999999</v>
      </c>
      <c r="H20" s="14">
        <f t="shared" si="0"/>
        <v>3.1447342462433827</v>
      </c>
      <c r="I20" s="14">
        <f t="shared" si="1"/>
        <v>0.80079999999999996</v>
      </c>
      <c r="J20">
        <v>29</v>
      </c>
      <c r="K20">
        <v>128</v>
      </c>
      <c r="L20">
        <v>1</v>
      </c>
      <c r="M20">
        <v>1</v>
      </c>
      <c r="N20" s="4">
        <v>45152</v>
      </c>
      <c r="O20" s="5">
        <v>0.97777777777777797</v>
      </c>
      <c r="P20" s="17" t="s">
        <v>277</v>
      </c>
      <c r="Q20" s="18">
        <v>30.5</v>
      </c>
      <c r="R20" s="13">
        <v>43.818216666666665</v>
      </c>
      <c r="S20" s="13">
        <v>-78.868566666666666</v>
      </c>
      <c r="T20" t="s">
        <v>140</v>
      </c>
    </row>
    <row r="21" spans="1:20" x14ac:dyDescent="0.25">
      <c r="A21" t="s">
        <v>131</v>
      </c>
      <c r="B21" t="s">
        <v>150</v>
      </c>
      <c r="C21" t="s">
        <v>268</v>
      </c>
      <c r="D21" t="s">
        <v>271</v>
      </c>
      <c r="E21">
        <v>20</v>
      </c>
      <c r="F21">
        <v>100</v>
      </c>
      <c r="G21">
        <v>0.14299999999999999</v>
      </c>
      <c r="H21" s="14">
        <f t="shared" si="0"/>
        <v>2.8077984341458775</v>
      </c>
      <c r="I21" s="14">
        <f t="shared" si="1"/>
        <v>0.71499999999999997</v>
      </c>
      <c r="J21">
        <v>34</v>
      </c>
      <c r="K21">
        <v>32</v>
      </c>
      <c r="L21">
        <v>1</v>
      </c>
      <c r="M21">
        <v>1</v>
      </c>
      <c r="N21" s="4">
        <v>45154</v>
      </c>
      <c r="O21" s="5">
        <v>6.8055555555555494E-2</v>
      </c>
      <c r="P21" s="17" t="s">
        <v>276</v>
      </c>
      <c r="Q21" s="18">
        <v>28.3</v>
      </c>
      <c r="R21" s="13">
        <v>43.845700000000001</v>
      </c>
      <c r="S21" s="13">
        <v>-76.997200000000007</v>
      </c>
      <c r="T21" t="s">
        <v>140</v>
      </c>
    </row>
    <row r="22" spans="1:20" x14ac:dyDescent="0.25">
      <c r="A22" t="s">
        <v>131</v>
      </c>
      <c r="B22" t="s">
        <v>151</v>
      </c>
      <c r="C22" t="s">
        <v>269</v>
      </c>
      <c r="D22" t="s">
        <v>272</v>
      </c>
      <c r="E22">
        <v>16</v>
      </c>
      <c r="F22">
        <v>88</v>
      </c>
      <c r="G22">
        <v>0.14299999999999999</v>
      </c>
      <c r="H22" s="14">
        <f t="shared" si="0"/>
        <v>2.4708626220483723</v>
      </c>
      <c r="I22" s="14">
        <f t="shared" si="1"/>
        <v>0.78649999999999998</v>
      </c>
      <c r="J22">
        <v>65</v>
      </c>
      <c r="K22">
        <v>32</v>
      </c>
      <c r="L22">
        <v>1</v>
      </c>
      <c r="M22">
        <v>1</v>
      </c>
      <c r="N22" s="4">
        <v>45153</v>
      </c>
      <c r="O22" s="5">
        <v>0.12777777777777799</v>
      </c>
      <c r="P22" s="15" t="s">
        <v>276</v>
      </c>
      <c r="Q22" s="18">
        <v>16</v>
      </c>
      <c r="R22" s="13">
        <v>43.949866666666665</v>
      </c>
      <c r="S22" s="13">
        <v>-78.050116666666668</v>
      </c>
      <c r="T22" t="s">
        <v>134</v>
      </c>
    </row>
    <row r="23" spans="1:20" x14ac:dyDescent="0.25">
      <c r="A23" t="s">
        <v>131</v>
      </c>
      <c r="B23" t="s">
        <v>152</v>
      </c>
      <c r="C23" t="s">
        <v>270</v>
      </c>
      <c r="D23" t="s">
        <v>272</v>
      </c>
      <c r="E23">
        <v>11</v>
      </c>
      <c r="F23">
        <v>67</v>
      </c>
      <c r="G23">
        <v>0.14299999999999999</v>
      </c>
      <c r="H23" s="14">
        <f t="shared" si="0"/>
        <v>1.8812249508777379</v>
      </c>
      <c r="I23" s="14">
        <f t="shared" si="1"/>
        <v>0.871</v>
      </c>
      <c r="J23">
        <v>42</v>
      </c>
      <c r="K23">
        <v>8</v>
      </c>
      <c r="L23">
        <v>1</v>
      </c>
      <c r="M23">
        <v>1</v>
      </c>
      <c r="N23" s="4">
        <v>45152</v>
      </c>
      <c r="O23" s="5">
        <v>0.23680555555555599</v>
      </c>
      <c r="P23" s="15" t="s">
        <v>276</v>
      </c>
      <c r="Q23" s="18">
        <v>10.7</v>
      </c>
      <c r="R23" s="13">
        <v>43.225000000000001</v>
      </c>
      <c r="S23" s="13">
        <v>-79.271766666666664</v>
      </c>
      <c r="T23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8F4E-A647-4F5D-89CE-792C5353A885}">
  <dimension ref="A1:S23"/>
  <sheetViews>
    <sheetView zoomScaleNormal="100" workbookViewId="0">
      <selection activeCell="D12" sqref="D12"/>
    </sheetView>
  </sheetViews>
  <sheetFormatPr defaultColWidth="11" defaultRowHeight="15.75" x14ac:dyDescent="0.25"/>
  <cols>
    <col min="8" max="8" width="14.375" bestFit="1" customWidth="1"/>
    <col min="15" max="15" width="11" style="21"/>
  </cols>
  <sheetData>
    <row r="1" spans="1:19" s="1" customFormat="1" x14ac:dyDescent="0.25">
      <c r="A1" s="1" t="s">
        <v>314</v>
      </c>
      <c r="B1" s="1" t="s">
        <v>244</v>
      </c>
      <c r="C1" s="1" t="s">
        <v>280</v>
      </c>
      <c r="D1" s="1" t="s">
        <v>273</v>
      </c>
      <c r="E1" s="1" t="s">
        <v>335</v>
      </c>
      <c r="F1" s="1" t="s">
        <v>279</v>
      </c>
      <c r="G1" s="1" t="s">
        <v>315</v>
      </c>
      <c r="H1" s="1" t="s">
        <v>316</v>
      </c>
      <c r="I1" s="1" t="s">
        <v>252</v>
      </c>
      <c r="J1" s="1" t="s">
        <v>253</v>
      </c>
      <c r="K1" s="1" t="s">
        <v>311</v>
      </c>
      <c r="L1" s="1" t="s">
        <v>310</v>
      </c>
      <c r="M1" s="1" t="s">
        <v>313</v>
      </c>
      <c r="N1" s="2" t="s">
        <v>312</v>
      </c>
      <c r="O1" s="19" t="s">
        <v>254</v>
      </c>
      <c r="P1" s="2" t="s">
        <v>255</v>
      </c>
      <c r="Q1" s="2" t="s">
        <v>256</v>
      </c>
      <c r="R1" s="2" t="s">
        <v>257</v>
      </c>
      <c r="S1" s="1" t="s">
        <v>317</v>
      </c>
    </row>
    <row r="2" spans="1:19" x14ac:dyDescent="0.25">
      <c r="A2" t="s">
        <v>111</v>
      </c>
      <c r="B2" t="s">
        <v>129</v>
      </c>
      <c r="C2" t="s">
        <v>270</v>
      </c>
      <c r="D2" t="s">
        <v>272</v>
      </c>
      <c r="E2" t="s">
        <v>247</v>
      </c>
      <c r="F2">
        <v>11</v>
      </c>
      <c r="G2">
        <v>55</v>
      </c>
      <c r="H2">
        <v>0.14199999999999999</v>
      </c>
      <c r="I2" s="14">
        <f t="shared" ref="I2:I10" si="0">PI()*0.25^2*(G2*H2)</f>
        <v>1.5334899140335176</v>
      </c>
      <c r="J2" s="14">
        <f t="shared" ref="J2:J10" si="1">G2*H2/F2</f>
        <v>0.71</v>
      </c>
      <c r="K2">
        <v>9</v>
      </c>
      <c r="L2">
        <v>1</v>
      </c>
      <c r="M2" s="4">
        <v>45033</v>
      </c>
      <c r="N2" s="5">
        <v>0.37916666666666698</v>
      </c>
      <c r="O2" s="20" t="s">
        <v>276</v>
      </c>
      <c r="P2" s="18">
        <v>35.1</v>
      </c>
      <c r="Q2" s="13">
        <v>43.225566666699997</v>
      </c>
      <c r="R2" s="13">
        <v>-79.269900000000007</v>
      </c>
      <c r="S2" t="s">
        <v>114</v>
      </c>
    </row>
    <row r="3" spans="1:19" x14ac:dyDescent="0.25">
      <c r="A3" t="s">
        <v>111</v>
      </c>
      <c r="B3" t="s">
        <v>119</v>
      </c>
      <c r="C3" t="s">
        <v>274</v>
      </c>
      <c r="D3" t="s">
        <v>272</v>
      </c>
      <c r="E3" t="s">
        <v>247</v>
      </c>
      <c r="F3">
        <v>13</v>
      </c>
      <c r="G3">
        <v>67</v>
      </c>
      <c r="H3">
        <v>0.14199999999999999</v>
      </c>
      <c r="I3" s="14">
        <f t="shared" si="0"/>
        <v>1.8680695316408307</v>
      </c>
      <c r="J3" s="14">
        <f t="shared" si="1"/>
        <v>0.73184615384615381</v>
      </c>
      <c r="K3">
        <v>62.5</v>
      </c>
      <c r="L3">
        <v>1</v>
      </c>
      <c r="M3" s="4">
        <v>45033</v>
      </c>
      <c r="N3" s="5">
        <v>0.68402777777777801</v>
      </c>
      <c r="O3" s="20" t="s">
        <v>277</v>
      </c>
      <c r="P3" s="16">
        <v>50</v>
      </c>
      <c r="Q3" s="13">
        <v>43.317666666699999</v>
      </c>
      <c r="R3" s="13">
        <v>-78.9988833333</v>
      </c>
      <c r="S3" t="s">
        <v>114</v>
      </c>
    </row>
    <row r="4" spans="1:19" x14ac:dyDescent="0.25">
      <c r="A4" t="s">
        <v>111</v>
      </c>
      <c r="B4" t="s">
        <v>112</v>
      </c>
      <c r="C4" t="s">
        <v>275</v>
      </c>
      <c r="D4" t="s">
        <v>272</v>
      </c>
      <c r="E4" t="s">
        <v>247</v>
      </c>
      <c r="F4">
        <v>52</v>
      </c>
      <c r="G4">
        <v>236</v>
      </c>
      <c r="H4">
        <v>0.14199999999999999</v>
      </c>
      <c r="I4" s="14">
        <f t="shared" si="0"/>
        <v>6.5800658129438219</v>
      </c>
      <c r="J4" s="14">
        <f t="shared" si="1"/>
        <v>0.64446153846153842</v>
      </c>
      <c r="K4">
        <v>103.5</v>
      </c>
      <c r="L4">
        <v>1</v>
      </c>
      <c r="M4" s="4">
        <v>45033</v>
      </c>
      <c r="N4" s="5">
        <v>0.76666666666666705</v>
      </c>
      <c r="O4" s="20" t="s">
        <v>277</v>
      </c>
      <c r="P4" s="18">
        <v>72.8</v>
      </c>
      <c r="Q4" s="13">
        <v>43.374450000000003</v>
      </c>
      <c r="R4" s="13">
        <v>-78.729483333299996</v>
      </c>
      <c r="S4" t="s">
        <v>114</v>
      </c>
    </row>
    <row r="5" spans="1:19" x14ac:dyDescent="0.25">
      <c r="A5" t="s">
        <v>111</v>
      </c>
      <c r="B5" t="s">
        <v>127</v>
      </c>
      <c r="C5" t="s">
        <v>269</v>
      </c>
      <c r="D5" t="s">
        <v>272</v>
      </c>
      <c r="E5" t="s">
        <v>247</v>
      </c>
      <c r="F5">
        <v>14</v>
      </c>
      <c r="G5">
        <v>70</v>
      </c>
      <c r="H5">
        <v>0.14199999999999999</v>
      </c>
      <c r="I5" s="14">
        <f t="shared" si="0"/>
        <v>1.9517144360426588</v>
      </c>
      <c r="J5" s="14">
        <f t="shared" si="1"/>
        <v>0.71</v>
      </c>
      <c r="K5">
        <v>4</v>
      </c>
      <c r="L5">
        <v>1</v>
      </c>
      <c r="M5" s="4">
        <v>45036</v>
      </c>
      <c r="N5" s="5">
        <v>0.19097222222222199</v>
      </c>
      <c r="O5" s="20" t="s">
        <v>276</v>
      </c>
      <c r="P5" s="18">
        <v>28.3</v>
      </c>
      <c r="Q5" s="13">
        <v>43.949866666666701</v>
      </c>
      <c r="R5" s="13">
        <v>-78.050116666666696</v>
      </c>
      <c r="S5" t="s">
        <v>114</v>
      </c>
    </row>
    <row r="6" spans="1:19" x14ac:dyDescent="0.25">
      <c r="A6" t="s">
        <v>111</v>
      </c>
      <c r="B6" t="s">
        <v>115</v>
      </c>
      <c r="C6" t="s">
        <v>263</v>
      </c>
      <c r="D6" t="s">
        <v>271</v>
      </c>
      <c r="E6" t="s">
        <v>247</v>
      </c>
      <c r="F6">
        <v>50</v>
      </c>
      <c r="G6">
        <v>212</v>
      </c>
      <c r="H6">
        <v>0.14199999999999999</v>
      </c>
      <c r="I6" s="14">
        <f t="shared" si="0"/>
        <v>5.9109065777291949</v>
      </c>
      <c r="J6" s="14">
        <f t="shared" si="1"/>
        <v>0.60207999999999995</v>
      </c>
      <c r="K6">
        <v>5</v>
      </c>
      <c r="L6">
        <v>1</v>
      </c>
      <c r="M6" s="4">
        <v>45036</v>
      </c>
      <c r="N6" s="5">
        <v>0.39236111111111099</v>
      </c>
      <c r="O6" s="20" t="s">
        <v>276</v>
      </c>
      <c r="P6" s="18">
        <v>51.9</v>
      </c>
      <c r="Q6" s="13">
        <v>43.786799999999999</v>
      </c>
      <c r="R6" s="13">
        <v>-77.1584</v>
      </c>
      <c r="S6" t="s">
        <v>114</v>
      </c>
    </row>
    <row r="7" spans="1:19" x14ac:dyDescent="0.25">
      <c r="A7" t="s">
        <v>111</v>
      </c>
      <c r="B7" t="s">
        <v>123</v>
      </c>
      <c r="C7" t="s">
        <v>268</v>
      </c>
      <c r="D7" t="s">
        <v>271</v>
      </c>
      <c r="E7" t="s">
        <v>247</v>
      </c>
      <c r="F7">
        <v>28</v>
      </c>
      <c r="G7">
        <v>125</v>
      </c>
      <c r="H7">
        <v>0.14199999999999999</v>
      </c>
      <c r="I7" s="14">
        <f t="shared" si="0"/>
        <v>3.4852043500761769</v>
      </c>
      <c r="J7" s="14">
        <f t="shared" si="1"/>
        <v>0.6339285714285714</v>
      </c>
      <c r="K7">
        <v>6</v>
      </c>
      <c r="L7">
        <v>1</v>
      </c>
      <c r="M7" s="4">
        <v>45036</v>
      </c>
      <c r="N7" s="5">
        <v>0.48680555555555599</v>
      </c>
      <c r="O7" s="20" t="s">
        <v>276</v>
      </c>
      <c r="P7" s="18">
        <v>16</v>
      </c>
      <c r="Q7" s="13">
        <v>43.845750000000002</v>
      </c>
      <c r="R7" s="13">
        <v>-76.997683333300003</v>
      </c>
      <c r="S7" t="s">
        <v>114</v>
      </c>
    </row>
    <row r="8" spans="1:19" x14ac:dyDescent="0.25">
      <c r="A8" t="s">
        <v>111</v>
      </c>
      <c r="B8" t="s">
        <v>121</v>
      </c>
      <c r="C8" t="s">
        <v>265</v>
      </c>
      <c r="D8" t="s">
        <v>271</v>
      </c>
      <c r="E8" t="s">
        <v>247</v>
      </c>
      <c r="F8">
        <v>71</v>
      </c>
      <c r="G8">
        <v>307</v>
      </c>
      <c r="H8">
        <v>0.14199999999999999</v>
      </c>
      <c r="I8" s="14">
        <f t="shared" si="0"/>
        <v>8.5596618837870881</v>
      </c>
      <c r="J8" s="14">
        <f t="shared" si="1"/>
        <v>0.61399999999999988</v>
      </c>
      <c r="K8">
        <v>55</v>
      </c>
      <c r="L8">
        <v>1</v>
      </c>
      <c r="M8" s="4">
        <v>45036</v>
      </c>
      <c r="N8" s="5">
        <v>0.66388888888888897</v>
      </c>
      <c r="O8" s="20" t="s">
        <v>277</v>
      </c>
      <c r="P8" s="18">
        <v>74</v>
      </c>
      <c r="Q8">
        <v>43.408283333299998</v>
      </c>
      <c r="R8">
        <v>-76.789083333299999</v>
      </c>
      <c r="S8" t="s">
        <v>114</v>
      </c>
    </row>
    <row r="9" spans="1:19" x14ac:dyDescent="0.25">
      <c r="A9" t="s">
        <v>111</v>
      </c>
      <c r="B9" t="s">
        <v>125</v>
      </c>
      <c r="C9" t="s">
        <v>259</v>
      </c>
      <c r="D9" t="s">
        <v>272</v>
      </c>
      <c r="E9" t="s">
        <v>247</v>
      </c>
      <c r="F9">
        <v>48</v>
      </c>
      <c r="G9">
        <v>294</v>
      </c>
      <c r="H9">
        <v>0.14199999999999999</v>
      </c>
      <c r="I9" s="14">
        <f t="shared" si="0"/>
        <v>8.1972006313791663</v>
      </c>
      <c r="J9" s="14">
        <f t="shared" si="1"/>
        <v>0.86974999999999991</v>
      </c>
      <c r="K9">
        <v>6</v>
      </c>
      <c r="L9">
        <v>1</v>
      </c>
      <c r="M9" s="4">
        <v>45033</v>
      </c>
      <c r="N9" s="5">
        <v>0.51597222222222205</v>
      </c>
      <c r="O9" s="20" t="s">
        <v>277</v>
      </c>
      <c r="P9" s="18">
        <v>50.3</v>
      </c>
      <c r="Q9">
        <v>43.548850000000002</v>
      </c>
      <c r="R9">
        <v>-79.417000000000002</v>
      </c>
      <c r="S9" t="s">
        <v>114</v>
      </c>
    </row>
    <row r="10" spans="1:19" x14ac:dyDescent="0.25">
      <c r="A10" t="s">
        <v>111</v>
      </c>
      <c r="B10" t="s">
        <v>117</v>
      </c>
      <c r="C10" t="s">
        <v>264</v>
      </c>
      <c r="D10" t="s">
        <v>271</v>
      </c>
      <c r="E10" t="s">
        <v>247</v>
      </c>
      <c r="F10">
        <v>35</v>
      </c>
      <c r="G10">
        <v>164</v>
      </c>
      <c r="H10">
        <v>0.14199999999999999</v>
      </c>
      <c r="I10" s="14">
        <f t="shared" si="0"/>
        <v>4.5725881072999428</v>
      </c>
      <c r="J10" s="14">
        <f t="shared" si="1"/>
        <v>0.6653714285714285</v>
      </c>
      <c r="K10">
        <v>8</v>
      </c>
      <c r="L10">
        <v>1</v>
      </c>
      <c r="M10" s="4">
        <v>45036</v>
      </c>
      <c r="N10" s="5">
        <v>0.54444444444444395</v>
      </c>
      <c r="O10" s="20" t="s">
        <v>277</v>
      </c>
      <c r="P10" s="18">
        <v>10.7</v>
      </c>
      <c r="Q10" s="13">
        <v>43.886200000000002</v>
      </c>
      <c r="R10" s="13">
        <v>-76.734466666700001</v>
      </c>
      <c r="S10" t="s">
        <v>114</v>
      </c>
    </row>
    <row r="11" spans="1:19" x14ac:dyDescent="0.25">
      <c r="A11" t="s">
        <v>131</v>
      </c>
      <c r="B11" t="s">
        <v>132</v>
      </c>
      <c r="C11" t="s">
        <v>258</v>
      </c>
      <c r="D11" t="s">
        <v>271</v>
      </c>
      <c r="E11" t="s">
        <v>248</v>
      </c>
      <c r="F11">
        <v>20</v>
      </c>
      <c r="G11">
        <v>87</v>
      </c>
      <c r="H11">
        <v>0.14299999999999999</v>
      </c>
      <c r="I11" s="14">
        <f t="shared" ref="I11:I23" si="2">PI()*0.25^2*(G11*H11)</f>
        <v>2.4427846377069131</v>
      </c>
      <c r="J11" s="14">
        <f t="shared" ref="J11:J23" si="3">G11*H11/F11</f>
        <v>0.62204999999999999</v>
      </c>
      <c r="K11">
        <v>49</v>
      </c>
      <c r="L11">
        <v>32</v>
      </c>
      <c r="M11" s="4">
        <v>45154</v>
      </c>
      <c r="N11" s="5">
        <v>0.42847222222222198</v>
      </c>
      <c r="O11" s="15" t="s">
        <v>276</v>
      </c>
      <c r="P11" s="16">
        <v>23.1</v>
      </c>
      <c r="Q11" s="13">
        <v>43.307749999999999</v>
      </c>
      <c r="R11" s="13">
        <v>-76.951549999999997</v>
      </c>
      <c r="S11" t="s">
        <v>134</v>
      </c>
    </row>
    <row r="12" spans="1:19" x14ac:dyDescent="0.25">
      <c r="A12" t="s">
        <v>131</v>
      </c>
      <c r="B12" t="s">
        <v>135</v>
      </c>
      <c r="C12" t="s">
        <v>259</v>
      </c>
      <c r="D12" t="s">
        <v>272</v>
      </c>
      <c r="E12" t="s">
        <v>248</v>
      </c>
      <c r="F12">
        <v>20</v>
      </c>
      <c r="G12">
        <v>95</v>
      </c>
      <c r="H12">
        <v>0.14299999999999999</v>
      </c>
      <c r="I12" s="14">
        <f t="shared" si="2"/>
        <v>2.6674085124385836</v>
      </c>
      <c r="J12" s="14">
        <f t="shared" si="3"/>
        <v>0.67924999999999991</v>
      </c>
      <c r="K12">
        <v>61</v>
      </c>
      <c r="L12">
        <v>32</v>
      </c>
      <c r="M12" s="4">
        <v>45153</v>
      </c>
      <c r="N12" s="5">
        <v>0.43194444444444402</v>
      </c>
      <c r="O12" s="15" t="s">
        <v>276</v>
      </c>
      <c r="P12" s="16">
        <v>50</v>
      </c>
      <c r="Q12" s="13">
        <v>43.583666666666666</v>
      </c>
      <c r="R12" s="13">
        <v>-79.417216666666661</v>
      </c>
      <c r="S12" t="s">
        <v>134</v>
      </c>
    </row>
    <row r="13" spans="1:19" x14ac:dyDescent="0.25">
      <c r="A13" t="s">
        <v>131</v>
      </c>
      <c r="B13" t="s">
        <v>136</v>
      </c>
      <c r="C13" t="s">
        <v>260</v>
      </c>
      <c r="D13" t="s">
        <v>272</v>
      </c>
      <c r="E13" t="s">
        <v>248</v>
      </c>
      <c r="F13">
        <v>13</v>
      </c>
      <c r="G13">
        <v>62</v>
      </c>
      <c r="H13">
        <v>0.14299999999999999</v>
      </c>
      <c r="I13" s="14">
        <f t="shared" si="2"/>
        <v>1.740835029170444</v>
      </c>
      <c r="J13" s="14">
        <f t="shared" si="3"/>
        <v>0.68199999999999994</v>
      </c>
      <c r="K13">
        <v>40</v>
      </c>
      <c r="L13">
        <v>32</v>
      </c>
      <c r="M13" s="4">
        <v>45152</v>
      </c>
      <c r="N13" s="5">
        <v>0.67152777777777795</v>
      </c>
      <c r="O13" s="15" t="s">
        <v>277</v>
      </c>
      <c r="P13" s="16">
        <v>13.3</v>
      </c>
      <c r="Q13" s="13">
        <v>43.318633333333331</v>
      </c>
      <c r="R13" s="13">
        <v>-78.999750000000006</v>
      </c>
      <c r="S13" t="s">
        <v>134</v>
      </c>
    </row>
    <row r="14" spans="1:19" x14ac:dyDescent="0.25">
      <c r="A14" t="s">
        <v>131</v>
      </c>
      <c r="B14" t="s">
        <v>138</v>
      </c>
      <c r="C14" t="s">
        <v>261</v>
      </c>
      <c r="D14" t="s">
        <v>272</v>
      </c>
      <c r="E14" t="s">
        <v>248</v>
      </c>
      <c r="F14">
        <v>20</v>
      </c>
      <c r="G14">
        <v>50</v>
      </c>
      <c r="H14">
        <v>0.14299999999999999</v>
      </c>
      <c r="I14" s="14">
        <f t="shared" si="2"/>
        <v>1.4038992170729387</v>
      </c>
      <c r="J14" s="14">
        <f t="shared" si="3"/>
        <v>0.35749999999999998</v>
      </c>
      <c r="K14">
        <v>60.5</v>
      </c>
      <c r="L14">
        <v>64</v>
      </c>
      <c r="M14" s="4">
        <v>45152</v>
      </c>
      <c r="N14" s="5">
        <v>0.75347222222222199</v>
      </c>
      <c r="O14" s="15" t="s">
        <v>277</v>
      </c>
      <c r="P14" s="16">
        <v>51.9</v>
      </c>
      <c r="Q14" s="13">
        <v>43.374200000000002</v>
      </c>
      <c r="R14" s="13">
        <v>-78.730166666666662</v>
      </c>
      <c r="S14" t="s">
        <v>140</v>
      </c>
    </row>
    <row r="15" spans="1:19" x14ac:dyDescent="0.25">
      <c r="A15" t="s">
        <v>131</v>
      </c>
      <c r="B15" t="s">
        <v>141</v>
      </c>
      <c r="C15" t="s">
        <v>262</v>
      </c>
      <c r="D15" t="s">
        <v>272</v>
      </c>
      <c r="E15" t="s">
        <v>248</v>
      </c>
      <c r="F15">
        <v>16</v>
      </c>
      <c r="G15">
        <v>102</v>
      </c>
      <c r="H15">
        <v>0.14299999999999999</v>
      </c>
      <c r="I15" s="14">
        <f t="shared" si="2"/>
        <v>2.8639544028287949</v>
      </c>
      <c r="J15" s="14">
        <f t="shared" si="3"/>
        <v>0.91162499999999991</v>
      </c>
      <c r="K15">
        <v>61.5</v>
      </c>
      <c r="L15">
        <v>32</v>
      </c>
      <c r="M15" s="4">
        <v>45153</v>
      </c>
      <c r="N15" s="5">
        <v>0.43541666666666701</v>
      </c>
      <c r="O15" s="17" t="s">
        <v>276</v>
      </c>
      <c r="P15" s="18">
        <v>16.399999999999999</v>
      </c>
      <c r="Q15" s="13">
        <v>43.383249999999997</v>
      </c>
      <c r="R15" s="13">
        <v>-77.989850000000004</v>
      </c>
      <c r="S15" t="s">
        <v>134</v>
      </c>
    </row>
    <row r="16" spans="1:19" x14ac:dyDescent="0.25">
      <c r="A16" t="s">
        <v>131</v>
      </c>
      <c r="B16" t="s">
        <v>143</v>
      </c>
      <c r="C16" t="s">
        <v>263</v>
      </c>
      <c r="D16" t="s">
        <v>271</v>
      </c>
      <c r="E16" t="s">
        <v>248</v>
      </c>
      <c r="F16">
        <v>20</v>
      </c>
      <c r="G16">
        <v>103</v>
      </c>
      <c r="H16">
        <v>0.14299999999999999</v>
      </c>
      <c r="I16" s="14">
        <f t="shared" si="2"/>
        <v>2.8920323871702536</v>
      </c>
      <c r="J16" s="14">
        <f t="shared" si="3"/>
        <v>0.73644999999999994</v>
      </c>
      <c r="K16">
        <v>37</v>
      </c>
      <c r="L16">
        <v>128</v>
      </c>
      <c r="M16" s="4">
        <v>45153</v>
      </c>
      <c r="N16" s="5">
        <v>0.91666666666666696</v>
      </c>
      <c r="O16" s="17" t="s">
        <v>276</v>
      </c>
      <c r="P16" s="18">
        <v>51.9</v>
      </c>
      <c r="Q16" s="13">
        <v>43.786799999999999</v>
      </c>
      <c r="R16" s="13">
        <v>-77.1584</v>
      </c>
      <c r="S16" t="s">
        <v>134</v>
      </c>
    </row>
    <row r="17" spans="1:19" x14ac:dyDescent="0.25">
      <c r="A17" t="s">
        <v>131</v>
      </c>
      <c r="B17" t="s">
        <v>144</v>
      </c>
      <c r="C17" t="s">
        <v>264</v>
      </c>
      <c r="D17" t="s">
        <v>271</v>
      </c>
      <c r="E17" t="s">
        <v>248</v>
      </c>
      <c r="F17">
        <v>20</v>
      </c>
      <c r="G17">
        <v>85</v>
      </c>
      <c r="H17">
        <v>0.14299999999999999</v>
      </c>
      <c r="I17" s="14">
        <f t="shared" si="2"/>
        <v>2.3866286690239957</v>
      </c>
      <c r="J17" s="14">
        <f t="shared" si="3"/>
        <v>0.60775000000000001</v>
      </c>
      <c r="K17">
        <v>28</v>
      </c>
      <c r="L17">
        <v>64</v>
      </c>
      <c r="M17" s="4">
        <v>45154</v>
      </c>
      <c r="N17" s="5">
        <v>0.16666666666666699</v>
      </c>
      <c r="O17" s="17" t="s">
        <v>276</v>
      </c>
      <c r="P17" s="18">
        <v>35.1</v>
      </c>
      <c r="Q17" s="13">
        <v>43.886000000000003</v>
      </c>
      <c r="R17" s="13">
        <v>-76.734133333333332</v>
      </c>
      <c r="S17" t="s">
        <v>140</v>
      </c>
    </row>
    <row r="18" spans="1:19" x14ac:dyDescent="0.25">
      <c r="A18" t="s">
        <v>131</v>
      </c>
      <c r="B18" t="s">
        <v>145</v>
      </c>
      <c r="C18" t="s">
        <v>265</v>
      </c>
      <c r="D18" t="s">
        <v>271</v>
      </c>
      <c r="E18" t="s">
        <v>248</v>
      </c>
      <c r="F18">
        <v>20</v>
      </c>
      <c r="G18">
        <v>87</v>
      </c>
      <c r="H18">
        <v>0.14299999999999999</v>
      </c>
      <c r="I18" s="14">
        <f t="shared" si="2"/>
        <v>2.4427846377069131</v>
      </c>
      <c r="J18" s="14">
        <f t="shared" si="3"/>
        <v>0.62204999999999999</v>
      </c>
      <c r="K18">
        <v>34</v>
      </c>
      <c r="L18">
        <v>32</v>
      </c>
      <c r="M18" s="4">
        <v>45154</v>
      </c>
      <c r="N18" s="5">
        <v>0.37847222222222199</v>
      </c>
      <c r="O18" s="17" t="s">
        <v>276</v>
      </c>
      <c r="P18" s="18">
        <v>72.8</v>
      </c>
      <c r="Q18" s="13">
        <v>43.424766666666663</v>
      </c>
      <c r="R18" s="13">
        <v>-76.789333333333332</v>
      </c>
      <c r="S18" t="s">
        <v>140</v>
      </c>
    </row>
    <row r="19" spans="1:19" x14ac:dyDescent="0.25">
      <c r="A19" t="s">
        <v>131</v>
      </c>
      <c r="B19" t="s">
        <v>146</v>
      </c>
      <c r="C19" t="s">
        <v>266</v>
      </c>
      <c r="D19" t="s">
        <v>271</v>
      </c>
      <c r="E19" t="s">
        <v>248</v>
      </c>
      <c r="F19">
        <v>20</v>
      </c>
      <c r="G19">
        <v>100</v>
      </c>
      <c r="H19">
        <v>0.14299999999999999</v>
      </c>
      <c r="I19" s="14">
        <f t="shared" si="2"/>
        <v>2.8077984341458775</v>
      </c>
      <c r="J19" s="14">
        <f t="shared" si="3"/>
        <v>0.71499999999999997</v>
      </c>
      <c r="K19">
        <v>46</v>
      </c>
      <c r="L19">
        <v>64</v>
      </c>
      <c r="M19" s="4">
        <v>45154</v>
      </c>
      <c r="N19" s="5">
        <v>0.27083333333333298</v>
      </c>
      <c r="O19" s="17" t="s">
        <v>276</v>
      </c>
      <c r="P19" s="18">
        <v>37.1</v>
      </c>
      <c r="Q19" s="13">
        <v>43.632383333333337</v>
      </c>
      <c r="R19" s="13">
        <v>-76.287033333333326</v>
      </c>
      <c r="S19" t="s">
        <v>134</v>
      </c>
    </row>
    <row r="20" spans="1:19" x14ac:dyDescent="0.25">
      <c r="A20" t="s">
        <v>131</v>
      </c>
      <c r="B20" t="s">
        <v>148</v>
      </c>
      <c r="C20" t="s">
        <v>267</v>
      </c>
      <c r="D20" t="s">
        <v>272</v>
      </c>
      <c r="E20" t="s">
        <v>248</v>
      </c>
      <c r="F20">
        <v>20</v>
      </c>
      <c r="G20">
        <v>112</v>
      </c>
      <c r="H20">
        <v>0.14299999999999999</v>
      </c>
      <c r="I20" s="14">
        <f t="shared" si="2"/>
        <v>3.1447342462433827</v>
      </c>
      <c r="J20" s="14">
        <f t="shared" si="3"/>
        <v>0.80079999999999996</v>
      </c>
      <c r="K20">
        <v>29</v>
      </c>
      <c r="L20">
        <v>128</v>
      </c>
      <c r="M20" s="4">
        <v>45152</v>
      </c>
      <c r="N20" s="5">
        <v>0.97777777777777797</v>
      </c>
      <c r="O20" s="17" t="s">
        <v>277</v>
      </c>
      <c r="P20" s="18">
        <v>30.5</v>
      </c>
      <c r="Q20" s="13">
        <v>43.818216666666665</v>
      </c>
      <c r="R20" s="13">
        <v>-78.868566666666666</v>
      </c>
      <c r="S20" t="s">
        <v>140</v>
      </c>
    </row>
    <row r="21" spans="1:19" x14ac:dyDescent="0.25">
      <c r="A21" t="s">
        <v>131</v>
      </c>
      <c r="B21" t="s">
        <v>150</v>
      </c>
      <c r="C21" t="s">
        <v>268</v>
      </c>
      <c r="D21" t="s">
        <v>271</v>
      </c>
      <c r="E21" t="s">
        <v>248</v>
      </c>
      <c r="F21">
        <v>20</v>
      </c>
      <c r="G21">
        <v>100</v>
      </c>
      <c r="H21">
        <v>0.14299999999999999</v>
      </c>
      <c r="I21" s="14">
        <f t="shared" si="2"/>
        <v>2.8077984341458775</v>
      </c>
      <c r="J21" s="14">
        <f t="shared" si="3"/>
        <v>0.71499999999999997</v>
      </c>
      <c r="K21">
        <v>34</v>
      </c>
      <c r="L21">
        <v>32</v>
      </c>
      <c r="M21" s="4">
        <v>45154</v>
      </c>
      <c r="N21" s="5">
        <v>6.8055555555555494E-2</v>
      </c>
      <c r="O21" s="17" t="s">
        <v>276</v>
      </c>
      <c r="P21" s="18">
        <v>28.3</v>
      </c>
      <c r="Q21" s="13">
        <v>43.845700000000001</v>
      </c>
      <c r="R21" s="13">
        <v>-76.997200000000007</v>
      </c>
      <c r="S21" t="s">
        <v>140</v>
      </c>
    </row>
    <row r="22" spans="1:19" x14ac:dyDescent="0.25">
      <c r="A22" t="s">
        <v>131</v>
      </c>
      <c r="B22" t="s">
        <v>151</v>
      </c>
      <c r="C22" t="s">
        <v>269</v>
      </c>
      <c r="D22" t="s">
        <v>272</v>
      </c>
      <c r="E22" t="s">
        <v>248</v>
      </c>
      <c r="F22">
        <v>16</v>
      </c>
      <c r="G22">
        <v>88</v>
      </c>
      <c r="H22">
        <v>0.14299999999999999</v>
      </c>
      <c r="I22" s="14">
        <f t="shared" si="2"/>
        <v>2.4708626220483723</v>
      </c>
      <c r="J22" s="14">
        <f t="shared" si="3"/>
        <v>0.78649999999999998</v>
      </c>
      <c r="K22">
        <v>65</v>
      </c>
      <c r="L22">
        <v>32</v>
      </c>
      <c r="M22" s="4">
        <v>45153</v>
      </c>
      <c r="N22" s="5">
        <v>0.12777777777777799</v>
      </c>
      <c r="O22" s="15" t="s">
        <v>276</v>
      </c>
      <c r="P22" s="18">
        <v>16</v>
      </c>
      <c r="Q22" s="13">
        <v>43.949866666666701</v>
      </c>
      <c r="R22" s="13">
        <v>-78.050116666666696</v>
      </c>
      <c r="S22" t="s">
        <v>134</v>
      </c>
    </row>
    <row r="23" spans="1:19" x14ac:dyDescent="0.25">
      <c r="A23" t="s">
        <v>131</v>
      </c>
      <c r="B23" t="s">
        <v>152</v>
      </c>
      <c r="C23" t="s">
        <v>270</v>
      </c>
      <c r="D23" t="s">
        <v>272</v>
      </c>
      <c r="E23" t="s">
        <v>248</v>
      </c>
      <c r="F23">
        <v>11</v>
      </c>
      <c r="G23">
        <v>67</v>
      </c>
      <c r="H23">
        <v>0.14299999999999999</v>
      </c>
      <c r="I23" s="14">
        <f t="shared" si="2"/>
        <v>1.8812249508777379</v>
      </c>
      <c r="J23" s="14">
        <f t="shared" si="3"/>
        <v>0.871</v>
      </c>
      <c r="K23">
        <v>42</v>
      </c>
      <c r="L23">
        <v>8</v>
      </c>
      <c r="M23" s="4">
        <v>45152</v>
      </c>
      <c r="N23" s="5">
        <v>0.23680555555555599</v>
      </c>
      <c r="O23" s="15" t="s">
        <v>276</v>
      </c>
      <c r="P23" s="18">
        <v>10.7</v>
      </c>
      <c r="Q23" s="13">
        <v>43.225000000000001</v>
      </c>
      <c r="R23" s="13">
        <v>-79.271766666666664</v>
      </c>
      <c r="S2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F011-27DA-4617-A16C-EFE22E0EEE6F}">
  <dimension ref="A1:K610"/>
  <sheetViews>
    <sheetView tabSelected="1" zoomScaleNormal="100" workbookViewId="0">
      <selection activeCell="C611" sqref="C611"/>
    </sheetView>
  </sheetViews>
  <sheetFormatPr defaultColWidth="11" defaultRowHeight="15.75" x14ac:dyDescent="0.25"/>
  <cols>
    <col min="1" max="1" width="11.625" bestFit="1" customWidth="1"/>
    <col min="5" max="6" width="12.5" bestFit="1" customWidth="1"/>
    <col min="7" max="7" width="17.125" customWidth="1"/>
    <col min="8" max="8" width="16.125" customWidth="1"/>
    <col min="9" max="9" width="17.125" customWidth="1"/>
    <col min="10" max="10" width="14.75" customWidth="1"/>
    <col min="11" max="11" width="12.75" customWidth="1"/>
  </cols>
  <sheetData>
    <row r="1" spans="1:11" x14ac:dyDescent="0.25">
      <c r="A1" s="1" t="s">
        <v>244</v>
      </c>
      <c r="B1" s="23" t="s">
        <v>291</v>
      </c>
      <c r="C1" s="24" t="s">
        <v>280</v>
      </c>
      <c r="D1" s="24" t="s">
        <v>238</v>
      </c>
      <c r="E1" s="24" t="s">
        <v>278</v>
      </c>
      <c r="F1" s="22" t="s">
        <v>287</v>
      </c>
      <c r="G1" s="1" t="s">
        <v>286</v>
      </c>
      <c r="H1" s="1" t="s">
        <v>289</v>
      </c>
      <c r="I1" s="1" t="s">
        <v>288</v>
      </c>
      <c r="J1" s="1" t="s">
        <v>292</v>
      </c>
      <c r="K1" s="1" t="s">
        <v>279</v>
      </c>
    </row>
    <row r="2" spans="1:11" x14ac:dyDescent="0.25">
      <c r="A2" t="s">
        <v>112</v>
      </c>
      <c r="B2" t="s">
        <v>172</v>
      </c>
      <c r="C2" t="s">
        <v>275</v>
      </c>
      <c r="D2" t="s">
        <v>281</v>
      </c>
      <c r="E2">
        <v>15.8053130403973</v>
      </c>
      <c r="F2">
        <v>1.0401992655872601</v>
      </c>
      <c r="G2">
        <v>16.440675016998</v>
      </c>
      <c r="H2">
        <v>1.6440675016997999E-2</v>
      </c>
      <c r="I2">
        <v>854.915100883896</v>
      </c>
      <c r="J2">
        <v>0.854915100883896</v>
      </c>
      <c r="K2">
        <v>52</v>
      </c>
    </row>
    <row r="3" spans="1:11" x14ac:dyDescent="0.25">
      <c r="A3" t="s">
        <v>112</v>
      </c>
      <c r="B3" t="s">
        <v>219</v>
      </c>
      <c r="C3" t="s">
        <v>275</v>
      </c>
      <c r="D3" t="s">
        <v>192</v>
      </c>
      <c r="E3">
        <v>15.7293259584723</v>
      </c>
      <c r="F3">
        <v>0.33851769600000003</v>
      </c>
      <c r="G3">
        <v>5.324655183095035</v>
      </c>
      <c r="H3">
        <v>5.324655183095035E-3</v>
      </c>
      <c r="I3">
        <v>276.8820695209418</v>
      </c>
      <c r="J3">
        <v>0.2768820695209418</v>
      </c>
      <c r="K3">
        <v>52</v>
      </c>
    </row>
    <row r="4" spans="1:11" x14ac:dyDescent="0.25">
      <c r="A4" t="s">
        <v>112</v>
      </c>
      <c r="B4" t="s">
        <v>196</v>
      </c>
      <c r="C4" t="s">
        <v>275</v>
      </c>
      <c r="D4" t="s">
        <v>197</v>
      </c>
      <c r="E4">
        <v>3232.37648446605</v>
      </c>
      <c r="F4">
        <v>0.1218697128000176</v>
      </c>
      <c r="G4">
        <v>393.92879382340806</v>
      </c>
      <c r="H4">
        <v>0.39392879382340806</v>
      </c>
      <c r="I4">
        <v>20484.297278817219</v>
      </c>
      <c r="J4">
        <v>20.48429727881722</v>
      </c>
      <c r="K4">
        <v>52</v>
      </c>
    </row>
    <row r="5" spans="1:11" x14ac:dyDescent="0.25">
      <c r="A5" t="s">
        <v>112</v>
      </c>
      <c r="B5" t="s">
        <v>173</v>
      </c>
      <c r="C5" t="s">
        <v>275</v>
      </c>
      <c r="D5" t="s">
        <v>285</v>
      </c>
      <c r="E5">
        <v>124.46684019312799</v>
      </c>
      <c r="F5">
        <v>0.75942557195628591</v>
      </c>
      <c r="G5">
        <v>94.523301303257867</v>
      </c>
      <c r="H5">
        <v>9.4523301303257867E-2</v>
      </c>
      <c r="I5">
        <v>4915.2116677694094</v>
      </c>
      <c r="J5">
        <v>4.9152116677694098</v>
      </c>
      <c r="K5">
        <v>52</v>
      </c>
    </row>
    <row r="6" spans="1:11" x14ac:dyDescent="0.25">
      <c r="A6" t="s">
        <v>112</v>
      </c>
      <c r="B6" t="s">
        <v>170</v>
      </c>
      <c r="C6" t="s">
        <v>275</v>
      </c>
      <c r="D6" t="s">
        <v>283</v>
      </c>
      <c r="E6">
        <v>5.9269923901489703</v>
      </c>
      <c r="F6">
        <v>0.86918205210384658</v>
      </c>
      <c r="G6">
        <v>5.151635408473564</v>
      </c>
      <c r="H6">
        <v>5.1516354084735639E-3</v>
      </c>
      <c r="I6">
        <v>267.88504124062536</v>
      </c>
      <c r="J6">
        <v>0.26788504124062534</v>
      </c>
      <c r="K6">
        <v>52</v>
      </c>
    </row>
    <row r="7" spans="1:11" x14ac:dyDescent="0.25">
      <c r="A7" t="s">
        <v>112</v>
      </c>
      <c r="B7" t="s">
        <v>167</v>
      </c>
      <c r="C7" t="s">
        <v>275</v>
      </c>
      <c r="D7" t="s">
        <v>284</v>
      </c>
      <c r="E7">
        <v>45.440274991142097</v>
      </c>
      <c r="F7">
        <v>1.1749233916458746</v>
      </c>
      <c r="G7">
        <v>53.388842009913887</v>
      </c>
      <c r="H7">
        <v>5.3388842009913888E-2</v>
      </c>
      <c r="I7">
        <v>2776.219784515522</v>
      </c>
      <c r="J7">
        <v>2.7762197845155221</v>
      </c>
      <c r="K7">
        <v>52</v>
      </c>
    </row>
    <row r="8" spans="1:11" x14ac:dyDescent="0.25">
      <c r="A8" t="s">
        <v>112</v>
      </c>
      <c r="B8" t="s">
        <v>166</v>
      </c>
      <c r="C8" t="s">
        <v>275</v>
      </c>
      <c r="D8" t="s">
        <v>285</v>
      </c>
      <c r="E8">
        <v>160.02879453402201</v>
      </c>
      <c r="F8">
        <v>2.6202956912505599</v>
      </c>
      <c r="G8">
        <v>419.32276079351902</v>
      </c>
      <c r="H8">
        <v>0.41932276079351904</v>
      </c>
      <c r="I8">
        <v>21804.78356126299</v>
      </c>
      <c r="J8">
        <v>21.80478356126299</v>
      </c>
      <c r="K8">
        <v>52</v>
      </c>
    </row>
    <row r="9" spans="1:11" x14ac:dyDescent="0.25">
      <c r="A9" t="s">
        <v>112</v>
      </c>
      <c r="B9" t="s">
        <v>198</v>
      </c>
      <c r="C9" t="s">
        <v>275</v>
      </c>
      <c r="D9" t="s">
        <v>290</v>
      </c>
      <c r="E9">
        <v>1911.11310395438</v>
      </c>
      <c r="F9">
        <v>9.2437846837787024E-2</v>
      </c>
      <c r="G9">
        <v>176.65918039302272</v>
      </c>
      <c r="H9">
        <v>0.17665918039302272</v>
      </c>
      <c r="I9">
        <v>9186.2773804371809</v>
      </c>
      <c r="J9">
        <v>9.1862773804371809</v>
      </c>
      <c r="K9">
        <v>52</v>
      </c>
    </row>
    <row r="10" spans="1:11" x14ac:dyDescent="0.25">
      <c r="A10" t="s">
        <v>112</v>
      </c>
      <c r="B10" t="s">
        <v>201</v>
      </c>
      <c r="C10" t="s">
        <v>275</v>
      </c>
      <c r="D10" t="s">
        <v>192</v>
      </c>
      <c r="E10">
        <v>23.593988937708399</v>
      </c>
      <c r="F10">
        <v>5.417155485000001E-3</v>
      </c>
      <c r="G10">
        <v>0.1278123065869364</v>
      </c>
      <c r="H10">
        <v>1.2781230658693641E-4</v>
      </c>
      <c r="I10">
        <v>6.6462399425206931</v>
      </c>
      <c r="J10">
        <v>6.6462399425206934E-3</v>
      </c>
      <c r="K10">
        <v>52</v>
      </c>
    </row>
    <row r="11" spans="1:11" x14ac:dyDescent="0.25">
      <c r="A11" t="s">
        <v>112</v>
      </c>
      <c r="B11" t="s">
        <v>202</v>
      </c>
      <c r="C11" t="s">
        <v>275</v>
      </c>
      <c r="D11" t="s">
        <v>192</v>
      </c>
      <c r="E11">
        <v>31.4586519169445</v>
      </c>
      <c r="F11">
        <v>2.7442484999999996E-3</v>
      </c>
      <c r="G11">
        <v>8.6330358335097057E-2</v>
      </c>
      <c r="H11">
        <v>8.6330358335097064E-5</v>
      </c>
      <c r="I11">
        <v>4.4891786334250465</v>
      </c>
      <c r="J11">
        <v>4.4891786334250467E-3</v>
      </c>
      <c r="K11">
        <v>52</v>
      </c>
    </row>
    <row r="12" spans="1:11" x14ac:dyDescent="0.25">
      <c r="A12" t="s">
        <v>112</v>
      </c>
      <c r="B12" t="s">
        <v>204</v>
      </c>
      <c r="C12" t="s">
        <v>275</v>
      </c>
      <c r="D12" t="s">
        <v>192</v>
      </c>
      <c r="E12">
        <v>7.8646629792361296</v>
      </c>
      <c r="F12">
        <v>3.721734E-3</v>
      </c>
      <c r="G12">
        <v>2.9270183608364399E-2</v>
      </c>
      <c r="H12">
        <v>2.9270183608364399E-5</v>
      </c>
      <c r="I12">
        <v>1.5220495476349487</v>
      </c>
      <c r="J12">
        <v>1.5220495476349486E-3</v>
      </c>
      <c r="K12">
        <v>52</v>
      </c>
    </row>
    <row r="13" spans="1:11" x14ac:dyDescent="0.25">
      <c r="A13" t="s">
        <v>112</v>
      </c>
      <c r="B13" t="s">
        <v>216</v>
      </c>
      <c r="C13" t="s">
        <v>275</v>
      </c>
      <c r="D13" t="s">
        <v>192</v>
      </c>
      <c r="E13">
        <v>7.8646629792361296</v>
      </c>
      <c r="F13">
        <v>7.0423237499999999E-2</v>
      </c>
      <c r="G13">
        <v>0.55385502884420357</v>
      </c>
      <c r="H13">
        <v>5.5385502884420352E-4</v>
      </c>
      <c r="I13">
        <v>28.800461499898585</v>
      </c>
      <c r="J13">
        <v>2.8800461499898584E-2</v>
      </c>
      <c r="K13">
        <v>52</v>
      </c>
    </row>
    <row r="14" spans="1:11" x14ac:dyDescent="0.25">
      <c r="A14" t="s">
        <v>112</v>
      </c>
      <c r="B14" t="s">
        <v>162</v>
      </c>
      <c r="C14" t="s">
        <v>275</v>
      </c>
      <c r="D14" t="s">
        <v>284</v>
      </c>
      <c r="E14">
        <v>1.97566413004966</v>
      </c>
      <c r="F14">
        <v>3.9847458948394499</v>
      </c>
      <c r="G14">
        <v>7.8725195317969359</v>
      </c>
      <c r="H14">
        <v>7.872519531796936E-3</v>
      </c>
      <c r="I14">
        <v>409.37101565344068</v>
      </c>
      <c r="J14">
        <v>0.4093710156534407</v>
      </c>
      <c r="K14">
        <v>52</v>
      </c>
    </row>
    <row r="15" spans="1:11" x14ac:dyDescent="0.25">
      <c r="A15" t="s">
        <v>112</v>
      </c>
      <c r="B15" t="s">
        <v>161</v>
      </c>
      <c r="C15" t="s">
        <v>275</v>
      </c>
      <c r="D15" t="s">
        <v>284</v>
      </c>
      <c r="E15">
        <v>25.6836336906455</v>
      </c>
      <c r="F15">
        <v>4.6191344709683042</v>
      </c>
      <c r="G15">
        <v>118.63615772018352</v>
      </c>
      <c r="H15">
        <v>0.11863615772018352</v>
      </c>
      <c r="I15">
        <v>6169.080201449543</v>
      </c>
      <c r="J15">
        <v>6.1690802014495434</v>
      </c>
      <c r="K15">
        <v>52</v>
      </c>
    </row>
    <row r="16" spans="1:11" x14ac:dyDescent="0.25">
      <c r="A16" t="s">
        <v>112</v>
      </c>
      <c r="B16" t="s">
        <v>181</v>
      </c>
      <c r="C16" t="s">
        <v>275</v>
      </c>
      <c r="D16" t="s">
        <v>284</v>
      </c>
      <c r="E16">
        <v>7.9026565201986303</v>
      </c>
      <c r="F16">
        <v>8.6458400397018345</v>
      </c>
      <c r="G16">
        <v>68.32510416234409</v>
      </c>
      <c r="H16">
        <v>6.8325104162344094E-2</v>
      </c>
      <c r="I16">
        <v>3552.9054164418926</v>
      </c>
      <c r="J16">
        <v>3.5529054164418925</v>
      </c>
      <c r="K16">
        <v>52</v>
      </c>
    </row>
    <row r="17" spans="1:11" x14ac:dyDescent="0.25">
      <c r="A17" t="s">
        <v>112</v>
      </c>
      <c r="B17" t="s">
        <v>220</v>
      </c>
      <c r="C17" t="s">
        <v>275</v>
      </c>
      <c r="D17" t="s">
        <v>192</v>
      </c>
      <c r="E17">
        <v>15.7293259584723</v>
      </c>
      <c r="F17">
        <v>3.3113603249999998E-2</v>
      </c>
      <c r="G17">
        <v>0.52085465917877771</v>
      </c>
      <c r="H17">
        <v>5.2085465917877771E-4</v>
      </c>
      <c r="I17">
        <v>27.084442277296439</v>
      </c>
      <c r="J17">
        <v>2.708444227729644E-2</v>
      </c>
      <c r="K17">
        <v>52</v>
      </c>
    </row>
    <row r="18" spans="1:11" x14ac:dyDescent="0.25">
      <c r="A18" t="s">
        <v>112</v>
      </c>
      <c r="B18" t="s">
        <v>221</v>
      </c>
      <c r="C18" t="s">
        <v>275</v>
      </c>
      <c r="D18" t="s">
        <v>192</v>
      </c>
      <c r="E18">
        <v>322.45118214868199</v>
      </c>
      <c r="F18">
        <v>3.9615934574999997E-2</v>
      </c>
      <c r="G18">
        <v>12.774204935633593</v>
      </c>
      <c r="H18">
        <v>1.2774204935633592E-2</v>
      </c>
      <c r="I18">
        <v>664.2586566529468</v>
      </c>
      <c r="J18">
        <v>0.66425865665294681</v>
      </c>
      <c r="K18">
        <v>52</v>
      </c>
    </row>
    <row r="19" spans="1:11" x14ac:dyDescent="0.25">
      <c r="A19" t="s">
        <v>112</v>
      </c>
      <c r="B19" t="s">
        <v>222</v>
      </c>
      <c r="C19" t="s">
        <v>275</v>
      </c>
      <c r="D19" t="s">
        <v>192</v>
      </c>
      <c r="E19">
        <v>7.8646629792361296</v>
      </c>
      <c r="F19">
        <v>6.1516000000000001E-2</v>
      </c>
      <c r="G19">
        <v>0.48380260783068973</v>
      </c>
      <c r="H19">
        <v>4.8380260783068973E-4</v>
      </c>
      <c r="I19">
        <v>25.157735607195868</v>
      </c>
      <c r="J19">
        <v>2.5157735607195867E-2</v>
      </c>
      <c r="K19">
        <v>52</v>
      </c>
    </row>
    <row r="20" spans="1:11" x14ac:dyDescent="0.25">
      <c r="A20" t="s">
        <v>112</v>
      </c>
      <c r="B20" t="s">
        <v>223</v>
      </c>
      <c r="C20" t="s">
        <v>275</v>
      </c>
      <c r="D20" t="s">
        <v>192</v>
      </c>
      <c r="E20">
        <v>78.646629792361395</v>
      </c>
      <c r="F20">
        <v>6.1207515599999998E-2</v>
      </c>
      <c r="G20">
        <v>4.8137648199033851</v>
      </c>
      <c r="H20">
        <v>4.8137648199033855E-3</v>
      </c>
      <c r="I20">
        <v>250.31577063497602</v>
      </c>
      <c r="J20">
        <v>0.25031577063497601</v>
      </c>
      <c r="K20">
        <v>52</v>
      </c>
    </row>
    <row r="21" spans="1:11" x14ac:dyDescent="0.25">
      <c r="A21" t="s">
        <v>112</v>
      </c>
      <c r="B21" t="s">
        <v>153</v>
      </c>
      <c r="C21" t="s">
        <v>275</v>
      </c>
      <c r="D21" t="s">
        <v>284</v>
      </c>
      <c r="E21">
        <v>15.8053130403973</v>
      </c>
      <c r="F21">
        <v>8.0480916655063837</v>
      </c>
      <c r="G21">
        <v>127.20260815114086</v>
      </c>
      <c r="H21">
        <v>0.12720260815114087</v>
      </c>
      <c r="I21">
        <v>6614.5356238593249</v>
      </c>
      <c r="J21">
        <v>6.6145356238593251</v>
      </c>
      <c r="K21">
        <v>52</v>
      </c>
    </row>
    <row r="22" spans="1:11" x14ac:dyDescent="0.25">
      <c r="A22" t="s">
        <v>112</v>
      </c>
      <c r="B22" t="s">
        <v>210</v>
      </c>
      <c r="C22" t="s">
        <v>275</v>
      </c>
      <c r="D22" t="s">
        <v>192</v>
      </c>
      <c r="E22">
        <v>904.43624261215598</v>
      </c>
      <c r="F22">
        <v>6.7831393500000003E-2</v>
      </c>
      <c r="G22">
        <v>61.349170668286625</v>
      </c>
      <c r="H22">
        <v>6.1349170668286622E-2</v>
      </c>
      <c r="I22">
        <v>3190.1568747509045</v>
      </c>
      <c r="J22">
        <v>3.1901568747509046</v>
      </c>
      <c r="K22">
        <v>52</v>
      </c>
    </row>
    <row r="23" spans="1:11" x14ac:dyDescent="0.25">
      <c r="A23" t="s">
        <v>112</v>
      </c>
      <c r="B23" t="s">
        <v>182</v>
      </c>
      <c r="C23" t="s">
        <v>275</v>
      </c>
      <c r="D23" t="s">
        <v>285</v>
      </c>
      <c r="E23">
        <v>7.9026565201986303</v>
      </c>
      <c r="F23">
        <v>0.44593885318626419</v>
      </c>
      <c r="G23">
        <v>3.5241015857423306</v>
      </c>
      <c r="H23">
        <v>3.5241015857423305E-3</v>
      </c>
      <c r="I23">
        <v>183.25328245860118</v>
      </c>
      <c r="J23">
        <v>0.18325328245860117</v>
      </c>
      <c r="K23">
        <v>52</v>
      </c>
    </row>
    <row r="24" spans="1:11" x14ac:dyDescent="0.25">
      <c r="A24" t="s">
        <v>115</v>
      </c>
      <c r="B24" t="s">
        <v>172</v>
      </c>
      <c r="C24" t="s">
        <v>263</v>
      </c>
      <c r="D24" t="s">
        <v>281</v>
      </c>
      <c r="E24">
        <v>2.66456588221864</v>
      </c>
      <c r="F24">
        <v>0.62330704450808005</v>
      </c>
      <c r="G24">
        <v>1.6608426849427653</v>
      </c>
      <c r="H24">
        <v>1.6608426849427653E-3</v>
      </c>
      <c r="I24">
        <v>83.042134247138264</v>
      </c>
      <c r="J24">
        <v>8.3042134247138258E-2</v>
      </c>
      <c r="K24">
        <v>50</v>
      </c>
    </row>
    <row r="25" spans="1:11" x14ac:dyDescent="0.25">
      <c r="A25" t="s">
        <v>115</v>
      </c>
      <c r="B25" t="s">
        <v>196</v>
      </c>
      <c r="C25" t="s">
        <v>263</v>
      </c>
      <c r="D25" t="s">
        <v>197</v>
      </c>
      <c r="E25">
        <v>222.97764017550301</v>
      </c>
      <c r="F25">
        <v>8.591539844120509E-2</v>
      </c>
      <c r="G25">
        <v>19.157212799158</v>
      </c>
      <c r="H25">
        <v>1.9157212799158E-2</v>
      </c>
      <c r="I25">
        <v>957.86063995789993</v>
      </c>
      <c r="J25">
        <v>0.95786063995789994</v>
      </c>
      <c r="K25">
        <v>50</v>
      </c>
    </row>
    <row r="26" spans="1:11" x14ac:dyDescent="0.25">
      <c r="A26" t="s">
        <v>115</v>
      </c>
      <c r="B26" t="s">
        <v>173</v>
      </c>
      <c r="C26" t="s">
        <v>263</v>
      </c>
      <c r="D26" t="s">
        <v>285</v>
      </c>
      <c r="E26">
        <v>63.949581173247402</v>
      </c>
      <c r="F26">
        <v>1.9397253501171066</v>
      </c>
      <c r="G26">
        <v>124.04462373111964</v>
      </c>
      <c r="H26">
        <v>0.12404462373111964</v>
      </c>
      <c r="I26">
        <v>6202.2311865559823</v>
      </c>
      <c r="J26">
        <v>6.2022311865559825</v>
      </c>
      <c r="K26">
        <v>50</v>
      </c>
    </row>
    <row r="27" spans="1:11" x14ac:dyDescent="0.25">
      <c r="A27" t="s">
        <v>115</v>
      </c>
      <c r="B27" t="s">
        <v>170</v>
      </c>
      <c r="C27" t="s">
        <v>263</v>
      </c>
      <c r="D27" t="s">
        <v>283</v>
      </c>
      <c r="E27">
        <v>2.66456588221864</v>
      </c>
      <c r="F27">
        <v>0.98172905917248998</v>
      </c>
      <c r="G27">
        <v>2.615881756653621</v>
      </c>
      <c r="H27">
        <v>2.6158817566536209E-3</v>
      </c>
      <c r="I27">
        <v>130.79408783268104</v>
      </c>
      <c r="J27">
        <v>0.13079408783268104</v>
      </c>
      <c r="K27">
        <v>50</v>
      </c>
    </row>
    <row r="28" spans="1:11" x14ac:dyDescent="0.25">
      <c r="A28" t="s">
        <v>115</v>
      </c>
      <c r="B28" t="s">
        <v>166</v>
      </c>
      <c r="C28" t="s">
        <v>263</v>
      </c>
      <c r="D28" t="s">
        <v>285</v>
      </c>
      <c r="E28">
        <v>231.81723175302201</v>
      </c>
      <c r="F28">
        <v>2.8996898283168635</v>
      </c>
      <c r="G28">
        <v>672.19806894281101</v>
      </c>
      <c r="H28">
        <v>0.67219806894281098</v>
      </c>
      <c r="I28">
        <v>33609.903447140547</v>
      </c>
      <c r="J28">
        <v>33.609903447140546</v>
      </c>
      <c r="K28">
        <v>50</v>
      </c>
    </row>
    <row r="29" spans="1:11" x14ac:dyDescent="0.25">
      <c r="A29" t="s">
        <v>115</v>
      </c>
      <c r="B29" t="s">
        <v>198</v>
      </c>
      <c r="C29" t="s">
        <v>263</v>
      </c>
      <c r="D29" t="s">
        <v>290</v>
      </c>
      <c r="E29">
        <v>0.67671514469044902</v>
      </c>
      <c r="F29">
        <v>0.14562947866379286</v>
      </c>
      <c r="G29">
        <v>9.8549673725163239E-2</v>
      </c>
      <c r="H29">
        <v>9.8549673725163245E-5</v>
      </c>
      <c r="I29">
        <v>4.9274836862581619</v>
      </c>
      <c r="J29">
        <v>4.9274836862581621E-3</v>
      </c>
      <c r="K29">
        <v>50</v>
      </c>
    </row>
    <row r="30" spans="1:11" x14ac:dyDescent="0.25">
      <c r="A30" t="s">
        <v>115</v>
      </c>
      <c r="B30" t="s">
        <v>177</v>
      </c>
      <c r="C30" t="s">
        <v>263</v>
      </c>
      <c r="D30" t="s">
        <v>285</v>
      </c>
      <c r="E30">
        <v>2.66456588221864</v>
      </c>
      <c r="F30">
        <v>0.230259002383148</v>
      </c>
      <c r="G30">
        <v>0.61354028182383669</v>
      </c>
      <c r="H30">
        <v>6.1354028182383671E-4</v>
      </c>
      <c r="I30">
        <v>30.677014091191836</v>
      </c>
      <c r="J30">
        <v>3.0677014091191838E-2</v>
      </c>
      <c r="K30">
        <v>50</v>
      </c>
    </row>
    <row r="31" spans="1:11" x14ac:dyDescent="0.25">
      <c r="A31" t="s">
        <v>115</v>
      </c>
      <c r="B31" t="s">
        <v>184</v>
      </c>
      <c r="C31" t="s">
        <v>263</v>
      </c>
      <c r="D31" t="s">
        <v>285</v>
      </c>
      <c r="E31">
        <v>2.66456588221864</v>
      </c>
      <c r="F31">
        <v>1.06720303710644</v>
      </c>
      <c r="G31">
        <v>2.8436328020739334</v>
      </c>
      <c r="H31">
        <v>2.8436328020739333E-3</v>
      </c>
      <c r="I31">
        <v>142.18164010369668</v>
      </c>
      <c r="J31">
        <v>0.14218164010369669</v>
      </c>
      <c r="K31">
        <v>50</v>
      </c>
    </row>
    <row r="32" spans="1:11" x14ac:dyDescent="0.25">
      <c r="A32" t="s">
        <v>115</v>
      </c>
      <c r="B32" t="s">
        <v>201</v>
      </c>
      <c r="C32" t="s">
        <v>263</v>
      </c>
      <c r="D32" t="s">
        <v>192</v>
      </c>
      <c r="E32">
        <v>0.50753635851783596</v>
      </c>
      <c r="F32">
        <v>7.4355246E-3</v>
      </c>
      <c r="G32">
        <v>3.773799079153789E-3</v>
      </c>
      <c r="H32">
        <v>3.7737990791537889E-6</v>
      </c>
      <c r="I32">
        <v>0.18868995395768945</v>
      </c>
      <c r="J32">
        <v>1.8868995395768945E-4</v>
      </c>
      <c r="K32">
        <v>50</v>
      </c>
    </row>
    <row r="33" spans="1:11" x14ac:dyDescent="0.25">
      <c r="A33" t="s">
        <v>115</v>
      </c>
      <c r="B33" t="s">
        <v>202</v>
      </c>
      <c r="C33" t="s">
        <v>263</v>
      </c>
      <c r="D33" t="s">
        <v>192</v>
      </c>
      <c r="E33">
        <v>0.50753635851783596</v>
      </c>
      <c r="F33">
        <v>3.5230006666666664E-3</v>
      </c>
      <c r="G33">
        <v>1.7880509294159084E-3</v>
      </c>
      <c r="H33">
        <v>1.7880509294159085E-6</v>
      </c>
      <c r="I33">
        <v>8.9402546470795416E-2</v>
      </c>
      <c r="J33">
        <v>8.9402546470795423E-5</v>
      </c>
      <c r="K33">
        <v>50</v>
      </c>
    </row>
    <row r="34" spans="1:11" x14ac:dyDescent="0.25">
      <c r="A34" t="s">
        <v>115</v>
      </c>
      <c r="B34" t="s">
        <v>204</v>
      </c>
      <c r="C34" t="s">
        <v>263</v>
      </c>
      <c r="D34" t="s">
        <v>192</v>
      </c>
      <c r="E34">
        <v>0.50753635851783596</v>
      </c>
      <c r="F34">
        <v>4.6189439999999998E-3</v>
      </c>
      <c r="G34">
        <v>2.3442820179578072E-3</v>
      </c>
      <c r="H34">
        <v>2.3442820179578071E-6</v>
      </c>
      <c r="I34">
        <v>0.11721410089789036</v>
      </c>
      <c r="J34">
        <v>1.1721410089789036E-4</v>
      </c>
      <c r="K34">
        <v>50</v>
      </c>
    </row>
    <row r="35" spans="1:11" x14ac:dyDescent="0.25">
      <c r="A35" t="s">
        <v>115</v>
      </c>
      <c r="B35" t="s">
        <v>205</v>
      </c>
      <c r="C35" t="s">
        <v>263</v>
      </c>
      <c r="D35" t="s">
        <v>192</v>
      </c>
      <c r="E35">
        <v>0.16917878617261201</v>
      </c>
      <c r="F35">
        <v>4.7052739999999997E-3</v>
      </c>
      <c r="G35">
        <v>7.9603254392955072E-4</v>
      </c>
      <c r="H35">
        <v>7.9603254392955077E-7</v>
      </c>
      <c r="I35">
        <v>3.9801627196477535E-2</v>
      </c>
      <c r="J35">
        <v>3.9801627196477535E-5</v>
      </c>
      <c r="K35">
        <v>50</v>
      </c>
    </row>
    <row r="36" spans="1:11" x14ac:dyDescent="0.25">
      <c r="A36" t="s">
        <v>115</v>
      </c>
      <c r="B36" t="s">
        <v>232</v>
      </c>
      <c r="C36" t="s">
        <v>263</v>
      </c>
      <c r="D36" t="s">
        <v>192</v>
      </c>
      <c r="E36">
        <v>0.16917878617261201</v>
      </c>
      <c r="F36">
        <v>4.9588515899999998E-2</v>
      </c>
      <c r="G36">
        <v>8.3893249280632704E-3</v>
      </c>
      <c r="H36">
        <v>8.3893249280632701E-6</v>
      </c>
      <c r="I36">
        <v>0.41946624640316355</v>
      </c>
      <c r="J36">
        <v>4.1946624640316356E-4</v>
      </c>
      <c r="K36">
        <v>50</v>
      </c>
    </row>
    <row r="37" spans="1:11" x14ac:dyDescent="0.25">
      <c r="A37" t="s">
        <v>115</v>
      </c>
      <c r="B37" t="s">
        <v>226</v>
      </c>
      <c r="C37" t="s">
        <v>263</v>
      </c>
      <c r="D37" t="s">
        <v>192</v>
      </c>
      <c r="E37">
        <v>1.0150727170356699</v>
      </c>
      <c r="F37">
        <v>4.2511486666666669E-3</v>
      </c>
      <c r="G37">
        <v>4.3152250275958993E-3</v>
      </c>
      <c r="H37">
        <v>4.3152250275958996E-6</v>
      </c>
      <c r="I37">
        <v>0.21576125137979496</v>
      </c>
      <c r="J37">
        <v>2.1576125137979496E-4</v>
      </c>
      <c r="K37">
        <v>50</v>
      </c>
    </row>
    <row r="38" spans="1:11" x14ac:dyDescent="0.25">
      <c r="A38" t="s">
        <v>115</v>
      </c>
      <c r="B38" t="s">
        <v>161</v>
      </c>
      <c r="C38" t="s">
        <v>263</v>
      </c>
      <c r="D38" t="s">
        <v>284</v>
      </c>
      <c r="E38">
        <v>5.32913176443728</v>
      </c>
      <c r="F38">
        <v>4.3962824996329299</v>
      </c>
      <c r="G38">
        <v>23.428368714233571</v>
      </c>
      <c r="H38">
        <v>2.342836871423357E-2</v>
      </c>
      <c r="I38">
        <v>1171.4184357116785</v>
      </c>
      <c r="J38">
        <v>1.1714184357116786</v>
      </c>
      <c r="K38">
        <v>50</v>
      </c>
    </row>
    <row r="39" spans="1:11" x14ac:dyDescent="0.25">
      <c r="A39" t="s">
        <v>115</v>
      </c>
      <c r="B39" t="s">
        <v>181</v>
      </c>
      <c r="C39" t="s">
        <v>263</v>
      </c>
      <c r="D39" t="s">
        <v>284</v>
      </c>
      <c r="E39">
        <v>175.86134822643001</v>
      </c>
      <c r="F39">
        <v>11.415598297920871</v>
      </c>
      <c r="G39">
        <v>2007.5625074837039</v>
      </c>
      <c r="H39">
        <v>2.007562507483704</v>
      </c>
      <c r="I39">
        <v>100378.1253741852</v>
      </c>
      <c r="J39">
        <v>100.3781253741852</v>
      </c>
      <c r="K39">
        <v>50</v>
      </c>
    </row>
    <row r="40" spans="1:11" x14ac:dyDescent="0.25">
      <c r="A40" t="s">
        <v>115</v>
      </c>
      <c r="B40" t="s">
        <v>186</v>
      </c>
      <c r="C40" t="s">
        <v>263</v>
      </c>
      <c r="D40" t="s">
        <v>284</v>
      </c>
      <c r="E40">
        <v>37.303922351060997</v>
      </c>
      <c r="F40">
        <v>46.33836592714654</v>
      </c>
      <c r="G40">
        <v>1728.6028044213251</v>
      </c>
      <c r="H40">
        <v>1.7286028044213251</v>
      </c>
      <c r="I40">
        <v>86430.140221066249</v>
      </c>
      <c r="J40">
        <v>86.430140221066253</v>
      </c>
      <c r="K40">
        <v>50</v>
      </c>
    </row>
    <row r="41" spans="1:11" x14ac:dyDescent="0.25">
      <c r="A41" t="s">
        <v>115</v>
      </c>
      <c r="B41" t="s">
        <v>227</v>
      </c>
      <c r="C41" t="s">
        <v>263</v>
      </c>
      <c r="D41" t="s">
        <v>192</v>
      </c>
      <c r="E41">
        <v>0.16917878617261201</v>
      </c>
      <c r="F41">
        <v>4.4272679500000002E-2</v>
      </c>
      <c r="G41">
        <v>7.4899981784190836E-3</v>
      </c>
      <c r="H41">
        <v>7.4899981784190833E-6</v>
      </c>
      <c r="I41">
        <v>0.37449990892095419</v>
      </c>
      <c r="J41">
        <v>3.7449990892095421E-4</v>
      </c>
      <c r="K41">
        <v>50</v>
      </c>
    </row>
    <row r="42" spans="1:11" x14ac:dyDescent="0.25">
      <c r="A42" t="s">
        <v>115</v>
      </c>
      <c r="B42" t="s">
        <v>221</v>
      </c>
      <c r="C42" t="s">
        <v>263</v>
      </c>
      <c r="D42" t="s">
        <v>192</v>
      </c>
      <c r="E42">
        <v>0.16917878617261201</v>
      </c>
      <c r="F42">
        <v>5.1471437500000002E-2</v>
      </c>
      <c r="G42">
        <v>8.7078753188094635E-3</v>
      </c>
      <c r="H42">
        <v>8.7078753188094642E-6</v>
      </c>
      <c r="I42">
        <v>0.43539376594047319</v>
      </c>
      <c r="J42">
        <v>4.3539376594047317E-4</v>
      </c>
      <c r="K42">
        <v>50</v>
      </c>
    </row>
    <row r="43" spans="1:11" x14ac:dyDescent="0.25">
      <c r="A43" t="s">
        <v>115</v>
      </c>
      <c r="B43" t="s">
        <v>223</v>
      </c>
      <c r="C43" t="s">
        <v>263</v>
      </c>
      <c r="D43" t="s">
        <v>192</v>
      </c>
      <c r="E43">
        <v>1.0150727170356699</v>
      </c>
      <c r="F43">
        <v>6.654426753333334E-2</v>
      </c>
      <c r="G43">
        <v>6.7547270448209185E-2</v>
      </c>
      <c r="H43">
        <v>6.7547270448209179E-5</v>
      </c>
      <c r="I43">
        <v>3.3773635224104592</v>
      </c>
      <c r="J43">
        <v>3.3773635224104591E-3</v>
      </c>
      <c r="K43">
        <v>50</v>
      </c>
    </row>
    <row r="44" spans="1:11" x14ac:dyDescent="0.25">
      <c r="A44" t="s">
        <v>115</v>
      </c>
      <c r="B44" t="s">
        <v>210</v>
      </c>
      <c r="C44" t="s">
        <v>263</v>
      </c>
      <c r="D44" t="s">
        <v>192</v>
      </c>
      <c r="E44">
        <v>4.7370060128331399</v>
      </c>
      <c r="F44">
        <v>4.3247783500000005E-2</v>
      </c>
      <c r="G44">
        <v>0.20486501048120587</v>
      </c>
      <c r="H44">
        <v>2.0486501048120587E-4</v>
      </c>
      <c r="I44">
        <v>10.243250524060294</v>
      </c>
      <c r="J44">
        <v>1.0243250524060294E-2</v>
      </c>
      <c r="K44">
        <v>50</v>
      </c>
    </row>
    <row r="45" spans="1:11" x14ac:dyDescent="0.25">
      <c r="A45" t="s">
        <v>117</v>
      </c>
      <c r="B45" t="s">
        <v>172</v>
      </c>
      <c r="C45" t="s">
        <v>264</v>
      </c>
      <c r="D45" t="s">
        <v>281</v>
      </c>
      <c r="E45">
        <v>13.121671708022101</v>
      </c>
      <c r="F45">
        <v>0.67243286437225103</v>
      </c>
      <c r="G45">
        <v>8.8234432919776289</v>
      </c>
      <c r="H45">
        <v>8.8234432919776281E-3</v>
      </c>
      <c r="I45">
        <v>308.82051521921699</v>
      </c>
      <c r="J45">
        <v>0.308820515219217</v>
      </c>
      <c r="K45">
        <v>35</v>
      </c>
    </row>
    <row r="46" spans="1:11" x14ac:dyDescent="0.25">
      <c r="A46" t="s">
        <v>117</v>
      </c>
      <c r="B46" t="s">
        <v>224</v>
      </c>
      <c r="C46" t="s">
        <v>264</v>
      </c>
      <c r="D46" t="s">
        <v>192</v>
      </c>
      <c r="E46">
        <v>0.43738905693406999</v>
      </c>
      <c r="F46">
        <v>7.6550801249999995E-2</v>
      </c>
      <c r="G46">
        <v>3.3482482766284925E-2</v>
      </c>
      <c r="H46">
        <v>3.3482482766284924E-5</v>
      </c>
      <c r="I46">
        <v>1.1718868968199725</v>
      </c>
      <c r="J46">
        <v>1.1718868968199725E-3</v>
      </c>
      <c r="K46">
        <v>35</v>
      </c>
    </row>
    <row r="47" spans="1:11" x14ac:dyDescent="0.25">
      <c r="A47" t="s">
        <v>117</v>
      </c>
      <c r="B47" t="s">
        <v>196</v>
      </c>
      <c r="C47" t="s">
        <v>264</v>
      </c>
      <c r="D47" t="s">
        <v>197</v>
      </c>
      <c r="E47">
        <v>131.87280066562201</v>
      </c>
      <c r="F47">
        <v>9.2844025983861336E-2</v>
      </c>
      <c r="G47">
        <v>12.243601731563576</v>
      </c>
      <c r="H47">
        <v>1.2243601731563575E-2</v>
      </c>
      <c r="I47">
        <v>428.52606060472516</v>
      </c>
      <c r="J47">
        <v>0.42852606060472515</v>
      </c>
      <c r="K47">
        <v>35</v>
      </c>
    </row>
    <row r="48" spans="1:11" x14ac:dyDescent="0.25">
      <c r="A48" t="s">
        <v>117</v>
      </c>
      <c r="B48" t="s">
        <v>231</v>
      </c>
      <c r="C48" t="s">
        <v>264</v>
      </c>
      <c r="D48" t="s">
        <v>192</v>
      </c>
      <c r="E48">
        <v>0.21869452846703499</v>
      </c>
      <c r="F48">
        <v>4.8030108000000002E-2</v>
      </c>
      <c r="G48">
        <v>1.0503921821280765E-2</v>
      </c>
      <c r="H48">
        <v>1.0503921821280766E-5</v>
      </c>
      <c r="I48">
        <v>0.36763726374482675</v>
      </c>
      <c r="J48">
        <v>3.6763726374482674E-4</v>
      </c>
      <c r="K48">
        <v>35</v>
      </c>
    </row>
    <row r="49" spans="1:11" x14ac:dyDescent="0.25">
      <c r="A49" t="s">
        <v>117</v>
      </c>
      <c r="B49" t="s">
        <v>173</v>
      </c>
      <c r="C49" t="s">
        <v>264</v>
      </c>
      <c r="D49" t="s">
        <v>285</v>
      </c>
      <c r="E49">
        <v>291.95719550349202</v>
      </c>
      <c r="F49">
        <v>1.9104347378707414</v>
      </c>
      <c r="G49">
        <v>557.76516826119052</v>
      </c>
      <c r="H49">
        <v>0.55776516826119049</v>
      </c>
      <c r="I49">
        <v>19521.780889141668</v>
      </c>
      <c r="J49">
        <v>19.521780889141667</v>
      </c>
      <c r="K49">
        <v>35</v>
      </c>
    </row>
    <row r="50" spans="1:11" x14ac:dyDescent="0.25">
      <c r="A50" t="s">
        <v>117</v>
      </c>
      <c r="B50" t="s">
        <v>166</v>
      </c>
      <c r="C50" t="s">
        <v>264</v>
      </c>
      <c r="D50" t="s">
        <v>285</v>
      </c>
      <c r="E50">
        <v>131.216717080221</v>
      </c>
      <c r="F50">
        <v>2.3951532407363549</v>
      </c>
      <c r="G50">
        <v>314.28414515347674</v>
      </c>
      <c r="H50">
        <v>0.31428414515347675</v>
      </c>
      <c r="I50">
        <v>10999.945080371686</v>
      </c>
      <c r="J50">
        <v>10.999945080371687</v>
      </c>
      <c r="K50">
        <v>35</v>
      </c>
    </row>
    <row r="51" spans="1:11" x14ac:dyDescent="0.25">
      <c r="A51" t="s">
        <v>117</v>
      </c>
      <c r="B51" t="s">
        <v>225</v>
      </c>
      <c r="C51" t="s">
        <v>264</v>
      </c>
      <c r="D51" t="s">
        <v>192</v>
      </c>
      <c r="E51">
        <v>0.21869452846703499</v>
      </c>
      <c r="F51">
        <v>0.10004534399999999</v>
      </c>
      <c r="G51">
        <v>2.1879369331402308E-2</v>
      </c>
      <c r="H51">
        <v>2.1879369331402309E-5</v>
      </c>
      <c r="I51">
        <v>0.76577792659908073</v>
      </c>
      <c r="J51">
        <v>7.657779265990807E-4</v>
      </c>
      <c r="K51">
        <v>35</v>
      </c>
    </row>
    <row r="52" spans="1:11" x14ac:dyDescent="0.25">
      <c r="A52" t="s">
        <v>117</v>
      </c>
      <c r="B52" t="s">
        <v>202</v>
      </c>
      <c r="C52" t="s">
        <v>264</v>
      </c>
      <c r="D52" t="s">
        <v>192</v>
      </c>
      <c r="E52">
        <v>0.43738905693406999</v>
      </c>
      <c r="F52">
        <v>1.8866250000000001E-3</v>
      </c>
      <c r="G52">
        <v>8.2518912953823977E-4</v>
      </c>
      <c r="H52">
        <v>8.2518912953823979E-7</v>
      </c>
      <c r="I52">
        <v>2.8881619533838391E-2</v>
      </c>
      <c r="J52">
        <v>2.8881619533838392E-5</v>
      </c>
      <c r="K52">
        <v>35</v>
      </c>
    </row>
    <row r="53" spans="1:11" x14ac:dyDescent="0.25">
      <c r="A53" t="s">
        <v>117</v>
      </c>
      <c r="B53" t="s">
        <v>204</v>
      </c>
      <c r="C53" t="s">
        <v>264</v>
      </c>
      <c r="D53" t="s">
        <v>192</v>
      </c>
      <c r="E53">
        <v>0.87477811386814097</v>
      </c>
      <c r="F53">
        <v>4.1921284999999996E-3</v>
      </c>
      <c r="G53">
        <v>3.6671822623228784E-3</v>
      </c>
      <c r="H53">
        <v>3.6671822623228784E-6</v>
      </c>
      <c r="I53">
        <v>0.12835137918130074</v>
      </c>
      <c r="J53">
        <v>1.2835137918130074E-4</v>
      </c>
      <c r="K53">
        <v>35</v>
      </c>
    </row>
    <row r="54" spans="1:11" x14ac:dyDescent="0.25">
      <c r="A54" t="s">
        <v>117</v>
      </c>
      <c r="B54" t="s">
        <v>226</v>
      </c>
      <c r="C54" t="s">
        <v>264</v>
      </c>
      <c r="D54" t="s">
        <v>192</v>
      </c>
      <c r="E54">
        <v>1.96825075620332</v>
      </c>
      <c r="F54">
        <v>3.8121464444444441E-3</v>
      </c>
      <c r="G54">
        <v>7.5032601220355747E-3</v>
      </c>
      <c r="H54">
        <v>7.5032601220355743E-6</v>
      </c>
      <c r="I54">
        <v>0.2626141042712451</v>
      </c>
      <c r="J54">
        <v>2.6261410427124511E-4</v>
      </c>
      <c r="K54">
        <v>35</v>
      </c>
    </row>
    <row r="55" spans="1:11" x14ac:dyDescent="0.25">
      <c r="A55" t="s">
        <v>117</v>
      </c>
      <c r="B55" t="s">
        <v>161</v>
      </c>
      <c r="C55" t="s">
        <v>264</v>
      </c>
      <c r="D55" t="s">
        <v>284</v>
      </c>
      <c r="E55">
        <v>9.8412537810165794</v>
      </c>
      <c r="F55">
        <v>5.3374099385472107</v>
      </c>
      <c r="G55">
        <v>52.526805738563205</v>
      </c>
      <c r="H55">
        <v>5.2526805738563206E-2</v>
      </c>
      <c r="I55">
        <v>1838.4382008497121</v>
      </c>
      <c r="J55">
        <v>1.838438200849712</v>
      </c>
      <c r="K55">
        <v>35</v>
      </c>
    </row>
    <row r="56" spans="1:11" x14ac:dyDescent="0.25">
      <c r="A56" t="s">
        <v>117</v>
      </c>
      <c r="B56" t="s">
        <v>181</v>
      </c>
      <c r="C56" t="s">
        <v>264</v>
      </c>
      <c r="D56" t="s">
        <v>284</v>
      </c>
      <c r="E56">
        <v>223.06841903637601</v>
      </c>
      <c r="F56">
        <v>11.635702420100849</v>
      </c>
      <c r="G56">
        <v>2595.5577432296304</v>
      </c>
      <c r="H56">
        <v>2.5955577432296306</v>
      </c>
      <c r="I56">
        <v>90844.521013037069</v>
      </c>
      <c r="J56">
        <v>90.844521013037067</v>
      </c>
      <c r="K56">
        <v>35</v>
      </c>
    </row>
    <row r="57" spans="1:11" x14ac:dyDescent="0.25">
      <c r="A57" t="s">
        <v>117</v>
      </c>
      <c r="B57" t="s">
        <v>186</v>
      </c>
      <c r="C57" t="s">
        <v>264</v>
      </c>
      <c r="D57" t="s">
        <v>284</v>
      </c>
      <c r="E57">
        <v>29.523761343049799</v>
      </c>
      <c r="F57">
        <v>48.81550677158026</v>
      </c>
      <c r="G57">
        <v>1441.217371764167</v>
      </c>
      <c r="H57">
        <v>1.441217371764167</v>
      </c>
      <c r="I57">
        <v>50442.60801174584</v>
      </c>
      <c r="J57">
        <v>50.44260801174584</v>
      </c>
      <c r="K57">
        <v>35</v>
      </c>
    </row>
    <row r="58" spans="1:11" x14ac:dyDescent="0.25">
      <c r="A58" t="s">
        <v>117</v>
      </c>
      <c r="B58" t="s">
        <v>230</v>
      </c>
      <c r="C58" t="s">
        <v>264</v>
      </c>
      <c r="D58" t="s">
        <v>192</v>
      </c>
      <c r="E58">
        <v>0.43738905693406999</v>
      </c>
      <c r="F58">
        <v>8.6468514000000007E-3</v>
      </c>
      <c r="G58">
        <v>3.7820381792950429E-3</v>
      </c>
      <c r="H58">
        <v>3.7820381792950428E-6</v>
      </c>
      <c r="I58">
        <v>0.13237133627532649</v>
      </c>
      <c r="J58">
        <v>1.3237133627532648E-4</v>
      </c>
      <c r="K58">
        <v>35</v>
      </c>
    </row>
    <row r="59" spans="1:11" x14ac:dyDescent="0.25">
      <c r="A59" t="s">
        <v>117</v>
      </c>
      <c r="B59" t="s">
        <v>227</v>
      </c>
      <c r="C59" t="s">
        <v>264</v>
      </c>
      <c r="D59" t="s">
        <v>192</v>
      </c>
      <c r="E59">
        <v>0.43738905693406999</v>
      </c>
      <c r="F59">
        <v>8.7873782500000001E-3</v>
      </c>
      <c r="G59">
        <v>3.8435030856904585E-3</v>
      </c>
      <c r="H59">
        <v>3.8435030856904587E-6</v>
      </c>
      <c r="I59">
        <v>0.13452260799916604</v>
      </c>
      <c r="J59">
        <v>1.3452260799916605E-4</v>
      </c>
      <c r="K59">
        <v>35</v>
      </c>
    </row>
    <row r="60" spans="1:11" x14ac:dyDescent="0.25">
      <c r="A60" t="s">
        <v>117</v>
      </c>
      <c r="B60" t="s">
        <v>221</v>
      </c>
      <c r="C60" t="s">
        <v>264</v>
      </c>
      <c r="D60" t="s">
        <v>192</v>
      </c>
      <c r="E60">
        <v>0.21869452846703499</v>
      </c>
      <c r="F60">
        <v>2.40065E-2</v>
      </c>
      <c r="G60">
        <v>5.2500901976438759E-3</v>
      </c>
      <c r="H60">
        <v>5.2500901976438762E-6</v>
      </c>
      <c r="I60">
        <v>0.18375315691753566</v>
      </c>
      <c r="J60">
        <v>1.8375315691753565E-4</v>
      </c>
      <c r="K60">
        <v>35</v>
      </c>
    </row>
    <row r="61" spans="1:11" x14ac:dyDescent="0.25">
      <c r="A61" t="s">
        <v>117</v>
      </c>
      <c r="B61" t="s">
        <v>223</v>
      </c>
      <c r="C61" t="s">
        <v>264</v>
      </c>
      <c r="D61" t="s">
        <v>192</v>
      </c>
      <c r="E61">
        <v>0.65608358540110601</v>
      </c>
      <c r="F61">
        <v>7.1524735333333325E-2</v>
      </c>
      <c r="G61">
        <v>4.6926204802358498E-2</v>
      </c>
      <c r="H61">
        <v>4.6926204802358501E-5</v>
      </c>
      <c r="I61">
        <v>1.6424171680825475</v>
      </c>
      <c r="J61">
        <v>1.6424171680825474E-3</v>
      </c>
      <c r="K61">
        <v>35</v>
      </c>
    </row>
    <row r="62" spans="1:11" x14ac:dyDescent="0.25">
      <c r="A62" t="s">
        <v>117</v>
      </c>
      <c r="B62" t="s">
        <v>235</v>
      </c>
      <c r="C62" t="s">
        <v>264</v>
      </c>
      <c r="D62" t="s">
        <v>192</v>
      </c>
      <c r="E62">
        <v>0.21869452846703499</v>
      </c>
      <c r="F62">
        <v>7.7623919999999999E-2</v>
      </c>
      <c r="G62">
        <v>1.6975926582162848E-2</v>
      </c>
      <c r="H62">
        <v>1.6975926582162847E-5</v>
      </c>
      <c r="I62">
        <v>0.59415743037569968</v>
      </c>
      <c r="J62">
        <v>5.941574303756997E-4</v>
      </c>
      <c r="K62">
        <v>35</v>
      </c>
    </row>
    <row r="63" spans="1:11" x14ac:dyDescent="0.25">
      <c r="A63" t="s">
        <v>117</v>
      </c>
      <c r="B63" t="s">
        <v>210</v>
      </c>
      <c r="C63" t="s">
        <v>264</v>
      </c>
      <c r="D63" t="s">
        <v>192</v>
      </c>
      <c r="E63">
        <v>5.9047522686099496</v>
      </c>
      <c r="F63">
        <v>4.0371638500000008E-2</v>
      </c>
      <c r="G63">
        <v>0.23838452402037583</v>
      </c>
      <c r="H63">
        <v>2.3838452402037582E-4</v>
      </c>
      <c r="I63">
        <v>8.3434583407131537</v>
      </c>
      <c r="J63">
        <v>8.3434583407131536E-3</v>
      </c>
      <c r="K63">
        <v>35</v>
      </c>
    </row>
    <row r="64" spans="1:11" x14ac:dyDescent="0.25">
      <c r="A64" t="s">
        <v>119</v>
      </c>
      <c r="B64" t="s">
        <v>172</v>
      </c>
      <c r="C64" t="s">
        <v>274</v>
      </c>
      <c r="D64" t="s">
        <v>281</v>
      </c>
      <c r="E64">
        <v>36.233929654931998</v>
      </c>
      <c r="F64">
        <v>0.90312824269041136</v>
      </c>
      <c r="G64">
        <v>32.723885215026719</v>
      </c>
      <c r="H64">
        <v>3.272388521502672E-2</v>
      </c>
      <c r="I64">
        <v>425.41050779534737</v>
      </c>
      <c r="J64">
        <v>0.42541050779534739</v>
      </c>
      <c r="K64">
        <v>13</v>
      </c>
    </row>
    <row r="65" spans="1:11" x14ac:dyDescent="0.25">
      <c r="A65" t="s">
        <v>119</v>
      </c>
      <c r="B65" t="s">
        <v>195</v>
      </c>
      <c r="C65" t="s">
        <v>274</v>
      </c>
      <c r="D65" t="s">
        <v>192</v>
      </c>
      <c r="E65">
        <v>16.728499379008301</v>
      </c>
      <c r="F65">
        <v>1.7457804E-2</v>
      </c>
      <c r="G65">
        <v>0.29204286337284863</v>
      </c>
      <c r="H65">
        <v>2.9204286337284864E-4</v>
      </c>
      <c r="I65">
        <v>3.796557223847032</v>
      </c>
      <c r="J65">
        <v>3.7965572238470319E-3</v>
      </c>
      <c r="K65">
        <v>13</v>
      </c>
    </row>
    <row r="66" spans="1:11" x14ac:dyDescent="0.25">
      <c r="A66" t="s">
        <v>119</v>
      </c>
      <c r="B66" t="s">
        <v>196</v>
      </c>
      <c r="C66" t="s">
        <v>274</v>
      </c>
      <c r="D66" t="s">
        <v>197</v>
      </c>
      <c r="E66">
        <v>9434.8736497606806</v>
      </c>
      <c r="F66">
        <v>5.7233155235208645E-2</v>
      </c>
      <c r="G66">
        <v>539.98758822133254</v>
      </c>
      <c r="H66">
        <v>0.53998758822133253</v>
      </c>
      <c r="I66">
        <v>7019.8386468773233</v>
      </c>
      <c r="J66">
        <v>7.0198386468773233</v>
      </c>
      <c r="K66">
        <v>13</v>
      </c>
    </row>
    <row r="67" spans="1:11" x14ac:dyDescent="0.25">
      <c r="A67" t="s">
        <v>119</v>
      </c>
      <c r="B67" t="s">
        <v>231</v>
      </c>
      <c r="C67" t="s">
        <v>274</v>
      </c>
      <c r="D67" t="s">
        <v>192</v>
      </c>
      <c r="E67">
        <v>16.728499379008301</v>
      </c>
      <c r="F67">
        <v>1.2862951500000001E-2</v>
      </c>
      <c r="G67">
        <v>0.21517787617996392</v>
      </c>
      <c r="H67">
        <v>2.1517787617996391E-4</v>
      </c>
      <c r="I67">
        <v>2.7973123903395312</v>
      </c>
      <c r="J67">
        <v>2.7973123903395312E-3</v>
      </c>
      <c r="K67">
        <v>13</v>
      </c>
    </row>
    <row r="68" spans="1:11" x14ac:dyDescent="0.25">
      <c r="A68" t="s">
        <v>119</v>
      </c>
      <c r="B68" t="s">
        <v>173</v>
      </c>
      <c r="C68" t="s">
        <v>274</v>
      </c>
      <c r="D68" t="s">
        <v>285</v>
      </c>
      <c r="E68">
        <v>209.77538221276399</v>
      </c>
      <c r="F68">
        <v>0.53679094143960304</v>
      </c>
      <c r="G68">
        <v>112.60552490884214</v>
      </c>
      <c r="H68">
        <v>0.11260552490884214</v>
      </c>
      <c r="I68">
        <v>1463.8718238149479</v>
      </c>
      <c r="J68">
        <v>1.463871823814948</v>
      </c>
      <c r="K68">
        <v>13</v>
      </c>
    </row>
    <row r="69" spans="1:11" x14ac:dyDescent="0.25">
      <c r="A69" t="s">
        <v>119</v>
      </c>
      <c r="B69" t="s">
        <v>167</v>
      </c>
      <c r="C69" t="s">
        <v>274</v>
      </c>
      <c r="D69" t="s">
        <v>284</v>
      </c>
      <c r="E69">
        <v>1.9070489292069499</v>
      </c>
      <c r="F69">
        <v>0.52814087147043098</v>
      </c>
      <c r="G69">
        <v>1.0071904834081107</v>
      </c>
      <c r="H69">
        <v>1.0071904834081107E-3</v>
      </c>
      <c r="I69">
        <v>13.093476284305439</v>
      </c>
      <c r="J69">
        <v>1.3093476284305438E-2</v>
      </c>
      <c r="K69">
        <v>13</v>
      </c>
    </row>
    <row r="70" spans="1:11" x14ac:dyDescent="0.25">
      <c r="A70" t="s">
        <v>119</v>
      </c>
      <c r="B70" t="s">
        <v>166</v>
      </c>
      <c r="C70" t="s">
        <v>274</v>
      </c>
      <c r="D70" t="s">
        <v>285</v>
      </c>
      <c r="E70">
        <v>102.980642177175</v>
      </c>
      <c r="F70">
        <v>4.8598086095066559</v>
      </c>
      <c r="G70">
        <v>500.46621146515935</v>
      </c>
      <c r="H70">
        <v>0.50046621146515935</v>
      </c>
      <c r="I70">
        <v>6506.0607490470711</v>
      </c>
      <c r="J70">
        <v>6.5060607490470712</v>
      </c>
      <c r="K70">
        <v>13</v>
      </c>
    </row>
    <row r="71" spans="1:11" x14ac:dyDescent="0.25">
      <c r="A71" t="s">
        <v>119</v>
      </c>
      <c r="B71" t="s">
        <v>198</v>
      </c>
      <c r="C71" t="s">
        <v>274</v>
      </c>
      <c r="D71" t="s">
        <v>290</v>
      </c>
      <c r="E71">
        <v>33.456998758016603</v>
      </c>
      <c r="F71">
        <v>9.7877283967159417E-2</v>
      </c>
      <c r="G71">
        <v>3.2746801681272908</v>
      </c>
      <c r="H71">
        <v>3.2746801681272906E-3</v>
      </c>
      <c r="I71">
        <v>42.570842185654783</v>
      </c>
      <c r="J71">
        <v>4.2570842185654781E-2</v>
      </c>
      <c r="K71">
        <v>13</v>
      </c>
    </row>
    <row r="72" spans="1:11" x14ac:dyDescent="0.25">
      <c r="A72" t="s">
        <v>119</v>
      </c>
      <c r="B72" t="s">
        <v>177</v>
      </c>
      <c r="C72" t="s">
        <v>274</v>
      </c>
      <c r="D72" t="s">
        <v>285</v>
      </c>
      <c r="E72">
        <v>1.9070489292069499</v>
      </c>
      <c r="F72">
        <v>0.400099253854658</v>
      </c>
      <c r="G72">
        <v>0.76300885364002513</v>
      </c>
      <c r="H72">
        <v>7.6300885364002512E-4</v>
      </c>
      <c r="I72">
        <v>9.9191150973203275</v>
      </c>
      <c r="J72">
        <v>9.9191150973203281E-3</v>
      </c>
      <c r="K72">
        <v>13</v>
      </c>
    </row>
    <row r="73" spans="1:11" x14ac:dyDescent="0.25">
      <c r="A73" t="s">
        <v>119</v>
      </c>
      <c r="B73" t="s">
        <v>184</v>
      </c>
      <c r="C73" t="s">
        <v>274</v>
      </c>
      <c r="D73" t="s">
        <v>285</v>
      </c>
      <c r="E73">
        <v>5.7211467876208397</v>
      </c>
      <c r="F73">
        <v>1.5701025191432798</v>
      </c>
      <c r="G73">
        <v>8.9827869836319625</v>
      </c>
      <c r="H73">
        <v>8.9827869836319619E-3</v>
      </c>
      <c r="I73">
        <v>116.77623078721551</v>
      </c>
      <c r="J73">
        <v>0.11677623078721551</v>
      </c>
      <c r="K73">
        <v>13</v>
      </c>
    </row>
    <row r="74" spans="1:11" x14ac:dyDescent="0.25">
      <c r="A74" t="s">
        <v>119</v>
      </c>
      <c r="B74" t="s">
        <v>201</v>
      </c>
      <c r="C74" t="s">
        <v>274</v>
      </c>
      <c r="D74" t="s">
        <v>192</v>
      </c>
      <c r="E74">
        <v>133.82799503206601</v>
      </c>
      <c r="F74">
        <v>6.2428110412500008E-3</v>
      </c>
      <c r="G74">
        <v>0.83546288501453192</v>
      </c>
      <c r="H74">
        <v>8.3546288501453196E-4</v>
      </c>
      <c r="I74">
        <v>10.861017505188915</v>
      </c>
      <c r="J74">
        <v>1.0861017505188916E-2</v>
      </c>
      <c r="K74">
        <v>13</v>
      </c>
    </row>
    <row r="75" spans="1:11" x14ac:dyDescent="0.25">
      <c r="A75" t="s">
        <v>119</v>
      </c>
      <c r="B75" t="s">
        <v>202</v>
      </c>
      <c r="C75" t="s">
        <v>274</v>
      </c>
      <c r="D75" t="s">
        <v>192</v>
      </c>
      <c r="E75">
        <v>100.37099627405</v>
      </c>
      <c r="F75">
        <v>2.642903333333333E-3</v>
      </c>
      <c r="G75">
        <v>0.26527084062267431</v>
      </c>
      <c r="H75">
        <v>2.6527084062267429E-4</v>
      </c>
      <c r="I75">
        <v>3.4485209280947662</v>
      </c>
      <c r="J75">
        <v>3.448520928094766E-3</v>
      </c>
      <c r="K75">
        <v>13</v>
      </c>
    </row>
    <row r="76" spans="1:11" x14ac:dyDescent="0.25">
      <c r="A76" t="s">
        <v>119</v>
      </c>
      <c r="B76" t="s">
        <v>204</v>
      </c>
      <c r="C76" t="s">
        <v>274</v>
      </c>
      <c r="D76" t="s">
        <v>192</v>
      </c>
      <c r="E76">
        <v>33.456998758016603</v>
      </c>
      <c r="F76">
        <v>3.7689730000000001E-3</v>
      </c>
      <c r="G76">
        <v>0.1260985249799981</v>
      </c>
      <c r="H76">
        <v>1.2609852497999811E-4</v>
      </c>
      <c r="I76">
        <v>1.6392808247399753</v>
      </c>
      <c r="J76">
        <v>1.6392808247399752E-3</v>
      </c>
      <c r="K76">
        <v>13</v>
      </c>
    </row>
    <row r="77" spans="1:11" x14ac:dyDescent="0.25">
      <c r="A77" t="s">
        <v>119</v>
      </c>
      <c r="B77" t="s">
        <v>216</v>
      </c>
      <c r="C77" t="s">
        <v>274</v>
      </c>
      <c r="D77" t="s">
        <v>192</v>
      </c>
      <c r="E77">
        <v>16.728499379008301</v>
      </c>
      <c r="F77">
        <v>8.6021512499999994E-2</v>
      </c>
      <c r="G77">
        <v>1.4390108184376047</v>
      </c>
      <c r="H77">
        <v>1.4390108184376047E-3</v>
      </c>
      <c r="I77">
        <v>18.707140639688863</v>
      </c>
      <c r="J77">
        <v>1.8707140639688861E-2</v>
      </c>
      <c r="K77">
        <v>13</v>
      </c>
    </row>
    <row r="78" spans="1:11" x14ac:dyDescent="0.25">
      <c r="A78" t="s">
        <v>119</v>
      </c>
      <c r="B78" t="s">
        <v>162</v>
      </c>
      <c r="C78" t="s">
        <v>274</v>
      </c>
      <c r="D78" t="s">
        <v>284</v>
      </c>
      <c r="E78">
        <v>3.81409785841389</v>
      </c>
      <c r="F78">
        <v>4.8683178761471204</v>
      </c>
      <c r="G78">
        <v>18.56824078549079</v>
      </c>
      <c r="H78">
        <v>1.856824078549079E-2</v>
      </c>
      <c r="I78">
        <v>241.38713021138028</v>
      </c>
      <c r="J78">
        <v>0.24138713021138028</v>
      </c>
      <c r="K78">
        <v>13</v>
      </c>
    </row>
    <row r="79" spans="1:11" x14ac:dyDescent="0.25">
      <c r="A79" t="s">
        <v>119</v>
      </c>
      <c r="B79" t="s">
        <v>161</v>
      </c>
      <c r="C79" t="s">
        <v>274</v>
      </c>
      <c r="D79" t="s">
        <v>284</v>
      </c>
      <c r="E79">
        <v>1.9070489292069499</v>
      </c>
      <c r="F79">
        <v>4.1776241691879799</v>
      </c>
      <c r="G79">
        <v>7.9669336984790107</v>
      </c>
      <c r="H79">
        <v>7.9669336984790114E-3</v>
      </c>
      <c r="I79">
        <v>103.57013808022714</v>
      </c>
      <c r="J79">
        <v>0.10357013808022714</v>
      </c>
      <c r="K79">
        <v>13</v>
      </c>
    </row>
    <row r="80" spans="1:11" x14ac:dyDescent="0.25">
      <c r="A80" t="s">
        <v>119</v>
      </c>
      <c r="B80" t="s">
        <v>186</v>
      </c>
      <c r="C80" t="s">
        <v>274</v>
      </c>
      <c r="D80" t="s">
        <v>284</v>
      </c>
      <c r="E80">
        <v>1.9070489292069499</v>
      </c>
      <c r="F80">
        <v>47.090089644347898</v>
      </c>
      <c r="G80">
        <v>89.803105032512946</v>
      </c>
      <c r="H80">
        <v>8.9803105032512945E-2</v>
      </c>
      <c r="I80">
        <v>1167.4403654226683</v>
      </c>
      <c r="J80">
        <v>1.1674403654226682</v>
      </c>
      <c r="K80">
        <v>13</v>
      </c>
    </row>
    <row r="81" spans="1:11" x14ac:dyDescent="0.25">
      <c r="A81" t="s">
        <v>119</v>
      </c>
      <c r="B81" t="s">
        <v>227</v>
      </c>
      <c r="C81" t="s">
        <v>274</v>
      </c>
      <c r="D81" t="s">
        <v>192</v>
      </c>
      <c r="E81">
        <v>100.37099627405</v>
      </c>
      <c r="F81">
        <v>5.4296611833333341E-2</v>
      </c>
      <c r="G81">
        <v>5.4498050240170404</v>
      </c>
      <c r="H81">
        <v>5.4498050240170404E-3</v>
      </c>
      <c r="I81">
        <v>70.84746531222153</v>
      </c>
      <c r="J81">
        <v>7.0847465312221525E-2</v>
      </c>
      <c r="K81">
        <v>13</v>
      </c>
    </row>
    <row r="82" spans="1:11" x14ac:dyDescent="0.25">
      <c r="A82" t="s">
        <v>119</v>
      </c>
      <c r="B82" t="s">
        <v>220</v>
      </c>
      <c r="C82" t="s">
        <v>274</v>
      </c>
      <c r="D82" t="s">
        <v>192</v>
      </c>
      <c r="E82">
        <v>117.099495653058</v>
      </c>
      <c r="F82">
        <v>4.4065119999999999E-2</v>
      </c>
      <c r="G82">
        <v>5.160003327891479</v>
      </c>
      <c r="H82">
        <v>5.1600033278914794E-3</v>
      </c>
      <c r="I82">
        <v>67.080043262589228</v>
      </c>
      <c r="J82">
        <v>6.7080043262589234E-2</v>
      </c>
      <c r="K82">
        <v>13</v>
      </c>
    </row>
    <row r="83" spans="1:11" x14ac:dyDescent="0.25">
      <c r="A83" t="s">
        <v>119</v>
      </c>
      <c r="B83" t="s">
        <v>221</v>
      </c>
      <c r="C83" t="s">
        <v>274</v>
      </c>
      <c r="D83" t="s">
        <v>192</v>
      </c>
      <c r="E83">
        <v>1070.6239602565299</v>
      </c>
      <c r="F83">
        <v>4.3945012475000003E-2</v>
      </c>
      <c r="G83">
        <v>47.048583289507114</v>
      </c>
      <c r="H83">
        <v>4.7048583289507111E-2</v>
      </c>
      <c r="I83">
        <v>611.63158276359252</v>
      </c>
      <c r="J83">
        <v>0.61163158276359253</v>
      </c>
      <c r="K83">
        <v>13</v>
      </c>
    </row>
    <row r="84" spans="1:11" x14ac:dyDescent="0.25">
      <c r="A84" t="s">
        <v>119</v>
      </c>
      <c r="B84" t="s">
        <v>234</v>
      </c>
      <c r="C84" t="s">
        <v>274</v>
      </c>
      <c r="D84" t="s">
        <v>192</v>
      </c>
      <c r="E84">
        <v>16.728499379008301</v>
      </c>
      <c r="F84">
        <v>1.0021508E-2</v>
      </c>
      <c r="G84">
        <v>0.16764479035472674</v>
      </c>
      <c r="H84">
        <v>1.6764479035472673E-4</v>
      </c>
      <c r="I84">
        <v>2.1793822746114477</v>
      </c>
      <c r="J84">
        <v>2.1793822746114478E-3</v>
      </c>
      <c r="K84">
        <v>13</v>
      </c>
    </row>
    <row r="85" spans="1:11" x14ac:dyDescent="0.25">
      <c r="A85" t="s">
        <v>119</v>
      </c>
      <c r="B85" t="s">
        <v>223</v>
      </c>
      <c r="C85" t="s">
        <v>274</v>
      </c>
      <c r="D85" t="s">
        <v>192</v>
      </c>
      <c r="E85">
        <v>133.82799503206601</v>
      </c>
      <c r="F85">
        <v>6.9090159600000006E-2</v>
      </c>
      <c r="G85">
        <v>9.2461975357134492</v>
      </c>
      <c r="H85">
        <v>9.2461975357134487E-3</v>
      </c>
      <c r="I85">
        <v>120.20056796427484</v>
      </c>
      <c r="J85">
        <v>0.12020056796427483</v>
      </c>
      <c r="K85">
        <v>13</v>
      </c>
    </row>
    <row r="86" spans="1:11" x14ac:dyDescent="0.25">
      <c r="A86" t="s">
        <v>119</v>
      </c>
      <c r="B86" t="s">
        <v>208</v>
      </c>
      <c r="C86" t="s">
        <v>274</v>
      </c>
      <c r="D86" t="s">
        <v>192</v>
      </c>
      <c r="E86">
        <v>16.728499379008301</v>
      </c>
      <c r="F86">
        <v>4.6842950000000001E-2</v>
      </c>
      <c r="G86">
        <v>0.78361225998591688</v>
      </c>
      <c r="H86">
        <v>7.8361225998591685E-4</v>
      </c>
      <c r="I86">
        <v>10.186959379816919</v>
      </c>
      <c r="J86">
        <v>1.018695937981692E-2</v>
      </c>
      <c r="K86">
        <v>13</v>
      </c>
    </row>
    <row r="87" spans="1:11" x14ac:dyDescent="0.25">
      <c r="A87" t="s">
        <v>119</v>
      </c>
      <c r="B87" t="s">
        <v>209</v>
      </c>
      <c r="C87" t="s">
        <v>274</v>
      </c>
      <c r="D87" t="s">
        <v>192</v>
      </c>
      <c r="E87">
        <v>16.728499379008301</v>
      </c>
      <c r="F87">
        <v>4.21230348E-2</v>
      </c>
      <c r="G87">
        <v>0.70465516149374507</v>
      </c>
      <c r="H87">
        <v>7.0465516149374502E-4</v>
      </c>
      <c r="I87">
        <v>9.1605170994186853</v>
      </c>
      <c r="J87">
        <v>9.1605170994186851E-3</v>
      </c>
      <c r="K87">
        <v>13</v>
      </c>
    </row>
    <row r="88" spans="1:11" x14ac:dyDescent="0.25">
      <c r="A88" t="s">
        <v>119</v>
      </c>
      <c r="B88" t="s">
        <v>235</v>
      </c>
      <c r="C88" t="s">
        <v>274</v>
      </c>
      <c r="D88" t="s">
        <v>192</v>
      </c>
      <c r="E88">
        <v>16.728499379008301</v>
      </c>
      <c r="F88">
        <v>9.6635970000000002E-2</v>
      </c>
      <c r="G88">
        <v>1.6165747641348649</v>
      </c>
      <c r="H88">
        <v>1.6165747641348649E-3</v>
      </c>
      <c r="I88">
        <v>21.015471933753243</v>
      </c>
      <c r="J88">
        <v>2.1015471933753242E-2</v>
      </c>
      <c r="K88">
        <v>13</v>
      </c>
    </row>
    <row r="89" spans="1:11" x14ac:dyDescent="0.25">
      <c r="A89" t="s">
        <v>119</v>
      </c>
      <c r="B89" t="s">
        <v>153</v>
      </c>
      <c r="C89" t="s">
        <v>274</v>
      </c>
      <c r="D89" t="s">
        <v>284</v>
      </c>
      <c r="E89">
        <v>32.419831796518103</v>
      </c>
      <c r="F89">
        <v>7.9455737121369889</v>
      </c>
      <c r="G89">
        <v>257.59416327431711</v>
      </c>
      <c r="H89">
        <v>0.25759416327431711</v>
      </c>
      <c r="I89">
        <v>3348.7241225661223</v>
      </c>
      <c r="J89">
        <v>3.3487241225661224</v>
      </c>
      <c r="K89">
        <v>13</v>
      </c>
    </row>
    <row r="90" spans="1:11" x14ac:dyDescent="0.25">
      <c r="A90" t="s">
        <v>119</v>
      </c>
      <c r="B90" t="s">
        <v>210</v>
      </c>
      <c r="C90" t="s">
        <v>274</v>
      </c>
      <c r="D90" t="s">
        <v>192</v>
      </c>
      <c r="E90">
        <v>1288.09445218364</v>
      </c>
      <c r="F90">
        <v>5.0042130500000004E-2</v>
      </c>
      <c r="G90">
        <v>64.458990672499723</v>
      </c>
      <c r="H90">
        <v>6.445899067249973E-2</v>
      </c>
      <c r="I90">
        <v>837.96687874249642</v>
      </c>
      <c r="J90">
        <v>0.83796687874249642</v>
      </c>
      <c r="K90">
        <v>13</v>
      </c>
    </row>
    <row r="91" spans="1:11" x14ac:dyDescent="0.25">
      <c r="A91" t="s">
        <v>121</v>
      </c>
      <c r="B91" t="s">
        <v>172</v>
      </c>
      <c r="C91" t="s">
        <v>265</v>
      </c>
      <c r="D91" t="s">
        <v>281</v>
      </c>
      <c r="E91">
        <v>7.5353443717403898</v>
      </c>
      <c r="F91">
        <v>0.75280387152912998</v>
      </c>
      <c r="G91">
        <v>5.6726364163514047</v>
      </c>
      <c r="H91">
        <v>5.6726364163514047E-3</v>
      </c>
      <c r="I91">
        <v>402.75718556094972</v>
      </c>
      <c r="J91">
        <v>0.40275718556094975</v>
      </c>
      <c r="K91">
        <v>71</v>
      </c>
    </row>
    <row r="92" spans="1:11" x14ac:dyDescent="0.25">
      <c r="A92" t="s">
        <v>121</v>
      </c>
      <c r="B92" t="s">
        <v>194</v>
      </c>
      <c r="C92" t="s">
        <v>265</v>
      </c>
      <c r="D92" t="s">
        <v>192</v>
      </c>
      <c r="E92">
        <v>8.0318593109635898</v>
      </c>
      <c r="F92">
        <v>1.9819476000000003E-2</v>
      </c>
      <c r="G92">
        <v>0.15918724284901942</v>
      </c>
      <c r="H92">
        <v>1.5918724284901941E-4</v>
      </c>
      <c r="I92">
        <v>11.302294242280379</v>
      </c>
      <c r="J92">
        <v>1.1302294242280379E-2</v>
      </c>
      <c r="K92">
        <v>71</v>
      </c>
    </row>
    <row r="93" spans="1:11" x14ac:dyDescent="0.25">
      <c r="A93" t="s">
        <v>121</v>
      </c>
      <c r="B93" t="s">
        <v>195</v>
      </c>
      <c r="C93" t="s">
        <v>265</v>
      </c>
      <c r="D93" t="s">
        <v>192</v>
      </c>
      <c r="E93">
        <v>1.6063718621927201</v>
      </c>
      <c r="F93">
        <v>1.1220768000000001E-2</v>
      </c>
      <c r="G93">
        <v>1.8024725987392486E-2</v>
      </c>
      <c r="H93">
        <v>1.8024725987392485E-5</v>
      </c>
      <c r="I93">
        <v>1.2797555451048666</v>
      </c>
      <c r="J93">
        <v>1.2797555451048665E-3</v>
      </c>
      <c r="K93">
        <v>71</v>
      </c>
    </row>
    <row r="94" spans="1:11" x14ac:dyDescent="0.25">
      <c r="A94" t="s">
        <v>121</v>
      </c>
      <c r="B94" t="s">
        <v>196</v>
      </c>
      <c r="C94" t="s">
        <v>265</v>
      </c>
      <c r="D94" t="s">
        <v>197</v>
      </c>
      <c r="E94">
        <v>89.956824282792198</v>
      </c>
      <c r="F94">
        <v>8.5643508835357804E-2</v>
      </c>
      <c r="G94">
        <v>7.704218075264043</v>
      </c>
      <c r="H94">
        <v>7.7042180752640429E-3</v>
      </c>
      <c r="I94">
        <v>546.9994833437471</v>
      </c>
      <c r="J94">
        <v>0.54699948334374715</v>
      </c>
      <c r="K94">
        <v>71</v>
      </c>
    </row>
    <row r="95" spans="1:11" x14ac:dyDescent="0.25">
      <c r="A95" t="s">
        <v>121</v>
      </c>
      <c r="B95" t="s">
        <v>173</v>
      </c>
      <c r="C95" t="s">
        <v>265</v>
      </c>
      <c r="D95" t="s">
        <v>285</v>
      </c>
      <c r="E95">
        <v>1190.5844107349801</v>
      </c>
      <c r="F95">
        <v>1.758753983359679</v>
      </c>
      <c r="G95">
        <v>2093.9450749060825</v>
      </c>
      <c r="H95">
        <v>2.0939450749060824</v>
      </c>
      <c r="I95">
        <v>148670.10031833185</v>
      </c>
      <c r="J95">
        <v>148.67010031833186</v>
      </c>
      <c r="K95">
        <v>71</v>
      </c>
    </row>
    <row r="96" spans="1:11" x14ac:dyDescent="0.25">
      <c r="A96" t="s">
        <v>121</v>
      </c>
      <c r="B96" t="s">
        <v>167</v>
      </c>
      <c r="C96" t="s">
        <v>265</v>
      </c>
      <c r="D96" t="s">
        <v>284</v>
      </c>
      <c r="E96">
        <v>150.70688743480801</v>
      </c>
      <c r="F96">
        <v>1.3255241707714389</v>
      </c>
      <c r="G96">
        <v>199.76562199656848</v>
      </c>
      <c r="H96">
        <v>0.19976562199656847</v>
      </c>
      <c r="I96">
        <v>14183.359161756362</v>
      </c>
      <c r="J96">
        <v>14.183359161756362</v>
      </c>
      <c r="K96">
        <v>71</v>
      </c>
    </row>
    <row r="97" spans="1:11" x14ac:dyDescent="0.25">
      <c r="A97" t="s">
        <v>121</v>
      </c>
      <c r="B97" t="s">
        <v>166</v>
      </c>
      <c r="C97" t="s">
        <v>265</v>
      </c>
      <c r="D97" t="s">
        <v>285</v>
      </c>
      <c r="E97">
        <v>143.17154306306699</v>
      </c>
      <c r="F97">
        <v>2.5499911329353937</v>
      </c>
      <c r="G97">
        <v>365.0861652994987</v>
      </c>
      <c r="H97">
        <v>0.36508616529949872</v>
      </c>
      <c r="I97">
        <v>25921.117736264408</v>
      </c>
      <c r="J97">
        <v>25.92111773626441</v>
      </c>
      <c r="K97">
        <v>71</v>
      </c>
    </row>
    <row r="98" spans="1:11" x14ac:dyDescent="0.25">
      <c r="A98" t="s">
        <v>121</v>
      </c>
      <c r="B98" t="s">
        <v>198</v>
      </c>
      <c r="C98" t="s">
        <v>265</v>
      </c>
      <c r="D98" t="s">
        <v>290</v>
      </c>
      <c r="E98">
        <v>274.689588434955</v>
      </c>
      <c r="F98">
        <v>0.11286584647235709</v>
      </c>
      <c r="G98">
        <v>31.003072915854588</v>
      </c>
      <c r="H98">
        <v>3.100307291585459E-2</v>
      </c>
      <c r="I98">
        <v>2201.2181770256757</v>
      </c>
      <c r="J98">
        <v>2.2012181770256758</v>
      </c>
      <c r="K98">
        <v>71</v>
      </c>
    </row>
    <row r="99" spans="1:11" x14ac:dyDescent="0.25">
      <c r="A99" t="s">
        <v>121</v>
      </c>
      <c r="B99" t="s">
        <v>201</v>
      </c>
      <c r="C99" t="s">
        <v>265</v>
      </c>
      <c r="D99" t="s">
        <v>192</v>
      </c>
      <c r="E99">
        <v>6.4254874487708697</v>
      </c>
      <c r="F99">
        <v>5.3786027400000002E-3</v>
      </c>
      <c r="G99">
        <v>3.4560144397794611E-2</v>
      </c>
      <c r="H99">
        <v>3.4560144397794612E-5</v>
      </c>
      <c r="I99">
        <v>2.4537702522434173</v>
      </c>
      <c r="J99">
        <v>2.4537702522434172E-3</v>
      </c>
      <c r="K99">
        <v>71</v>
      </c>
    </row>
    <row r="100" spans="1:11" x14ac:dyDescent="0.25">
      <c r="A100" t="s">
        <v>121</v>
      </c>
      <c r="B100" t="s">
        <v>202</v>
      </c>
      <c r="C100" t="s">
        <v>265</v>
      </c>
      <c r="D100" t="s">
        <v>192</v>
      </c>
      <c r="E100">
        <v>4.8191155865781496</v>
      </c>
      <c r="F100">
        <v>2.1915413333333331E-3</v>
      </c>
      <c r="G100">
        <v>1.0561290998096926E-2</v>
      </c>
      <c r="H100">
        <v>1.0561290998096926E-5</v>
      </c>
      <c r="I100">
        <v>0.74985166086488175</v>
      </c>
      <c r="J100">
        <v>7.4985166086488175E-4</v>
      </c>
      <c r="K100">
        <v>71</v>
      </c>
    </row>
    <row r="101" spans="1:11" x14ac:dyDescent="0.25">
      <c r="A101" t="s">
        <v>121</v>
      </c>
      <c r="B101" t="s">
        <v>204</v>
      </c>
      <c r="C101" t="s">
        <v>265</v>
      </c>
      <c r="D101" t="s">
        <v>192</v>
      </c>
      <c r="E101">
        <v>1.6063718621927201</v>
      </c>
      <c r="F101">
        <v>3.5431220000000001E-3</v>
      </c>
      <c r="G101">
        <v>5.6915714851159954E-3</v>
      </c>
      <c r="H101">
        <v>5.6915714851159957E-6</v>
      </c>
      <c r="I101">
        <v>0.40410157544323566</v>
      </c>
      <c r="J101">
        <v>4.0410157544323568E-4</v>
      </c>
      <c r="K101">
        <v>71</v>
      </c>
    </row>
    <row r="102" spans="1:11" x14ac:dyDescent="0.25">
      <c r="A102" t="s">
        <v>121</v>
      </c>
      <c r="B102" t="s">
        <v>205</v>
      </c>
      <c r="C102" t="s">
        <v>265</v>
      </c>
      <c r="D102" t="s">
        <v>192</v>
      </c>
      <c r="E102">
        <v>4.8191155865781496</v>
      </c>
      <c r="F102">
        <v>3.2678513333333332E-3</v>
      </c>
      <c r="G102">
        <v>1.5748153295086855E-2</v>
      </c>
      <c r="H102">
        <v>1.5748153295086856E-5</v>
      </c>
      <c r="I102">
        <v>1.1181188839511667</v>
      </c>
      <c r="J102">
        <v>1.1181188839511666E-3</v>
      </c>
      <c r="K102">
        <v>71</v>
      </c>
    </row>
    <row r="103" spans="1:11" x14ac:dyDescent="0.25">
      <c r="A103" t="s">
        <v>121</v>
      </c>
      <c r="B103" t="s">
        <v>161</v>
      </c>
      <c r="C103" t="s">
        <v>265</v>
      </c>
      <c r="D103" t="s">
        <v>284</v>
      </c>
      <c r="E103">
        <v>82.888788089144199</v>
      </c>
      <c r="F103">
        <v>4.7816254460802972</v>
      </c>
      <c r="G103">
        <v>396.34313832180936</v>
      </c>
      <c r="H103">
        <v>0.39634313832180934</v>
      </c>
      <c r="I103">
        <v>28140.362820848466</v>
      </c>
      <c r="J103">
        <v>28.140362820848466</v>
      </c>
      <c r="K103">
        <v>71</v>
      </c>
    </row>
    <row r="104" spans="1:11" x14ac:dyDescent="0.25">
      <c r="A104" t="s">
        <v>121</v>
      </c>
      <c r="B104" t="s">
        <v>181</v>
      </c>
      <c r="C104" t="s">
        <v>265</v>
      </c>
      <c r="D104" t="s">
        <v>284</v>
      </c>
      <c r="E104">
        <v>22.606033115221202</v>
      </c>
      <c r="F104">
        <v>9.860718603338487</v>
      </c>
      <c r="G104">
        <v>222.9117312869476</v>
      </c>
      <c r="H104">
        <v>0.22291173128694761</v>
      </c>
      <c r="I104">
        <v>15826.732921373279</v>
      </c>
      <c r="J104">
        <v>15.82673292137328</v>
      </c>
      <c r="K104">
        <v>71</v>
      </c>
    </row>
    <row r="105" spans="1:11" x14ac:dyDescent="0.25">
      <c r="A105" t="s">
        <v>121</v>
      </c>
      <c r="B105" t="s">
        <v>230</v>
      </c>
      <c r="C105" t="s">
        <v>265</v>
      </c>
      <c r="D105" t="s">
        <v>192</v>
      </c>
      <c r="E105">
        <v>1.6063718621927201</v>
      </c>
      <c r="F105">
        <v>7.8236928000000004E-3</v>
      </c>
      <c r="G105">
        <v>1.2567759972359777E-2</v>
      </c>
      <c r="H105">
        <v>1.2567759972359777E-5</v>
      </c>
      <c r="I105">
        <v>0.89231095803754423</v>
      </c>
      <c r="J105">
        <v>8.9231095803754426E-4</v>
      </c>
      <c r="K105">
        <v>71</v>
      </c>
    </row>
    <row r="106" spans="1:11" x14ac:dyDescent="0.25">
      <c r="A106" t="s">
        <v>121</v>
      </c>
      <c r="B106" t="s">
        <v>223</v>
      </c>
      <c r="C106" t="s">
        <v>265</v>
      </c>
      <c r="D106" t="s">
        <v>192</v>
      </c>
      <c r="E106">
        <v>35.3401809682398</v>
      </c>
      <c r="F106">
        <v>6.8941506479999984E-2</v>
      </c>
      <c r="G106">
        <v>2.4364053152262763</v>
      </c>
      <c r="H106">
        <v>2.4364053152262765E-3</v>
      </c>
      <c r="I106">
        <v>172.98477738106561</v>
      </c>
      <c r="J106">
        <v>0.1729847773810656</v>
      </c>
      <c r="K106">
        <v>71</v>
      </c>
    </row>
    <row r="107" spans="1:11" x14ac:dyDescent="0.25">
      <c r="A107" t="s">
        <v>121</v>
      </c>
      <c r="B107" t="s">
        <v>209</v>
      </c>
      <c r="C107" t="s">
        <v>265</v>
      </c>
      <c r="D107" t="s">
        <v>192</v>
      </c>
      <c r="E107">
        <v>4.8191155865781496</v>
      </c>
      <c r="F107">
        <v>4.6595656799999996E-2</v>
      </c>
      <c r="G107">
        <v>0.22454985595172613</v>
      </c>
      <c r="H107">
        <v>2.2454985595172613E-4</v>
      </c>
      <c r="I107">
        <v>15.943039772572556</v>
      </c>
      <c r="J107">
        <v>1.5943039772572557E-2</v>
      </c>
      <c r="K107">
        <v>71</v>
      </c>
    </row>
    <row r="108" spans="1:11" x14ac:dyDescent="0.25">
      <c r="A108" t="s">
        <v>121</v>
      </c>
      <c r="B108" t="s">
        <v>153</v>
      </c>
      <c r="C108" t="s">
        <v>265</v>
      </c>
      <c r="D108" t="s">
        <v>284</v>
      </c>
      <c r="E108">
        <v>15.070688743480799</v>
      </c>
      <c r="F108">
        <v>8.9581977249855544</v>
      </c>
      <c r="G108">
        <v>135.0062096158151</v>
      </c>
      <c r="H108">
        <v>0.13500620961581508</v>
      </c>
      <c r="I108">
        <v>9585.4408827228726</v>
      </c>
      <c r="J108">
        <v>9.5854408827228728</v>
      </c>
      <c r="K108">
        <v>71</v>
      </c>
    </row>
    <row r="109" spans="1:11" x14ac:dyDescent="0.25">
      <c r="A109" t="s">
        <v>121</v>
      </c>
      <c r="B109" t="s">
        <v>210</v>
      </c>
      <c r="C109" t="s">
        <v>265</v>
      </c>
      <c r="D109" t="s">
        <v>192</v>
      </c>
      <c r="E109">
        <v>257.01949795083499</v>
      </c>
      <c r="F109">
        <v>5.9848432000000007E-2</v>
      </c>
      <c r="G109">
        <v>15.38221394578469</v>
      </c>
      <c r="H109">
        <v>1.5382213945784691E-2</v>
      </c>
      <c r="I109">
        <v>1092.137190150713</v>
      </c>
      <c r="J109">
        <v>1.0921371901507129</v>
      </c>
      <c r="K109">
        <v>71</v>
      </c>
    </row>
    <row r="110" spans="1:11" x14ac:dyDescent="0.25">
      <c r="A110" t="s">
        <v>123</v>
      </c>
      <c r="B110" t="s">
        <v>224</v>
      </c>
      <c r="C110" t="s">
        <v>268</v>
      </c>
      <c r="D110" t="s">
        <v>192</v>
      </c>
      <c r="E110">
        <v>0.28692722134874998</v>
      </c>
      <c r="F110">
        <v>5.15865E-2</v>
      </c>
      <c r="G110">
        <v>1.4801571104107292E-2</v>
      </c>
      <c r="H110">
        <v>1.4801571104107291E-5</v>
      </c>
      <c r="I110">
        <v>0.41444399091500417</v>
      </c>
      <c r="J110">
        <v>4.1444399091500415E-4</v>
      </c>
      <c r="K110">
        <v>28</v>
      </c>
    </row>
    <row r="111" spans="1:11" x14ac:dyDescent="0.25">
      <c r="A111" t="s">
        <v>123</v>
      </c>
      <c r="B111" t="s">
        <v>195</v>
      </c>
      <c r="C111" t="s">
        <v>268</v>
      </c>
      <c r="D111" t="s">
        <v>192</v>
      </c>
      <c r="E111">
        <v>0.28692722134874998</v>
      </c>
      <c r="F111">
        <v>2.7238249999999999E-2</v>
      </c>
      <c r="G111">
        <v>7.8153953869025891E-3</v>
      </c>
      <c r="H111">
        <v>7.8153953869025896E-6</v>
      </c>
      <c r="I111">
        <v>0.2188310708332725</v>
      </c>
      <c r="J111">
        <v>2.1883107083327249E-4</v>
      </c>
      <c r="K111">
        <v>28</v>
      </c>
    </row>
    <row r="112" spans="1:11" x14ac:dyDescent="0.25">
      <c r="A112" t="s">
        <v>123</v>
      </c>
      <c r="B112" t="s">
        <v>196</v>
      </c>
      <c r="C112" t="s">
        <v>268</v>
      </c>
      <c r="D112" t="s">
        <v>197</v>
      </c>
      <c r="E112">
        <v>66.280188131561303</v>
      </c>
      <c r="F112">
        <v>7.4155518083496533E-2</v>
      </c>
      <c r="G112">
        <v>4.9150416895675466</v>
      </c>
      <c r="H112">
        <v>4.9150416895675465E-3</v>
      </c>
      <c r="I112">
        <v>137.62116730789131</v>
      </c>
      <c r="J112">
        <v>0.13762116730789131</v>
      </c>
      <c r="K112">
        <v>28</v>
      </c>
    </row>
    <row r="113" spans="1:11" x14ac:dyDescent="0.25">
      <c r="A113" t="s">
        <v>123</v>
      </c>
      <c r="B113" t="s">
        <v>231</v>
      </c>
      <c r="C113" t="s">
        <v>268</v>
      </c>
      <c r="D113" t="s">
        <v>192</v>
      </c>
      <c r="E113">
        <v>0.28692722134874998</v>
      </c>
      <c r="F113">
        <v>9.0458812499999999E-2</v>
      </c>
      <c r="G113">
        <v>2.5955095717132573E-2</v>
      </c>
      <c r="H113">
        <v>2.5955095717132572E-5</v>
      </c>
      <c r="I113">
        <v>0.7267426800797121</v>
      </c>
      <c r="J113">
        <v>7.2674268007971211E-4</v>
      </c>
      <c r="K113">
        <v>28</v>
      </c>
    </row>
    <row r="114" spans="1:11" x14ac:dyDescent="0.25">
      <c r="A114" t="s">
        <v>123</v>
      </c>
      <c r="B114" t="s">
        <v>173</v>
      </c>
      <c r="C114" t="s">
        <v>268</v>
      </c>
      <c r="D114" t="s">
        <v>285</v>
      </c>
      <c r="E114">
        <v>108.17156244847899</v>
      </c>
      <c r="F114">
        <v>1.679436727556531</v>
      </c>
      <c r="G114">
        <v>181.66729485315048</v>
      </c>
      <c r="H114">
        <v>0.18166729485315047</v>
      </c>
      <c r="I114">
        <v>5086.6842558882136</v>
      </c>
      <c r="J114">
        <v>5.0866842558882137</v>
      </c>
      <c r="K114">
        <v>28</v>
      </c>
    </row>
    <row r="115" spans="1:11" x14ac:dyDescent="0.25">
      <c r="A115" t="s">
        <v>123</v>
      </c>
      <c r="B115" t="s">
        <v>166</v>
      </c>
      <c r="C115" t="s">
        <v>268</v>
      </c>
      <c r="D115" t="s">
        <v>285</v>
      </c>
      <c r="E115">
        <v>40.2176321923831</v>
      </c>
      <c r="F115">
        <v>3.0571734027428632</v>
      </c>
      <c r="G115">
        <v>122.95227545984876</v>
      </c>
      <c r="H115">
        <v>0.12295227545984877</v>
      </c>
      <c r="I115">
        <v>3442.6637128757652</v>
      </c>
      <c r="J115">
        <v>3.4426637128757651</v>
      </c>
      <c r="K115">
        <v>28</v>
      </c>
    </row>
    <row r="116" spans="1:11" x14ac:dyDescent="0.25">
      <c r="A116" t="s">
        <v>123</v>
      </c>
      <c r="B116" t="s">
        <v>225</v>
      </c>
      <c r="C116" t="s">
        <v>268</v>
      </c>
      <c r="D116" t="s">
        <v>192</v>
      </c>
      <c r="E116">
        <v>0.28692722134874998</v>
      </c>
      <c r="F116">
        <v>5.15865E-2</v>
      </c>
      <c r="G116">
        <v>1.4801571104107292E-2</v>
      </c>
      <c r="H116">
        <v>1.4801571104107291E-5</v>
      </c>
      <c r="I116">
        <v>0.41444399091500417</v>
      </c>
      <c r="J116">
        <v>4.1444399091500415E-4</v>
      </c>
      <c r="K116">
        <v>28</v>
      </c>
    </row>
    <row r="117" spans="1:11" x14ac:dyDescent="0.25">
      <c r="A117" t="s">
        <v>123</v>
      </c>
      <c r="B117" t="s">
        <v>184</v>
      </c>
      <c r="C117" t="s">
        <v>268</v>
      </c>
      <c r="D117" t="s">
        <v>285</v>
      </c>
      <c r="E117">
        <v>5.5472596127424998</v>
      </c>
      <c r="F117">
        <v>1.8196465307268388</v>
      </c>
      <c r="G117">
        <v>10.094051709367998</v>
      </c>
      <c r="H117">
        <v>1.0094051709367998E-2</v>
      </c>
      <c r="I117">
        <v>282.63344786230391</v>
      </c>
      <c r="J117">
        <v>0.28263344786230393</v>
      </c>
      <c r="K117">
        <v>28</v>
      </c>
    </row>
    <row r="118" spans="1:11" x14ac:dyDescent="0.25">
      <c r="A118" t="s">
        <v>123</v>
      </c>
      <c r="B118" t="s">
        <v>202</v>
      </c>
      <c r="C118" t="s">
        <v>268</v>
      </c>
      <c r="D118" t="s">
        <v>192</v>
      </c>
      <c r="E118">
        <v>0.28692722134874998</v>
      </c>
      <c r="F118">
        <v>2.4500860000000002E-3</v>
      </c>
      <c r="G118">
        <v>7.0299636804547355E-4</v>
      </c>
      <c r="H118">
        <v>7.0299636804547353E-7</v>
      </c>
      <c r="I118">
        <v>1.968389830527326E-2</v>
      </c>
      <c r="J118">
        <v>1.968389830527326E-5</v>
      </c>
      <c r="K118">
        <v>28</v>
      </c>
    </row>
    <row r="119" spans="1:11" x14ac:dyDescent="0.25">
      <c r="A119" t="s">
        <v>123</v>
      </c>
      <c r="B119" t="s">
        <v>204</v>
      </c>
      <c r="C119" t="s">
        <v>268</v>
      </c>
      <c r="D119" t="s">
        <v>192</v>
      </c>
      <c r="E119">
        <v>0.57385444269749997</v>
      </c>
      <c r="F119">
        <v>4.9920909999999997E-3</v>
      </c>
      <c r="G119">
        <v>2.8647335987002052E-3</v>
      </c>
      <c r="H119">
        <v>2.8647335987002053E-6</v>
      </c>
      <c r="I119">
        <v>8.0212540763605747E-2</v>
      </c>
      <c r="J119">
        <v>8.0212540763605753E-5</v>
      </c>
      <c r="K119">
        <v>28</v>
      </c>
    </row>
    <row r="120" spans="1:11" x14ac:dyDescent="0.25">
      <c r="A120" t="s">
        <v>123</v>
      </c>
      <c r="B120" t="s">
        <v>205</v>
      </c>
      <c r="C120" t="s">
        <v>268</v>
      </c>
      <c r="D120" t="s">
        <v>192</v>
      </c>
      <c r="E120">
        <v>1.1477088853949999</v>
      </c>
      <c r="F120">
        <v>4.1933834999999999E-3</v>
      </c>
      <c r="G120">
        <v>4.8127835028187833E-3</v>
      </c>
      <c r="H120">
        <v>4.8127835028187831E-6</v>
      </c>
      <c r="I120">
        <v>0.13475793807892594</v>
      </c>
      <c r="J120">
        <v>1.3475793807892595E-4</v>
      </c>
      <c r="K120">
        <v>28</v>
      </c>
    </row>
    <row r="121" spans="1:11" x14ac:dyDescent="0.25">
      <c r="A121" t="s">
        <v>123</v>
      </c>
      <c r="B121" t="s">
        <v>226</v>
      </c>
      <c r="C121" t="s">
        <v>268</v>
      </c>
      <c r="D121" t="s">
        <v>192</v>
      </c>
      <c r="E121">
        <v>2.8692722134875002</v>
      </c>
      <c r="F121">
        <v>4.3793904000000005E-3</v>
      </c>
      <c r="G121">
        <v>1.2565663186733911E-2</v>
      </c>
      <c r="H121">
        <v>1.2565663186733912E-5</v>
      </c>
      <c r="I121">
        <v>0.3518385692285495</v>
      </c>
      <c r="J121">
        <v>3.5183856922854948E-4</v>
      </c>
      <c r="K121">
        <v>28</v>
      </c>
    </row>
    <row r="122" spans="1:11" x14ac:dyDescent="0.25">
      <c r="A122" t="s">
        <v>123</v>
      </c>
      <c r="B122" t="s">
        <v>161</v>
      </c>
      <c r="C122" t="s">
        <v>268</v>
      </c>
      <c r="D122" t="s">
        <v>284</v>
      </c>
      <c r="E122">
        <v>4.1604447095568799</v>
      </c>
      <c r="F122">
        <v>4.9676584908640002</v>
      </c>
      <c r="G122">
        <v>20.667668487200444</v>
      </c>
      <c r="H122">
        <v>2.0667668487200443E-2</v>
      </c>
      <c r="I122">
        <v>578.69471764161244</v>
      </c>
      <c r="J122">
        <v>0.5786947176416124</v>
      </c>
      <c r="K122">
        <v>28</v>
      </c>
    </row>
    <row r="123" spans="1:11" x14ac:dyDescent="0.25">
      <c r="A123" t="s">
        <v>123</v>
      </c>
      <c r="B123" t="s">
        <v>181</v>
      </c>
      <c r="C123" t="s">
        <v>268</v>
      </c>
      <c r="D123" t="s">
        <v>284</v>
      </c>
      <c r="E123">
        <v>79.048449481580604</v>
      </c>
      <c r="F123">
        <v>11.268944622656033</v>
      </c>
      <c r="G123">
        <v>890.79259971475483</v>
      </c>
      <c r="H123">
        <v>0.89079259971475477</v>
      </c>
      <c r="I123">
        <v>24942.192792013135</v>
      </c>
      <c r="J123">
        <v>24.942192792013135</v>
      </c>
      <c r="K123">
        <v>28</v>
      </c>
    </row>
    <row r="124" spans="1:11" x14ac:dyDescent="0.25">
      <c r="A124" t="s">
        <v>123</v>
      </c>
      <c r="B124" t="s">
        <v>186</v>
      </c>
      <c r="C124" t="s">
        <v>268</v>
      </c>
      <c r="D124" t="s">
        <v>284</v>
      </c>
      <c r="E124">
        <v>56.859411030610602</v>
      </c>
      <c r="F124">
        <v>48.84230077048413</v>
      </c>
      <c r="G124">
        <v>2777.1444551896661</v>
      </c>
      <c r="H124">
        <v>2.7771444551896662</v>
      </c>
      <c r="I124">
        <v>77760.044745310646</v>
      </c>
      <c r="J124">
        <v>77.760044745310651</v>
      </c>
      <c r="K124">
        <v>28</v>
      </c>
    </row>
    <row r="125" spans="1:11" x14ac:dyDescent="0.25">
      <c r="A125" t="s">
        <v>123</v>
      </c>
      <c r="B125" t="s">
        <v>227</v>
      </c>
      <c r="C125" t="s">
        <v>268</v>
      </c>
      <c r="D125" t="s">
        <v>192</v>
      </c>
      <c r="E125">
        <v>0.860781664046251</v>
      </c>
      <c r="F125">
        <v>4.5406861499999999E-2</v>
      </c>
      <c r="G125">
        <v>3.9085393801087651E-2</v>
      </c>
      <c r="H125">
        <v>3.9085393801087648E-5</v>
      </c>
      <c r="I125">
        <v>1.0943910264304542</v>
      </c>
      <c r="J125">
        <v>1.0943910264304541E-3</v>
      </c>
      <c r="K125">
        <v>28</v>
      </c>
    </row>
    <row r="126" spans="1:11" x14ac:dyDescent="0.25">
      <c r="A126" t="s">
        <v>123</v>
      </c>
      <c r="B126" t="s">
        <v>221</v>
      </c>
      <c r="C126" t="s">
        <v>268</v>
      </c>
      <c r="D126" t="s">
        <v>192</v>
      </c>
      <c r="E126">
        <v>0.28692722134874998</v>
      </c>
      <c r="F126">
        <v>4.2584499999999997E-2</v>
      </c>
      <c r="G126">
        <v>1.2218652257525843E-2</v>
      </c>
      <c r="H126">
        <v>1.2218652257525843E-5</v>
      </c>
      <c r="I126">
        <v>0.34212226321072359</v>
      </c>
      <c r="J126">
        <v>3.421222632107236E-4</v>
      </c>
      <c r="K126">
        <v>28</v>
      </c>
    </row>
    <row r="127" spans="1:11" x14ac:dyDescent="0.25">
      <c r="A127" t="s">
        <v>123</v>
      </c>
      <c r="B127" t="s">
        <v>223</v>
      </c>
      <c r="C127" t="s">
        <v>268</v>
      </c>
      <c r="D127" t="s">
        <v>192</v>
      </c>
      <c r="E127">
        <v>1.7215633280925</v>
      </c>
      <c r="F127">
        <v>5.1366874533333336E-2</v>
      </c>
      <c r="G127">
        <v>8.8431327475315222E-2</v>
      </c>
      <c r="H127">
        <v>8.8431327475315224E-5</v>
      </c>
      <c r="I127">
        <v>2.4760771693088262</v>
      </c>
      <c r="J127">
        <v>2.4760771693088262E-3</v>
      </c>
      <c r="K127">
        <v>28</v>
      </c>
    </row>
    <row r="128" spans="1:11" x14ac:dyDescent="0.25">
      <c r="A128" t="s">
        <v>123</v>
      </c>
      <c r="B128" t="s">
        <v>153</v>
      </c>
      <c r="C128" t="s">
        <v>268</v>
      </c>
      <c r="D128" t="s">
        <v>284</v>
      </c>
      <c r="E128">
        <v>1.3868149031856301</v>
      </c>
      <c r="F128">
        <v>8.8858931502862699</v>
      </c>
      <c r="G128">
        <v>12.323089048932106</v>
      </c>
      <c r="H128">
        <v>1.2323089048932106E-2</v>
      </c>
      <c r="I128">
        <v>345.04649337009897</v>
      </c>
      <c r="J128">
        <v>0.34504649337009896</v>
      </c>
      <c r="K128">
        <v>28</v>
      </c>
    </row>
    <row r="129" spans="1:11" x14ac:dyDescent="0.25">
      <c r="A129" t="s">
        <v>123</v>
      </c>
      <c r="B129" t="s">
        <v>210</v>
      </c>
      <c r="C129" t="s">
        <v>268</v>
      </c>
      <c r="D129" t="s">
        <v>192</v>
      </c>
      <c r="E129">
        <v>6.0254716483237498</v>
      </c>
      <c r="F129">
        <v>4.4294638499999997E-2</v>
      </c>
      <c r="G129">
        <v>0.26689608845449964</v>
      </c>
      <c r="H129">
        <v>2.6689608845449961E-4</v>
      </c>
      <c r="I129">
        <v>7.4730904767259894</v>
      </c>
      <c r="J129">
        <v>7.4730904767259894E-3</v>
      </c>
      <c r="K129">
        <v>28</v>
      </c>
    </row>
    <row r="130" spans="1:11" x14ac:dyDescent="0.25">
      <c r="A130" t="s">
        <v>125</v>
      </c>
      <c r="B130" t="s">
        <v>172</v>
      </c>
      <c r="C130" t="s">
        <v>259</v>
      </c>
      <c r="D130" t="s">
        <v>281</v>
      </c>
      <c r="E130">
        <v>10.8878633101088</v>
      </c>
      <c r="F130">
        <v>0.86246062125286527</v>
      </c>
      <c r="G130">
        <v>9.3903533545527136</v>
      </c>
      <c r="H130">
        <v>9.3903533545527142E-3</v>
      </c>
      <c r="I130">
        <v>450.73696101853022</v>
      </c>
      <c r="J130">
        <v>0.45073696101853022</v>
      </c>
      <c r="K130">
        <v>48</v>
      </c>
    </row>
    <row r="131" spans="1:11" x14ac:dyDescent="0.25">
      <c r="A131" t="s">
        <v>125</v>
      </c>
      <c r="B131" t="s">
        <v>195</v>
      </c>
      <c r="C131" t="s">
        <v>259</v>
      </c>
      <c r="D131" t="s">
        <v>192</v>
      </c>
      <c r="E131">
        <v>1.4639143946364801</v>
      </c>
      <c r="F131">
        <v>2.3264279999999998E-2</v>
      </c>
      <c r="G131">
        <v>3.4056914372853568E-2</v>
      </c>
      <c r="H131">
        <v>3.405691437285357E-5</v>
      </c>
      <c r="I131">
        <v>1.6347318898969712</v>
      </c>
      <c r="J131">
        <v>1.6347318898969712E-3</v>
      </c>
      <c r="K131">
        <v>48</v>
      </c>
    </row>
    <row r="132" spans="1:11" x14ac:dyDescent="0.25">
      <c r="A132" t="s">
        <v>125</v>
      </c>
      <c r="B132" t="s">
        <v>196</v>
      </c>
      <c r="C132" t="s">
        <v>259</v>
      </c>
      <c r="D132" t="s">
        <v>197</v>
      </c>
      <c r="E132">
        <v>57.824618588141</v>
      </c>
      <c r="F132">
        <v>8.0048080335310315E-2</v>
      </c>
      <c r="G132">
        <v>4.6287497141021889</v>
      </c>
      <c r="H132">
        <v>4.6287497141021886E-3</v>
      </c>
      <c r="I132">
        <v>222.17998627690508</v>
      </c>
      <c r="J132">
        <v>0.22217998627690508</v>
      </c>
      <c r="K132">
        <v>48</v>
      </c>
    </row>
    <row r="133" spans="1:11" x14ac:dyDescent="0.25">
      <c r="A133" t="s">
        <v>125</v>
      </c>
      <c r="B133" t="s">
        <v>173</v>
      </c>
      <c r="C133" t="s">
        <v>259</v>
      </c>
      <c r="D133" t="s">
        <v>285</v>
      </c>
      <c r="E133">
        <v>362.92877700362698</v>
      </c>
      <c r="F133">
        <v>1.3680301866006472</v>
      </c>
      <c r="G133">
        <v>496.49752252701649</v>
      </c>
      <c r="H133">
        <v>0.49649752252701651</v>
      </c>
      <c r="I133">
        <v>23831.881081296793</v>
      </c>
      <c r="J133">
        <v>23.831881081296793</v>
      </c>
      <c r="K133">
        <v>48</v>
      </c>
    </row>
    <row r="134" spans="1:11" x14ac:dyDescent="0.25">
      <c r="A134" t="s">
        <v>125</v>
      </c>
      <c r="B134" t="s">
        <v>167</v>
      </c>
      <c r="C134" t="s">
        <v>259</v>
      </c>
      <c r="D134" t="s">
        <v>284</v>
      </c>
      <c r="E134">
        <v>43.551453240435301</v>
      </c>
      <c r="F134">
        <v>1.096044411525676</v>
      </c>
      <c r="G134">
        <v>47.734326938000905</v>
      </c>
      <c r="H134">
        <v>4.7734326938000907E-2</v>
      </c>
      <c r="I134">
        <v>2291.2476930240437</v>
      </c>
      <c r="J134">
        <v>2.2912476930240437</v>
      </c>
      <c r="K134">
        <v>48</v>
      </c>
    </row>
    <row r="135" spans="1:11" x14ac:dyDescent="0.25">
      <c r="A135" t="s">
        <v>125</v>
      </c>
      <c r="B135" t="s">
        <v>166</v>
      </c>
      <c r="C135" t="s">
        <v>259</v>
      </c>
      <c r="D135" t="s">
        <v>285</v>
      </c>
      <c r="E135">
        <v>428.25595686427999</v>
      </c>
      <c r="F135">
        <v>3.208378996158868</v>
      </c>
      <c r="G135">
        <v>1374.0074169832742</v>
      </c>
      <c r="H135">
        <v>1.3740074169832741</v>
      </c>
      <c r="I135">
        <v>65952.356015197161</v>
      </c>
      <c r="J135">
        <v>65.952356015197168</v>
      </c>
      <c r="K135">
        <v>48</v>
      </c>
    </row>
    <row r="136" spans="1:11" x14ac:dyDescent="0.25">
      <c r="A136" t="s">
        <v>125</v>
      </c>
      <c r="B136" t="s">
        <v>198</v>
      </c>
      <c r="C136" t="s">
        <v>259</v>
      </c>
      <c r="D136" t="s">
        <v>290</v>
      </c>
      <c r="E136">
        <v>135.41208150387399</v>
      </c>
      <c r="F136">
        <v>0.10206066817006447</v>
      </c>
      <c r="G136">
        <v>13.820247516584608</v>
      </c>
      <c r="H136">
        <v>1.3820247516584607E-2</v>
      </c>
      <c r="I136">
        <v>663.37188079606119</v>
      </c>
      <c r="J136">
        <v>0.66337188079606124</v>
      </c>
      <c r="K136">
        <v>48</v>
      </c>
    </row>
    <row r="137" spans="1:11" x14ac:dyDescent="0.25">
      <c r="A137" t="s">
        <v>125</v>
      </c>
      <c r="B137" t="s">
        <v>204</v>
      </c>
      <c r="C137" t="s">
        <v>259</v>
      </c>
      <c r="D137" t="s">
        <v>192</v>
      </c>
      <c r="E137">
        <v>1.4639143946364801</v>
      </c>
      <c r="F137">
        <v>4.0967659999999999E-3</v>
      </c>
      <c r="G137">
        <v>5.9973147188573141E-3</v>
      </c>
      <c r="H137">
        <v>5.9973147188573138E-6</v>
      </c>
      <c r="I137">
        <v>0.28787110650515108</v>
      </c>
      <c r="J137">
        <v>2.8787110650515109E-4</v>
      </c>
      <c r="K137">
        <v>48</v>
      </c>
    </row>
    <row r="138" spans="1:11" x14ac:dyDescent="0.25">
      <c r="A138" t="s">
        <v>125</v>
      </c>
      <c r="B138" t="s">
        <v>205</v>
      </c>
      <c r="C138" t="s">
        <v>259</v>
      </c>
      <c r="D138" t="s">
        <v>192</v>
      </c>
      <c r="E138">
        <v>0.73195719731824005</v>
      </c>
      <c r="F138">
        <v>2.8098559999999999E-3</v>
      </c>
      <c r="G138">
        <v>2.0566943226278406E-3</v>
      </c>
      <c r="H138">
        <v>2.0566943226278408E-6</v>
      </c>
      <c r="I138">
        <v>9.8721327486136351E-2</v>
      </c>
      <c r="J138">
        <v>9.8721327486136346E-5</v>
      </c>
      <c r="K138">
        <v>48</v>
      </c>
    </row>
    <row r="139" spans="1:11" x14ac:dyDescent="0.25">
      <c r="A139" t="s">
        <v>125</v>
      </c>
      <c r="B139" t="s">
        <v>226</v>
      </c>
      <c r="C139" t="s">
        <v>259</v>
      </c>
      <c r="D139" t="s">
        <v>192</v>
      </c>
      <c r="E139">
        <v>3.6597859865912001</v>
      </c>
      <c r="F139">
        <v>3.8131563999999991E-3</v>
      </c>
      <c r="G139">
        <v>1.3955336357400545E-2</v>
      </c>
      <c r="H139">
        <v>1.3955336357400545E-5</v>
      </c>
      <c r="I139">
        <v>0.66985614515522618</v>
      </c>
      <c r="J139">
        <v>6.698561451552262E-4</v>
      </c>
      <c r="K139">
        <v>48</v>
      </c>
    </row>
    <row r="140" spans="1:11" x14ac:dyDescent="0.25">
      <c r="A140" t="s">
        <v>125</v>
      </c>
      <c r="B140" t="s">
        <v>230</v>
      </c>
      <c r="C140" t="s">
        <v>259</v>
      </c>
      <c r="D140" t="s">
        <v>192</v>
      </c>
      <c r="E140">
        <v>0.73195719731824005</v>
      </c>
      <c r="F140">
        <v>8.1064499999999994E-3</v>
      </c>
      <c r="G140">
        <v>5.933574422200447E-3</v>
      </c>
      <c r="H140">
        <v>5.933574422200447E-6</v>
      </c>
      <c r="I140">
        <v>0.28481157226562148</v>
      </c>
      <c r="J140">
        <v>2.8481157226562149E-4</v>
      </c>
      <c r="K140">
        <v>48</v>
      </c>
    </row>
    <row r="141" spans="1:11" x14ac:dyDescent="0.25">
      <c r="A141" t="s">
        <v>125</v>
      </c>
      <c r="B141" t="s">
        <v>223</v>
      </c>
      <c r="C141" t="s">
        <v>259</v>
      </c>
      <c r="D141" t="s">
        <v>192</v>
      </c>
      <c r="E141">
        <v>3.6597859865912001</v>
      </c>
      <c r="F141">
        <v>6.3036000719999999E-2</v>
      </c>
      <c r="G141">
        <v>0.23069827208580879</v>
      </c>
      <c r="H141">
        <v>2.3069827208580879E-4</v>
      </c>
      <c r="I141">
        <v>11.073517060118821</v>
      </c>
      <c r="J141">
        <v>1.1073517060118821E-2</v>
      </c>
      <c r="K141">
        <v>48</v>
      </c>
    </row>
    <row r="142" spans="1:11" x14ac:dyDescent="0.25">
      <c r="A142" t="s">
        <v>125</v>
      </c>
      <c r="B142" t="s">
        <v>210</v>
      </c>
      <c r="C142" t="s">
        <v>259</v>
      </c>
      <c r="D142" t="s">
        <v>192</v>
      </c>
      <c r="E142">
        <v>125.896637938737</v>
      </c>
      <c r="F142">
        <v>5.6769245999999995E-2</v>
      </c>
      <c r="G142">
        <v>7.1470572097170928</v>
      </c>
      <c r="H142">
        <v>7.1470572097170927E-3</v>
      </c>
      <c r="I142">
        <v>343.05874606642044</v>
      </c>
      <c r="J142">
        <v>0.34305874606642045</v>
      </c>
      <c r="K142">
        <v>48</v>
      </c>
    </row>
    <row r="143" spans="1:11" x14ac:dyDescent="0.25">
      <c r="A143" t="s">
        <v>127</v>
      </c>
      <c r="B143" t="s">
        <v>224</v>
      </c>
      <c r="C143" t="s">
        <v>269</v>
      </c>
      <c r="D143" t="s">
        <v>192</v>
      </c>
      <c r="E143">
        <v>3.07422022873661</v>
      </c>
      <c r="F143">
        <v>8.4744138499999996E-2</v>
      </c>
      <c r="G143">
        <v>0.26052214484355696</v>
      </c>
      <c r="H143">
        <v>2.6052214484355697E-4</v>
      </c>
      <c r="I143">
        <v>3.6473100278097972</v>
      </c>
      <c r="J143">
        <v>3.6473100278097974E-3</v>
      </c>
      <c r="K143">
        <v>14</v>
      </c>
    </row>
    <row r="144" spans="1:11" x14ac:dyDescent="0.25">
      <c r="A144" t="s">
        <v>127</v>
      </c>
      <c r="B144" t="s">
        <v>194</v>
      </c>
      <c r="C144" t="s">
        <v>269</v>
      </c>
      <c r="D144" t="s">
        <v>192</v>
      </c>
      <c r="E144">
        <v>1.0247400762455401</v>
      </c>
      <c r="F144">
        <v>2.4378480000000001E-2</v>
      </c>
      <c r="G144">
        <v>2.4981605453950374E-2</v>
      </c>
      <c r="H144">
        <v>2.4981605453950373E-5</v>
      </c>
      <c r="I144">
        <v>0.34974247635530525</v>
      </c>
      <c r="J144">
        <v>3.4974247635530524E-4</v>
      </c>
      <c r="K144">
        <v>14</v>
      </c>
    </row>
    <row r="145" spans="1:11" x14ac:dyDescent="0.25">
      <c r="A145" t="s">
        <v>127</v>
      </c>
      <c r="B145" t="s">
        <v>195</v>
      </c>
      <c r="C145" t="s">
        <v>269</v>
      </c>
      <c r="D145" t="s">
        <v>192</v>
      </c>
      <c r="E145">
        <v>1.0247400762455401</v>
      </c>
      <c r="F145">
        <v>9.028590999999999E-3</v>
      </c>
      <c r="G145">
        <v>9.2519590297297956E-3</v>
      </c>
      <c r="H145">
        <v>9.251959029729796E-6</v>
      </c>
      <c r="I145">
        <v>0.12952742641621715</v>
      </c>
      <c r="J145">
        <v>1.2952742641621714E-4</v>
      </c>
      <c r="K145">
        <v>14</v>
      </c>
    </row>
    <row r="146" spans="1:11" x14ac:dyDescent="0.25">
      <c r="A146" t="s">
        <v>127</v>
      </c>
      <c r="B146" t="s">
        <v>196</v>
      </c>
      <c r="C146" t="s">
        <v>269</v>
      </c>
      <c r="D146" t="s">
        <v>197</v>
      </c>
      <c r="E146">
        <v>332.52815474167699</v>
      </c>
      <c r="F146">
        <v>3.7523941699983451E-2</v>
      </c>
      <c r="G146">
        <v>12.477767092129763</v>
      </c>
      <c r="H146">
        <v>1.2477767092129763E-2</v>
      </c>
      <c r="I146">
        <v>174.68873928981668</v>
      </c>
      <c r="J146">
        <v>0.17468873928981668</v>
      </c>
      <c r="K146">
        <v>14</v>
      </c>
    </row>
    <row r="147" spans="1:11" x14ac:dyDescent="0.25">
      <c r="A147" t="s">
        <v>127</v>
      </c>
      <c r="B147" t="s">
        <v>173</v>
      </c>
      <c r="C147" t="s">
        <v>269</v>
      </c>
      <c r="D147" t="s">
        <v>285</v>
      </c>
      <c r="E147">
        <v>486.75153621662997</v>
      </c>
      <c r="F147">
        <v>1.527221326682247</v>
      </c>
      <c r="G147">
        <v>743.37732690538337</v>
      </c>
      <c r="H147">
        <v>0.74337732690538338</v>
      </c>
      <c r="I147">
        <v>10407.282576675367</v>
      </c>
      <c r="J147">
        <v>10.407282576675367</v>
      </c>
      <c r="K147">
        <v>14</v>
      </c>
    </row>
    <row r="148" spans="1:11" x14ac:dyDescent="0.25">
      <c r="A148" t="s">
        <v>127</v>
      </c>
      <c r="B148" t="s">
        <v>167</v>
      </c>
      <c r="C148" t="s">
        <v>269</v>
      </c>
      <c r="D148" t="s">
        <v>284</v>
      </c>
      <c r="E148">
        <v>12.809250953069199</v>
      </c>
      <c r="F148">
        <v>1.7835913676832229</v>
      </c>
      <c r="G148">
        <v>22.84646942638232</v>
      </c>
      <c r="H148">
        <v>2.284646942638232E-2</v>
      </c>
      <c r="I148">
        <v>319.85057196935247</v>
      </c>
      <c r="J148">
        <v>0.31985057196935246</v>
      </c>
      <c r="K148">
        <v>14</v>
      </c>
    </row>
    <row r="149" spans="1:11" x14ac:dyDescent="0.25">
      <c r="A149" t="s">
        <v>127</v>
      </c>
      <c r="B149" t="s">
        <v>166</v>
      </c>
      <c r="C149" t="s">
        <v>269</v>
      </c>
      <c r="D149" t="s">
        <v>285</v>
      </c>
      <c r="E149">
        <v>621.24867122385604</v>
      </c>
      <c r="F149">
        <v>2.9304165944441523</v>
      </c>
      <c r="G149">
        <v>1820.517415430767</v>
      </c>
      <c r="H149">
        <v>1.8205174154307671</v>
      </c>
      <c r="I149">
        <v>25487.243816030736</v>
      </c>
      <c r="J149">
        <v>25.487243816030734</v>
      </c>
      <c r="K149">
        <v>14</v>
      </c>
    </row>
    <row r="150" spans="1:11" x14ac:dyDescent="0.25">
      <c r="A150" t="s">
        <v>127</v>
      </c>
      <c r="B150" t="s">
        <v>198</v>
      </c>
      <c r="C150" t="s">
        <v>269</v>
      </c>
      <c r="D150" t="s">
        <v>290</v>
      </c>
      <c r="E150">
        <v>21.519541601156298</v>
      </c>
      <c r="F150">
        <v>0.12242595381548298</v>
      </c>
      <c r="G150">
        <v>2.6345504061935254</v>
      </c>
      <c r="H150">
        <v>2.6345504061935253E-3</v>
      </c>
      <c r="I150">
        <v>36.883705686709355</v>
      </c>
      <c r="J150">
        <v>3.6883705686709352E-2</v>
      </c>
      <c r="K150">
        <v>14</v>
      </c>
    </row>
    <row r="151" spans="1:11" x14ac:dyDescent="0.25">
      <c r="A151" t="s">
        <v>127</v>
      </c>
      <c r="B151" t="s">
        <v>225</v>
      </c>
      <c r="C151" t="s">
        <v>269</v>
      </c>
      <c r="D151" t="s">
        <v>192</v>
      </c>
      <c r="E151">
        <v>7.68555057184152</v>
      </c>
      <c r="F151">
        <v>0.13961322970000001</v>
      </c>
      <c r="G151">
        <v>1.0730045373574766</v>
      </c>
      <c r="H151">
        <v>1.0730045373574767E-3</v>
      </c>
      <c r="I151">
        <v>15.022063523004672</v>
      </c>
      <c r="J151">
        <v>1.5022063523004671E-2</v>
      </c>
      <c r="K151">
        <v>14</v>
      </c>
    </row>
    <row r="152" spans="1:11" x14ac:dyDescent="0.25">
      <c r="A152" t="s">
        <v>127</v>
      </c>
      <c r="B152" t="s">
        <v>184</v>
      </c>
      <c r="C152" t="s">
        <v>269</v>
      </c>
      <c r="D152" t="s">
        <v>285</v>
      </c>
      <c r="E152">
        <v>12.809250953069199</v>
      </c>
      <c r="F152">
        <v>1.3303122499864499</v>
      </c>
      <c r="G152">
        <v>17.040303456018563</v>
      </c>
      <c r="H152">
        <v>1.7040303456018563E-2</v>
      </c>
      <c r="I152">
        <v>238.56424838425988</v>
      </c>
      <c r="J152">
        <v>0.23856424838425988</v>
      </c>
      <c r="K152">
        <v>14</v>
      </c>
    </row>
    <row r="153" spans="1:11" x14ac:dyDescent="0.25">
      <c r="A153" t="s">
        <v>127</v>
      </c>
      <c r="B153" t="s">
        <v>201</v>
      </c>
      <c r="C153" t="s">
        <v>269</v>
      </c>
      <c r="D153" t="s">
        <v>192</v>
      </c>
      <c r="E153">
        <v>1.0247400762455401</v>
      </c>
      <c r="F153">
        <v>5.6604646875000001E-3</v>
      </c>
      <c r="G153">
        <v>5.8005050154539377E-3</v>
      </c>
      <c r="H153">
        <v>5.8005050154539375E-6</v>
      </c>
      <c r="I153">
        <v>8.1207070216355121E-2</v>
      </c>
      <c r="J153">
        <v>8.120707021635512E-5</v>
      </c>
      <c r="K153">
        <v>14</v>
      </c>
    </row>
    <row r="154" spans="1:11" x14ac:dyDescent="0.25">
      <c r="A154" t="s">
        <v>127</v>
      </c>
      <c r="B154" t="s">
        <v>204</v>
      </c>
      <c r="C154" t="s">
        <v>269</v>
      </c>
      <c r="D154" t="s">
        <v>192</v>
      </c>
      <c r="E154">
        <v>0.51237003812276805</v>
      </c>
      <c r="F154">
        <v>3.203226E-3</v>
      </c>
      <c r="G154">
        <v>1.6412370277358419E-3</v>
      </c>
      <c r="H154">
        <v>1.6412370277358419E-6</v>
      </c>
      <c r="I154">
        <v>2.2977318388301787E-2</v>
      </c>
      <c r="J154">
        <v>2.2977318388301787E-5</v>
      </c>
      <c r="K154">
        <v>14</v>
      </c>
    </row>
    <row r="155" spans="1:11" x14ac:dyDescent="0.25">
      <c r="A155" t="s">
        <v>127</v>
      </c>
      <c r="B155" t="s">
        <v>216</v>
      </c>
      <c r="C155" t="s">
        <v>269</v>
      </c>
      <c r="D155" t="s">
        <v>192</v>
      </c>
      <c r="E155">
        <v>0.51237003812276805</v>
      </c>
      <c r="F155">
        <v>5.0750700000000003E-2</v>
      </c>
      <c r="G155">
        <v>2.6003138093757167E-2</v>
      </c>
      <c r="H155">
        <v>2.6003138093757168E-5</v>
      </c>
      <c r="I155">
        <v>0.36404393331260032</v>
      </c>
      <c r="J155">
        <v>3.6404393331260031E-4</v>
      </c>
      <c r="K155">
        <v>14</v>
      </c>
    </row>
    <row r="156" spans="1:11" x14ac:dyDescent="0.25">
      <c r="A156" t="s">
        <v>127</v>
      </c>
      <c r="B156" t="s">
        <v>226</v>
      </c>
      <c r="C156" t="s">
        <v>269</v>
      </c>
      <c r="D156" t="s">
        <v>192</v>
      </c>
      <c r="E156">
        <v>1.5371101143682999</v>
      </c>
      <c r="F156">
        <v>3.0925020000000004E-3</v>
      </c>
      <c r="G156">
        <v>4.7535161029041966E-3</v>
      </c>
      <c r="H156">
        <v>4.7535161029041963E-6</v>
      </c>
      <c r="I156">
        <v>6.6549225440658749E-2</v>
      </c>
      <c r="J156">
        <v>6.6549225440658752E-5</v>
      </c>
      <c r="K156">
        <v>14</v>
      </c>
    </row>
    <row r="157" spans="1:11" x14ac:dyDescent="0.25">
      <c r="A157" t="s">
        <v>127</v>
      </c>
      <c r="B157" t="s">
        <v>181</v>
      </c>
      <c r="C157" t="s">
        <v>269</v>
      </c>
      <c r="D157" t="s">
        <v>284</v>
      </c>
      <c r="E157">
        <v>44.832378335742199</v>
      </c>
      <c r="F157">
        <v>10.430405249078689</v>
      </c>
      <c r="G157">
        <v>467.61987432180712</v>
      </c>
      <c r="H157">
        <v>0.46761987432180713</v>
      </c>
      <c r="I157">
        <v>6546.6782405053</v>
      </c>
      <c r="J157">
        <v>6.5466782405053001</v>
      </c>
      <c r="K157">
        <v>14</v>
      </c>
    </row>
    <row r="158" spans="1:11" x14ac:dyDescent="0.25">
      <c r="A158" t="s">
        <v>127</v>
      </c>
      <c r="B158" t="s">
        <v>186</v>
      </c>
      <c r="C158" t="s">
        <v>269</v>
      </c>
      <c r="D158" t="s">
        <v>284</v>
      </c>
      <c r="E158">
        <v>19.2138764296038</v>
      </c>
      <c r="F158">
        <v>52.270176194337431</v>
      </c>
      <c r="G158">
        <v>1004.3127063516176</v>
      </c>
      <c r="H158">
        <v>1.0043127063516177</v>
      </c>
      <c r="I158">
        <v>14060.377888922647</v>
      </c>
      <c r="J158">
        <v>14.060377888922647</v>
      </c>
      <c r="K158">
        <v>14</v>
      </c>
    </row>
    <row r="159" spans="1:11" x14ac:dyDescent="0.25">
      <c r="A159" t="s">
        <v>127</v>
      </c>
      <c r="B159" t="s">
        <v>188</v>
      </c>
      <c r="C159" t="s">
        <v>269</v>
      </c>
      <c r="D159" t="s">
        <v>189</v>
      </c>
      <c r="E159">
        <v>0.51237003812276805</v>
      </c>
      <c r="F159">
        <v>245.42903854440499</v>
      </c>
      <c r="G159">
        <v>125.75048583543109</v>
      </c>
      <c r="H159">
        <v>0.12575048583543108</v>
      </c>
      <c r="I159">
        <v>1760.5068016960354</v>
      </c>
      <c r="J159">
        <v>1.7605068016960355</v>
      </c>
      <c r="K159">
        <v>14</v>
      </c>
    </row>
    <row r="160" spans="1:11" x14ac:dyDescent="0.25">
      <c r="A160" t="s">
        <v>127</v>
      </c>
      <c r="B160" t="s">
        <v>227</v>
      </c>
      <c r="C160" t="s">
        <v>269</v>
      </c>
      <c r="D160" t="s">
        <v>192</v>
      </c>
      <c r="E160">
        <v>2.04948015249107</v>
      </c>
      <c r="F160">
        <v>1.3040761999999999E-2</v>
      </c>
      <c r="G160">
        <v>2.672678289235975E-2</v>
      </c>
      <c r="H160">
        <v>2.6726782892359751E-5</v>
      </c>
      <c r="I160">
        <v>0.3741749604930365</v>
      </c>
      <c r="J160">
        <v>3.7417496049303652E-4</v>
      </c>
      <c r="K160">
        <v>14</v>
      </c>
    </row>
    <row r="161" spans="1:11" x14ac:dyDescent="0.25">
      <c r="A161" t="s">
        <v>127</v>
      </c>
      <c r="B161" t="s">
        <v>228</v>
      </c>
      <c r="C161" t="s">
        <v>269</v>
      </c>
      <c r="D161" t="s">
        <v>192</v>
      </c>
      <c r="E161">
        <v>0.51237003812276805</v>
      </c>
      <c r="F161">
        <v>8.4481491500000006E-2</v>
      </c>
      <c r="G161">
        <v>4.3285785020523306E-2</v>
      </c>
      <c r="H161">
        <v>4.3285785020523307E-5</v>
      </c>
      <c r="I161">
        <v>0.60600099028732624</v>
      </c>
      <c r="J161">
        <v>6.0600099028732619E-4</v>
      </c>
      <c r="K161">
        <v>14</v>
      </c>
    </row>
    <row r="162" spans="1:11" x14ac:dyDescent="0.25">
      <c r="A162" t="s">
        <v>127</v>
      </c>
      <c r="B162" t="s">
        <v>153</v>
      </c>
      <c r="C162" t="s">
        <v>269</v>
      </c>
      <c r="D162" t="s">
        <v>284</v>
      </c>
      <c r="E162">
        <v>12.809250953069199</v>
      </c>
      <c r="F162">
        <v>10.276950572686754</v>
      </c>
      <c r="G162">
        <v>131.64003891783287</v>
      </c>
      <c r="H162">
        <v>0.13164003891783288</v>
      </c>
      <c r="I162">
        <v>1842.9605448496602</v>
      </c>
      <c r="J162">
        <v>1.8429605448496602</v>
      </c>
      <c r="K162">
        <v>14</v>
      </c>
    </row>
    <row r="163" spans="1:11" x14ac:dyDescent="0.25">
      <c r="A163" t="s">
        <v>127</v>
      </c>
      <c r="B163" t="s">
        <v>210</v>
      </c>
      <c r="C163" t="s">
        <v>269</v>
      </c>
      <c r="D163" t="s">
        <v>192</v>
      </c>
      <c r="E163">
        <v>8.1979206099642905</v>
      </c>
      <c r="F163">
        <v>2.9537961249999998E-2</v>
      </c>
      <c r="G163">
        <v>0.24214986130770155</v>
      </c>
      <c r="H163">
        <v>2.4214986130770155E-4</v>
      </c>
      <c r="I163">
        <v>3.3900980583078217</v>
      </c>
      <c r="J163">
        <v>3.3900980583078219E-3</v>
      </c>
      <c r="K163">
        <v>14</v>
      </c>
    </row>
    <row r="164" spans="1:11" x14ac:dyDescent="0.25">
      <c r="A164" t="s">
        <v>127</v>
      </c>
      <c r="B164" t="s">
        <v>229</v>
      </c>
      <c r="C164" t="s">
        <v>269</v>
      </c>
      <c r="D164" t="s">
        <v>192</v>
      </c>
      <c r="E164">
        <v>0.51237003812276805</v>
      </c>
      <c r="F164">
        <v>2.7168372E-2</v>
      </c>
      <c r="G164">
        <v>1.3920259797373543E-2</v>
      </c>
      <c r="H164">
        <v>1.3920259797373542E-5</v>
      </c>
      <c r="I164">
        <v>0.19488363716322959</v>
      </c>
      <c r="J164">
        <v>1.9488363716322959E-4</v>
      </c>
      <c r="K164">
        <v>14</v>
      </c>
    </row>
    <row r="165" spans="1:11" x14ac:dyDescent="0.25">
      <c r="A165" t="s">
        <v>129</v>
      </c>
      <c r="B165" t="s">
        <v>172</v>
      </c>
      <c r="C165" t="s">
        <v>270</v>
      </c>
      <c r="D165" t="s">
        <v>281</v>
      </c>
      <c r="E165">
        <v>37.561381703836403</v>
      </c>
      <c r="F165">
        <v>0.80035748212537416</v>
      </c>
      <c r="G165">
        <v>30.062532885632599</v>
      </c>
      <c r="H165">
        <v>3.0062532885632598E-2</v>
      </c>
      <c r="I165">
        <v>330.68786174195861</v>
      </c>
      <c r="J165">
        <v>0.33068786174195863</v>
      </c>
      <c r="K165">
        <v>11</v>
      </c>
    </row>
    <row r="166" spans="1:11" x14ac:dyDescent="0.25">
      <c r="A166" t="s">
        <v>129</v>
      </c>
      <c r="B166" t="s">
        <v>194</v>
      </c>
      <c r="C166" t="s">
        <v>270</v>
      </c>
      <c r="D166" t="s">
        <v>192</v>
      </c>
      <c r="E166">
        <v>1.4672414728061101</v>
      </c>
      <c r="F166">
        <v>2.2499999999999999E-2</v>
      </c>
      <c r="G166">
        <v>3.3012933138137475E-2</v>
      </c>
      <c r="H166">
        <v>3.3012933138137474E-5</v>
      </c>
      <c r="I166">
        <v>0.3631422645195122</v>
      </c>
      <c r="J166">
        <v>3.631422645195122E-4</v>
      </c>
      <c r="K166">
        <v>11</v>
      </c>
    </row>
    <row r="167" spans="1:11" x14ac:dyDescent="0.25">
      <c r="A167" t="s">
        <v>129</v>
      </c>
      <c r="B167" t="s">
        <v>195</v>
      </c>
      <c r="C167" t="s">
        <v>270</v>
      </c>
      <c r="D167" t="s">
        <v>192</v>
      </c>
      <c r="E167">
        <v>4.40172441841833</v>
      </c>
      <c r="F167">
        <v>1.4595195333333333E-2</v>
      </c>
      <c r="G167">
        <v>6.4244027690318589E-2</v>
      </c>
      <c r="H167">
        <v>6.4244027690318588E-5</v>
      </c>
      <c r="I167">
        <v>0.70668430459350451</v>
      </c>
      <c r="J167">
        <v>7.0668430459350446E-4</v>
      </c>
      <c r="K167">
        <v>11</v>
      </c>
    </row>
    <row r="168" spans="1:11" x14ac:dyDescent="0.25">
      <c r="A168" t="s">
        <v>129</v>
      </c>
      <c r="B168" t="s">
        <v>196</v>
      </c>
      <c r="C168" t="s">
        <v>270</v>
      </c>
      <c r="D168" t="s">
        <v>197</v>
      </c>
      <c r="E168">
        <v>2627.8294777957399</v>
      </c>
      <c r="F168">
        <v>4.4684150903663934E-2</v>
      </c>
      <c r="G168">
        <v>117.42232893492124</v>
      </c>
      <c r="H168">
        <v>0.11742232893492124</v>
      </c>
      <c r="I168">
        <v>1291.6456182841337</v>
      </c>
      <c r="J168">
        <v>1.2916456182841336</v>
      </c>
      <c r="K168">
        <v>11</v>
      </c>
    </row>
    <row r="169" spans="1:11" x14ac:dyDescent="0.25">
      <c r="A169" t="s">
        <v>129</v>
      </c>
      <c r="B169" t="s">
        <v>231</v>
      </c>
      <c r="C169" t="s">
        <v>270</v>
      </c>
      <c r="D169" t="s">
        <v>192</v>
      </c>
      <c r="E169">
        <v>1.4672414728061101</v>
      </c>
      <c r="F169">
        <v>6.2233920000000003E-3</v>
      </c>
      <c r="G169">
        <v>9.1312188439297629E-3</v>
      </c>
      <c r="H169">
        <v>9.1312188439297633E-6</v>
      </c>
      <c r="I169">
        <v>0.1004434072832274</v>
      </c>
      <c r="J169">
        <v>1.0044340728322739E-4</v>
      </c>
      <c r="K169">
        <v>11</v>
      </c>
    </row>
    <row r="170" spans="1:11" x14ac:dyDescent="0.25">
      <c r="A170" t="s">
        <v>129</v>
      </c>
      <c r="B170" t="s">
        <v>173</v>
      </c>
      <c r="C170" t="s">
        <v>270</v>
      </c>
      <c r="D170" t="s">
        <v>285</v>
      </c>
      <c r="E170">
        <v>225.36829022301799</v>
      </c>
      <c r="F170">
        <v>1.8656786331253605</v>
      </c>
      <c r="G170">
        <v>420.46480365307974</v>
      </c>
      <c r="H170">
        <v>0.42046480365307976</v>
      </c>
      <c r="I170">
        <v>4625.1128401838769</v>
      </c>
      <c r="J170">
        <v>4.6251128401838768</v>
      </c>
      <c r="K170">
        <v>11</v>
      </c>
    </row>
    <row r="171" spans="1:11" x14ac:dyDescent="0.25">
      <c r="A171" t="s">
        <v>129</v>
      </c>
      <c r="B171" t="s">
        <v>170</v>
      </c>
      <c r="C171" t="s">
        <v>270</v>
      </c>
      <c r="D171" t="s">
        <v>283</v>
      </c>
      <c r="E171">
        <v>50.081842271781902</v>
      </c>
      <c r="F171">
        <v>4.1985885503484361</v>
      </c>
      <c r="G171">
        <v>210.27304954265981</v>
      </c>
      <c r="H171">
        <v>0.2102730495426598</v>
      </c>
      <c r="I171">
        <v>2313.0035449692577</v>
      </c>
      <c r="J171">
        <v>2.3130035449692579</v>
      </c>
      <c r="K171">
        <v>11</v>
      </c>
    </row>
    <row r="172" spans="1:11" x14ac:dyDescent="0.25">
      <c r="A172" t="s">
        <v>129</v>
      </c>
      <c r="B172" t="s">
        <v>167</v>
      </c>
      <c r="C172" t="s">
        <v>270</v>
      </c>
      <c r="D172" t="s">
        <v>284</v>
      </c>
      <c r="E172">
        <v>68.862533123700004</v>
      </c>
      <c r="F172">
        <v>1.8576275511613773</v>
      </c>
      <c r="G172">
        <v>127.92093877334807</v>
      </c>
      <c r="H172">
        <v>0.12792093877334806</v>
      </c>
      <c r="I172">
        <v>1407.1303265068289</v>
      </c>
      <c r="J172">
        <v>1.4071303265068289</v>
      </c>
      <c r="K172">
        <v>11</v>
      </c>
    </row>
    <row r="173" spans="1:11" x14ac:dyDescent="0.25">
      <c r="A173" t="s">
        <v>129</v>
      </c>
      <c r="B173" t="s">
        <v>166</v>
      </c>
      <c r="C173" t="s">
        <v>270</v>
      </c>
      <c r="D173" t="s">
        <v>285</v>
      </c>
      <c r="E173">
        <v>801.30947634850997</v>
      </c>
      <c r="F173">
        <v>4.8444866345419095</v>
      </c>
      <c r="G173">
        <v>3881.9330483021331</v>
      </c>
      <c r="H173">
        <v>3.881933048302133</v>
      </c>
      <c r="I173">
        <v>42701.263531323464</v>
      </c>
      <c r="J173">
        <v>42.701263531323463</v>
      </c>
      <c r="K173">
        <v>11</v>
      </c>
    </row>
    <row r="174" spans="1:11" x14ac:dyDescent="0.25">
      <c r="A174" t="s">
        <v>129</v>
      </c>
      <c r="B174" t="s">
        <v>198</v>
      </c>
      <c r="C174" t="s">
        <v>270</v>
      </c>
      <c r="D174" t="s">
        <v>290</v>
      </c>
      <c r="E174">
        <v>472.451754243567</v>
      </c>
      <c r="F174">
        <v>0.10910733246042163</v>
      </c>
      <c r="G174">
        <v>51.547950621762283</v>
      </c>
      <c r="H174">
        <v>5.1547950621762283E-2</v>
      </c>
      <c r="I174">
        <v>567.02745683938508</v>
      </c>
      <c r="J174">
        <v>0.56702745683938505</v>
      </c>
      <c r="K174">
        <v>11</v>
      </c>
    </row>
    <row r="175" spans="1:11" x14ac:dyDescent="0.25">
      <c r="A175" t="s">
        <v>129</v>
      </c>
      <c r="B175" t="s">
        <v>202</v>
      </c>
      <c r="C175" t="s">
        <v>270</v>
      </c>
      <c r="D175" t="s">
        <v>192</v>
      </c>
      <c r="E175">
        <v>14.672414728061099</v>
      </c>
      <c r="F175">
        <v>2.3959831999999996E-3</v>
      </c>
      <c r="G175">
        <v>3.5154859191866956E-2</v>
      </c>
      <c r="H175">
        <v>3.5154859191866955E-5</v>
      </c>
      <c r="I175">
        <v>0.3867034511105365</v>
      </c>
      <c r="J175">
        <v>3.8670345111053653E-4</v>
      </c>
      <c r="K175">
        <v>11</v>
      </c>
    </row>
    <row r="176" spans="1:11" x14ac:dyDescent="0.25">
      <c r="A176" t="s">
        <v>129</v>
      </c>
      <c r="B176" t="s">
        <v>204</v>
      </c>
      <c r="C176" t="s">
        <v>270</v>
      </c>
      <c r="D176" t="s">
        <v>192</v>
      </c>
      <c r="E176">
        <v>4.40172441841833</v>
      </c>
      <c r="F176">
        <v>3.4858793333333335E-3</v>
      </c>
      <c r="G176">
        <v>1.5343880181193143E-2</v>
      </c>
      <c r="H176">
        <v>1.5343880181193144E-5</v>
      </c>
      <c r="I176">
        <v>0.16878268199312457</v>
      </c>
      <c r="J176">
        <v>1.6878268199312457E-4</v>
      </c>
      <c r="K176">
        <v>11</v>
      </c>
    </row>
    <row r="177" spans="1:11" x14ac:dyDescent="0.25">
      <c r="A177" t="s">
        <v>129</v>
      </c>
      <c r="B177" t="s">
        <v>205</v>
      </c>
      <c r="C177" t="s">
        <v>270</v>
      </c>
      <c r="D177" t="s">
        <v>192</v>
      </c>
      <c r="E177">
        <v>2.9344829456122201</v>
      </c>
      <c r="F177">
        <v>3.2144579999999999E-3</v>
      </c>
      <c r="G177">
        <v>9.4327721803867653E-3</v>
      </c>
      <c r="H177">
        <v>9.4327721803867646E-6</v>
      </c>
      <c r="I177">
        <v>0.10376049398425442</v>
      </c>
      <c r="J177">
        <v>1.0376049398425442E-4</v>
      </c>
      <c r="K177">
        <v>11</v>
      </c>
    </row>
    <row r="178" spans="1:11" x14ac:dyDescent="0.25">
      <c r="A178" t="s">
        <v>129</v>
      </c>
      <c r="B178" t="s">
        <v>232</v>
      </c>
      <c r="C178" t="s">
        <v>270</v>
      </c>
      <c r="D178" t="s">
        <v>192</v>
      </c>
      <c r="E178">
        <v>27.877587983316101</v>
      </c>
      <c r="F178">
        <v>4.3879981894736839E-2</v>
      </c>
      <c r="G178">
        <v>1.2232680559768438</v>
      </c>
      <c r="H178">
        <v>1.2232680559768438E-3</v>
      </c>
      <c r="I178">
        <v>13.455948615745282</v>
      </c>
      <c r="J178">
        <v>1.3455948615745282E-2</v>
      </c>
      <c r="K178">
        <v>11</v>
      </c>
    </row>
    <row r="179" spans="1:11" x14ac:dyDescent="0.25">
      <c r="A179" t="s">
        <v>129</v>
      </c>
      <c r="B179" t="s">
        <v>216</v>
      </c>
      <c r="C179" t="s">
        <v>270</v>
      </c>
      <c r="D179" t="s">
        <v>192</v>
      </c>
      <c r="E179">
        <v>14.672414728061099</v>
      </c>
      <c r="F179">
        <v>8.4129310649999983E-2</v>
      </c>
      <c r="G179">
        <v>1.2343801366426872</v>
      </c>
      <c r="H179">
        <v>1.2343801366426872E-3</v>
      </c>
      <c r="I179">
        <v>13.578181503069558</v>
      </c>
      <c r="J179">
        <v>1.3578181503069558E-2</v>
      </c>
      <c r="K179">
        <v>11</v>
      </c>
    </row>
    <row r="180" spans="1:11" x14ac:dyDescent="0.25">
      <c r="A180" t="s">
        <v>129</v>
      </c>
      <c r="B180" t="s">
        <v>226</v>
      </c>
      <c r="C180" t="s">
        <v>270</v>
      </c>
      <c r="D180" t="s">
        <v>192</v>
      </c>
      <c r="E180">
        <v>2.9344829456122201</v>
      </c>
      <c r="F180">
        <v>4.0639389999999999E-3</v>
      </c>
      <c r="G180">
        <v>1.1925559687508381E-2</v>
      </c>
      <c r="H180">
        <v>1.192555968750838E-5</v>
      </c>
      <c r="I180">
        <v>0.13118115656259219</v>
      </c>
      <c r="J180">
        <v>1.311811565625922E-4</v>
      </c>
      <c r="K180">
        <v>11</v>
      </c>
    </row>
    <row r="181" spans="1:11" x14ac:dyDescent="0.25">
      <c r="A181" t="s">
        <v>129</v>
      </c>
      <c r="B181" t="s">
        <v>233</v>
      </c>
      <c r="C181" t="s">
        <v>270</v>
      </c>
      <c r="D181" t="s">
        <v>192</v>
      </c>
      <c r="E181">
        <v>1.4672414728061101</v>
      </c>
      <c r="F181">
        <v>5.5801304999999997E-3</v>
      </c>
      <c r="G181">
        <v>8.1873988932702948E-3</v>
      </c>
      <c r="H181">
        <v>8.187398893270294E-6</v>
      </c>
      <c r="I181">
        <v>9.0061387825973241E-2</v>
      </c>
      <c r="J181">
        <v>9.0061387825973244E-5</v>
      </c>
      <c r="K181">
        <v>11</v>
      </c>
    </row>
    <row r="182" spans="1:11" x14ac:dyDescent="0.25">
      <c r="A182" t="s">
        <v>129</v>
      </c>
      <c r="B182" t="s">
        <v>161</v>
      </c>
      <c r="C182" t="s">
        <v>270</v>
      </c>
      <c r="D182" t="s">
        <v>284</v>
      </c>
      <c r="E182">
        <v>18.780690851918202</v>
      </c>
      <c r="F182">
        <v>4.682550358748987</v>
      </c>
      <c r="G182">
        <v>87.941530686203393</v>
      </c>
      <c r="H182">
        <v>8.794153068620339E-2</v>
      </c>
      <c r="I182">
        <v>967.35683754823731</v>
      </c>
      <c r="J182">
        <v>0.96735683754823731</v>
      </c>
      <c r="K182">
        <v>11</v>
      </c>
    </row>
    <row r="183" spans="1:11" x14ac:dyDescent="0.25">
      <c r="A183" t="s">
        <v>129</v>
      </c>
      <c r="B183" t="s">
        <v>181</v>
      </c>
      <c r="C183" t="s">
        <v>270</v>
      </c>
      <c r="D183" t="s">
        <v>284</v>
      </c>
      <c r="E183">
        <v>87.643223975618199</v>
      </c>
      <c r="F183">
        <v>10.222459236454309</v>
      </c>
      <c r="G183">
        <v>895.92928444219206</v>
      </c>
      <c r="H183">
        <v>0.89592928444219211</v>
      </c>
      <c r="I183">
        <v>9855.2221288641122</v>
      </c>
      <c r="J183">
        <v>9.8552221288641118</v>
      </c>
      <c r="K183">
        <v>11</v>
      </c>
    </row>
    <row r="184" spans="1:11" x14ac:dyDescent="0.25">
      <c r="A184" t="s">
        <v>129</v>
      </c>
      <c r="B184" t="s">
        <v>190</v>
      </c>
      <c r="C184" t="s">
        <v>270</v>
      </c>
      <c r="D184" t="s">
        <v>284</v>
      </c>
      <c r="E184">
        <v>18.780690851918202</v>
      </c>
      <c r="F184">
        <v>5.7023148973890905</v>
      </c>
      <c r="G184">
        <v>107.09341322815217</v>
      </c>
      <c r="H184">
        <v>0.10709341322815218</v>
      </c>
      <c r="I184">
        <v>1178.0275455096739</v>
      </c>
      <c r="J184">
        <v>1.178027545509674</v>
      </c>
      <c r="K184">
        <v>11</v>
      </c>
    </row>
    <row r="185" spans="1:11" x14ac:dyDescent="0.25">
      <c r="A185" t="s">
        <v>129</v>
      </c>
      <c r="B185" t="s">
        <v>186</v>
      </c>
      <c r="C185" t="s">
        <v>270</v>
      </c>
      <c r="D185" t="s">
        <v>284</v>
      </c>
      <c r="E185">
        <v>6.2602302839727297</v>
      </c>
      <c r="F185">
        <v>59.9495385074637</v>
      </c>
      <c r="G185">
        <v>375.2979164746136</v>
      </c>
      <c r="H185">
        <v>0.37529791647461358</v>
      </c>
      <c r="I185">
        <v>4128.27708122075</v>
      </c>
      <c r="J185">
        <v>4.1282770812207499</v>
      </c>
      <c r="K185">
        <v>11</v>
      </c>
    </row>
    <row r="186" spans="1:11" x14ac:dyDescent="0.25">
      <c r="A186" t="s">
        <v>129</v>
      </c>
      <c r="B186" t="s">
        <v>220</v>
      </c>
      <c r="C186" t="s">
        <v>270</v>
      </c>
      <c r="D186" t="s">
        <v>192</v>
      </c>
      <c r="E186">
        <v>1.4672414728061101</v>
      </c>
      <c r="F186">
        <v>3.6260812000000003E-2</v>
      </c>
      <c r="G186">
        <v>5.3203367204025472E-2</v>
      </c>
      <c r="H186">
        <v>5.3203367204025472E-5</v>
      </c>
      <c r="I186">
        <v>0.58523703924428017</v>
      </c>
      <c r="J186">
        <v>5.852370392442802E-4</v>
      </c>
      <c r="K186">
        <v>11</v>
      </c>
    </row>
    <row r="187" spans="1:11" x14ac:dyDescent="0.25">
      <c r="A187" t="s">
        <v>129</v>
      </c>
      <c r="B187" t="s">
        <v>234</v>
      </c>
      <c r="C187" t="s">
        <v>270</v>
      </c>
      <c r="D187" t="s">
        <v>192</v>
      </c>
      <c r="E187">
        <v>1.4672414728061101</v>
      </c>
      <c r="F187">
        <v>1.3544625500000001E-2</v>
      </c>
      <c r="G187">
        <v>1.9873236267227198E-2</v>
      </c>
      <c r="H187">
        <v>1.9873236267227199E-5</v>
      </c>
      <c r="I187">
        <v>0.21860559893949918</v>
      </c>
      <c r="J187">
        <v>2.1860559893949918E-4</v>
      </c>
      <c r="K187">
        <v>11</v>
      </c>
    </row>
    <row r="188" spans="1:11" x14ac:dyDescent="0.25">
      <c r="A188" t="s">
        <v>129</v>
      </c>
      <c r="B188" t="s">
        <v>223</v>
      </c>
      <c r="C188" t="s">
        <v>270</v>
      </c>
      <c r="D188" t="s">
        <v>192</v>
      </c>
      <c r="E188">
        <v>35.213795347346597</v>
      </c>
      <c r="F188">
        <v>5.3125044279999999E-2</v>
      </c>
      <c r="G188">
        <v>1.8707344370946459</v>
      </c>
      <c r="H188">
        <v>1.8707344370946458E-3</v>
      </c>
      <c r="I188">
        <v>20.578078808041106</v>
      </c>
      <c r="J188">
        <v>2.0578078808041106E-2</v>
      </c>
      <c r="K188">
        <v>11</v>
      </c>
    </row>
    <row r="189" spans="1:11" x14ac:dyDescent="0.25">
      <c r="A189" t="s">
        <v>129</v>
      </c>
      <c r="B189" t="s">
        <v>213</v>
      </c>
      <c r="C189" t="s">
        <v>270</v>
      </c>
      <c r="D189" t="s">
        <v>192</v>
      </c>
      <c r="E189">
        <v>2.9344829456122201</v>
      </c>
      <c r="F189">
        <v>5.9337971000000003E-2</v>
      </c>
      <c r="G189">
        <v>0.1741262639267325</v>
      </c>
      <c r="H189">
        <v>1.741262639267325E-4</v>
      </c>
      <c r="I189">
        <v>1.9153889031940574</v>
      </c>
      <c r="J189">
        <v>1.9153889031940574E-3</v>
      </c>
      <c r="K189">
        <v>11</v>
      </c>
    </row>
    <row r="190" spans="1:11" x14ac:dyDescent="0.25">
      <c r="A190" t="s">
        <v>129</v>
      </c>
      <c r="B190" t="s">
        <v>235</v>
      </c>
      <c r="C190" t="s">
        <v>270</v>
      </c>
      <c r="D190" t="s">
        <v>192</v>
      </c>
      <c r="E190">
        <v>1.4672414728061101</v>
      </c>
      <c r="F190">
        <v>0.27270900999999997</v>
      </c>
      <c r="G190">
        <v>0.40012996947989615</v>
      </c>
      <c r="H190">
        <v>4.0012996947989615E-4</v>
      </c>
      <c r="I190">
        <v>4.401429664278858</v>
      </c>
      <c r="J190">
        <v>4.4014296642788577E-3</v>
      </c>
      <c r="K190">
        <v>11</v>
      </c>
    </row>
    <row r="191" spans="1:11" x14ac:dyDescent="0.25">
      <c r="A191" t="s">
        <v>129</v>
      </c>
      <c r="B191" t="s">
        <v>153</v>
      </c>
      <c r="C191" t="s">
        <v>270</v>
      </c>
      <c r="D191" t="s">
        <v>284</v>
      </c>
      <c r="E191">
        <v>12.5204605679455</v>
      </c>
      <c r="F191">
        <v>8.6014430513029456</v>
      </c>
      <c r="G191">
        <v>107.69402855126735</v>
      </c>
      <c r="H191">
        <v>0.10769402855126735</v>
      </c>
      <c r="I191">
        <v>1184.6343140639408</v>
      </c>
      <c r="J191">
        <v>1.1846343140639408</v>
      </c>
      <c r="K191">
        <v>11</v>
      </c>
    </row>
    <row r="192" spans="1:11" x14ac:dyDescent="0.25">
      <c r="A192" t="s">
        <v>129</v>
      </c>
      <c r="B192" t="s">
        <v>210</v>
      </c>
      <c r="C192" t="s">
        <v>270</v>
      </c>
      <c r="D192" t="s">
        <v>192</v>
      </c>
      <c r="E192">
        <v>152.593113171835</v>
      </c>
      <c r="F192">
        <v>3.6857986499999995E-2</v>
      </c>
      <c r="G192">
        <v>5.6242749052804655</v>
      </c>
      <c r="H192">
        <v>5.6242749052804655E-3</v>
      </c>
      <c r="I192">
        <v>61.86702395808512</v>
      </c>
      <c r="J192">
        <v>6.1867023958085118E-2</v>
      </c>
      <c r="K192">
        <v>11</v>
      </c>
    </row>
    <row r="193" spans="1:11" x14ac:dyDescent="0.25">
      <c r="A193" t="s">
        <v>132</v>
      </c>
      <c r="B193" t="s">
        <v>217</v>
      </c>
      <c r="C193" t="s">
        <v>258</v>
      </c>
      <c r="D193" t="s">
        <v>192</v>
      </c>
      <c r="E193">
        <v>320.94519831920297</v>
      </c>
      <c r="F193">
        <v>1.0952076E-2</v>
      </c>
      <c r="G193">
        <v>3.515016203826983</v>
      </c>
      <c r="H193">
        <v>3.5150162038269828E-3</v>
      </c>
      <c r="I193">
        <v>70.300324076539653</v>
      </c>
      <c r="J193">
        <v>7.0300324076539647E-2</v>
      </c>
      <c r="K193">
        <v>20</v>
      </c>
    </row>
    <row r="194" spans="1:11" x14ac:dyDescent="0.25">
      <c r="A194" t="s">
        <v>132</v>
      </c>
      <c r="B194" t="s">
        <v>191</v>
      </c>
      <c r="C194" t="s">
        <v>258</v>
      </c>
      <c r="D194" t="s">
        <v>192</v>
      </c>
      <c r="E194">
        <v>2246.6163882344199</v>
      </c>
      <c r="F194">
        <v>1.3312979999999999E-2</v>
      </c>
      <c r="G194">
        <v>29.909159044237065</v>
      </c>
      <c r="H194">
        <v>2.9909159044237063E-2</v>
      </c>
      <c r="I194">
        <v>598.18318088474132</v>
      </c>
      <c r="J194">
        <v>0.59818318088474132</v>
      </c>
      <c r="K194">
        <v>20</v>
      </c>
    </row>
    <row r="195" spans="1:11" x14ac:dyDescent="0.25">
      <c r="A195" t="s">
        <v>132</v>
      </c>
      <c r="B195" t="s">
        <v>218</v>
      </c>
      <c r="C195" t="s">
        <v>258</v>
      </c>
      <c r="D195" t="s">
        <v>192</v>
      </c>
      <c r="E195">
        <v>962.83559495761006</v>
      </c>
      <c r="F195">
        <v>1.9945796081899998</v>
      </c>
      <c r="G195">
        <v>1920.4522437419353</v>
      </c>
      <c r="H195">
        <v>1.9204522437419353</v>
      </c>
      <c r="I195">
        <v>38409.044874838706</v>
      </c>
      <c r="J195">
        <v>38.409044874838706</v>
      </c>
      <c r="K195">
        <v>20</v>
      </c>
    </row>
    <row r="196" spans="1:11" x14ac:dyDescent="0.25">
      <c r="A196" t="s">
        <v>132</v>
      </c>
      <c r="B196" t="s">
        <v>193</v>
      </c>
      <c r="C196" t="s">
        <v>258</v>
      </c>
      <c r="D196" t="s">
        <v>192</v>
      </c>
      <c r="E196">
        <v>320.94519831920297</v>
      </c>
      <c r="F196">
        <v>0.86742213362999998</v>
      </c>
      <c r="G196">
        <v>278.39496870434652</v>
      </c>
      <c r="H196">
        <v>0.27839496870434655</v>
      </c>
      <c r="I196">
        <v>5567.89937408693</v>
      </c>
      <c r="J196">
        <v>5.56789937408693</v>
      </c>
      <c r="K196">
        <v>20</v>
      </c>
    </row>
    <row r="197" spans="1:11" x14ac:dyDescent="0.25">
      <c r="A197" t="s">
        <v>132</v>
      </c>
      <c r="B197" t="s">
        <v>172</v>
      </c>
      <c r="C197" t="s">
        <v>258</v>
      </c>
      <c r="D197" t="s">
        <v>281</v>
      </c>
      <c r="E197">
        <v>10060.649482006</v>
      </c>
      <c r="F197">
        <v>0.86083139891620974</v>
      </c>
      <c r="G197">
        <v>8660.5229676008657</v>
      </c>
      <c r="H197">
        <v>8.6605229676008655</v>
      </c>
      <c r="I197">
        <v>173210.45935201732</v>
      </c>
      <c r="J197">
        <v>173.21045935201732</v>
      </c>
      <c r="K197">
        <v>20</v>
      </c>
    </row>
    <row r="198" spans="1:11" x14ac:dyDescent="0.25">
      <c r="A198" t="s">
        <v>132</v>
      </c>
      <c r="B198" t="s">
        <v>157</v>
      </c>
      <c r="C198" t="s">
        <v>258</v>
      </c>
      <c r="D198" t="s">
        <v>282</v>
      </c>
      <c r="E198">
        <v>16.374755016285899</v>
      </c>
      <c r="F198">
        <v>120.62837151823551</v>
      </c>
      <c r="G198">
        <v>1975.260031624626</v>
      </c>
      <c r="H198">
        <v>1.975260031624626</v>
      </c>
      <c r="I198">
        <v>39505.200632492517</v>
      </c>
      <c r="J198">
        <v>39.505200632492517</v>
      </c>
      <c r="K198">
        <v>20</v>
      </c>
    </row>
    <row r="199" spans="1:11" x14ac:dyDescent="0.25">
      <c r="A199" t="s">
        <v>132</v>
      </c>
      <c r="B199" t="s">
        <v>171</v>
      </c>
      <c r="C199" t="s">
        <v>258</v>
      </c>
      <c r="D199" t="s">
        <v>282</v>
      </c>
      <c r="E199">
        <v>187.90031381188001</v>
      </c>
      <c r="F199">
        <v>3.0616468537910766</v>
      </c>
      <c r="G199">
        <v>575.28440460849845</v>
      </c>
      <c r="H199">
        <v>0.5752844046084985</v>
      </c>
      <c r="I199">
        <v>11505.688092169969</v>
      </c>
      <c r="J199">
        <v>11.505688092169969</v>
      </c>
      <c r="K199">
        <v>20</v>
      </c>
    </row>
    <row r="200" spans="1:11" x14ac:dyDescent="0.25">
      <c r="A200" t="s">
        <v>132</v>
      </c>
      <c r="B200" t="s">
        <v>194</v>
      </c>
      <c r="C200" t="s">
        <v>258</v>
      </c>
      <c r="D200" t="s">
        <v>192</v>
      </c>
      <c r="E200">
        <v>1283.7807932768101</v>
      </c>
      <c r="F200">
        <v>7.0267050000000003E-3</v>
      </c>
      <c r="G200">
        <v>9.0207489190221288</v>
      </c>
      <c r="H200">
        <v>9.0207489190221295E-3</v>
      </c>
      <c r="I200">
        <v>180.41497838044256</v>
      </c>
      <c r="J200">
        <v>0.18041497838044257</v>
      </c>
      <c r="K200">
        <v>20</v>
      </c>
    </row>
    <row r="201" spans="1:11" x14ac:dyDescent="0.25">
      <c r="A201" t="s">
        <v>132</v>
      </c>
      <c r="B201" t="s">
        <v>195</v>
      </c>
      <c r="C201" t="s">
        <v>258</v>
      </c>
      <c r="D201" t="s">
        <v>192</v>
      </c>
      <c r="E201">
        <v>26317.506262174698</v>
      </c>
      <c r="F201">
        <v>1.2567551099999999E-2</v>
      </c>
      <c r="G201">
        <v>330.74660477445047</v>
      </c>
      <c r="H201">
        <v>0.33074660477445045</v>
      </c>
      <c r="I201">
        <v>6614.93209548901</v>
      </c>
      <c r="J201">
        <v>6.6149320954890101</v>
      </c>
      <c r="K201">
        <v>20</v>
      </c>
    </row>
    <row r="202" spans="1:11" x14ac:dyDescent="0.25">
      <c r="A202" t="s">
        <v>132</v>
      </c>
      <c r="B202" t="s">
        <v>196</v>
      </c>
      <c r="C202" t="s">
        <v>258</v>
      </c>
      <c r="D202" t="s">
        <v>197</v>
      </c>
      <c r="E202">
        <v>18614.821502513802</v>
      </c>
      <c r="F202">
        <v>9.2342236661139207E-2</v>
      </c>
      <c r="G202">
        <v>1718.9342525899924</v>
      </c>
      <c r="H202">
        <v>1.7189342525899924</v>
      </c>
      <c r="I202">
        <v>34378.685051799846</v>
      </c>
      <c r="J202">
        <v>34.378685051799849</v>
      </c>
      <c r="K202">
        <v>20</v>
      </c>
    </row>
    <row r="203" spans="1:11" x14ac:dyDescent="0.25">
      <c r="A203" t="s">
        <v>132</v>
      </c>
      <c r="B203" t="s">
        <v>173</v>
      </c>
      <c r="C203" t="s">
        <v>258</v>
      </c>
      <c r="D203" t="s">
        <v>285</v>
      </c>
      <c r="E203">
        <v>5135.1231731072503</v>
      </c>
      <c r="F203">
        <v>0.46798246939821342</v>
      </c>
      <c r="G203">
        <v>2403.1476232147202</v>
      </c>
      <c r="H203">
        <v>2.40314762321472</v>
      </c>
      <c r="I203">
        <v>48062.952464294402</v>
      </c>
      <c r="J203">
        <v>48.062952464294405</v>
      </c>
      <c r="K203">
        <v>20</v>
      </c>
    </row>
    <row r="204" spans="1:11" x14ac:dyDescent="0.25">
      <c r="A204" t="s">
        <v>132</v>
      </c>
      <c r="B204" t="s">
        <v>170</v>
      </c>
      <c r="C204" t="s">
        <v>258</v>
      </c>
      <c r="D204" t="s">
        <v>283</v>
      </c>
      <c r="E204">
        <v>803.454646132427</v>
      </c>
      <c r="F204">
        <v>2.9742453992151194</v>
      </c>
      <c r="G204">
        <v>2389.6712847373828</v>
      </c>
      <c r="H204">
        <v>2.3896712847373829</v>
      </c>
      <c r="I204">
        <v>47793.425694747653</v>
      </c>
      <c r="J204">
        <v>47.793425694747654</v>
      </c>
      <c r="K204">
        <v>20</v>
      </c>
    </row>
    <row r="205" spans="1:11" x14ac:dyDescent="0.25">
      <c r="A205" t="s">
        <v>132</v>
      </c>
      <c r="B205" t="s">
        <v>167</v>
      </c>
      <c r="C205" t="s">
        <v>258</v>
      </c>
      <c r="D205" t="s">
        <v>284</v>
      </c>
      <c r="E205">
        <v>908.25307823665696</v>
      </c>
      <c r="F205">
        <v>2.2033371240340873</v>
      </c>
      <c r="G205">
        <v>2001.1877252970626</v>
      </c>
      <c r="H205">
        <v>2.0011877252970627</v>
      </c>
      <c r="I205">
        <v>40023.754505941251</v>
      </c>
      <c r="J205">
        <v>40.023754505941248</v>
      </c>
      <c r="K205">
        <v>20</v>
      </c>
    </row>
    <row r="206" spans="1:11" x14ac:dyDescent="0.25">
      <c r="A206" t="s">
        <v>132</v>
      </c>
      <c r="B206" t="s">
        <v>166</v>
      </c>
      <c r="C206" t="s">
        <v>258</v>
      </c>
      <c r="D206" t="s">
        <v>285</v>
      </c>
      <c r="E206">
        <v>279.46248561127902</v>
      </c>
      <c r="F206">
        <v>3.109928906021358</v>
      </c>
      <c r="G206">
        <v>869.1084621510945</v>
      </c>
      <c r="H206">
        <v>0.8691084621510945</v>
      </c>
      <c r="I206">
        <v>17382.16924302189</v>
      </c>
      <c r="J206">
        <v>17.382169243021892</v>
      </c>
      <c r="K206">
        <v>20</v>
      </c>
    </row>
    <row r="207" spans="1:11" x14ac:dyDescent="0.25">
      <c r="A207" t="s">
        <v>132</v>
      </c>
      <c r="B207" t="s">
        <v>198</v>
      </c>
      <c r="C207" t="s">
        <v>258</v>
      </c>
      <c r="D207" t="s">
        <v>290</v>
      </c>
      <c r="E207">
        <v>17010.095510917799</v>
      </c>
      <c r="F207">
        <v>0.1565388461448661</v>
      </c>
      <c r="G207">
        <v>2662.7407240930388</v>
      </c>
      <c r="H207">
        <v>2.6627407240930387</v>
      </c>
      <c r="I207">
        <v>53254.814481860776</v>
      </c>
      <c r="J207">
        <v>53.254814481860777</v>
      </c>
      <c r="K207">
        <v>20</v>
      </c>
    </row>
    <row r="208" spans="1:11" x14ac:dyDescent="0.25">
      <c r="A208" t="s">
        <v>132</v>
      </c>
      <c r="B208" t="s">
        <v>160</v>
      </c>
      <c r="C208" t="s">
        <v>258</v>
      </c>
      <c r="D208" t="s">
        <v>284</v>
      </c>
      <c r="E208">
        <v>34.932810701409899</v>
      </c>
      <c r="F208">
        <v>20.401653978644799</v>
      </c>
      <c r="G208">
        <v>712.68711643166489</v>
      </c>
      <c r="H208">
        <v>0.71268711643166494</v>
      </c>
      <c r="I208">
        <v>14253.742328633298</v>
      </c>
      <c r="J208">
        <v>14.253742328633297</v>
      </c>
      <c r="K208">
        <v>20</v>
      </c>
    </row>
    <row r="209" spans="1:11" x14ac:dyDescent="0.25">
      <c r="A209" t="s">
        <v>132</v>
      </c>
      <c r="B209" t="s">
        <v>164</v>
      </c>
      <c r="C209" t="s">
        <v>258</v>
      </c>
      <c r="D209" t="s">
        <v>281</v>
      </c>
      <c r="E209">
        <v>34.932810701409899</v>
      </c>
      <c r="F209">
        <v>0.82316437806424703</v>
      </c>
      <c r="G209">
        <v>28.755445395062154</v>
      </c>
      <c r="H209">
        <v>2.8755445395062154E-2</v>
      </c>
      <c r="I209">
        <v>575.10890790124313</v>
      </c>
      <c r="J209">
        <v>0.57510890790124314</v>
      </c>
      <c r="K209">
        <v>20</v>
      </c>
    </row>
    <row r="210" spans="1:11" x14ac:dyDescent="0.25">
      <c r="A210" t="s">
        <v>132</v>
      </c>
      <c r="B210" t="s">
        <v>200</v>
      </c>
      <c r="C210" t="s">
        <v>258</v>
      </c>
      <c r="D210" t="s">
        <v>192</v>
      </c>
      <c r="E210">
        <v>962.83559495761006</v>
      </c>
      <c r="F210">
        <v>1.7136893333333333E-2</v>
      </c>
      <c r="G210">
        <v>16.5000108883251</v>
      </c>
      <c r="H210">
        <v>1.65000108883251E-2</v>
      </c>
      <c r="I210">
        <v>330.00021776650203</v>
      </c>
      <c r="J210">
        <v>0.33000021776650201</v>
      </c>
      <c r="K210">
        <v>20</v>
      </c>
    </row>
    <row r="211" spans="1:11" x14ac:dyDescent="0.25">
      <c r="A211" t="s">
        <v>132</v>
      </c>
      <c r="B211" t="s">
        <v>163</v>
      </c>
      <c r="C211" t="s">
        <v>258</v>
      </c>
      <c r="D211" t="s">
        <v>281</v>
      </c>
      <c r="E211">
        <v>4401.5341483776401</v>
      </c>
      <c r="F211">
        <v>3.3813002000171033</v>
      </c>
      <c r="G211">
        <v>14882.908296291425</v>
      </c>
      <c r="H211">
        <v>14.882908296291426</v>
      </c>
      <c r="I211">
        <v>297658.16592582851</v>
      </c>
      <c r="J211">
        <v>297.65816592582848</v>
      </c>
      <c r="K211">
        <v>20</v>
      </c>
    </row>
    <row r="212" spans="1:11" x14ac:dyDescent="0.25">
      <c r="A212" t="s">
        <v>132</v>
      </c>
      <c r="B212" t="s">
        <v>201</v>
      </c>
      <c r="C212" t="s">
        <v>258</v>
      </c>
      <c r="D212" t="s">
        <v>192</v>
      </c>
      <c r="E212">
        <v>14121.5887260449</v>
      </c>
      <c r="F212">
        <v>1.0084706268E-2</v>
      </c>
      <c r="G212">
        <v>142.41207433966312</v>
      </c>
      <c r="H212">
        <v>0.14241207433966313</v>
      </c>
      <c r="I212">
        <v>2848.2414867932625</v>
      </c>
      <c r="J212">
        <v>2.8482414867932624</v>
      </c>
      <c r="K212">
        <v>20</v>
      </c>
    </row>
    <row r="213" spans="1:11" x14ac:dyDescent="0.25">
      <c r="A213" t="s">
        <v>132</v>
      </c>
      <c r="B213" t="s">
        <v>202</v>
      </c>
      <c r="C213" t="s">
        <v>258</v>
      </c>
      <c r="D213" t="s">
        <v>192</v>
      </c>
      <c r="E213">
        <v>22466.163882344201</v>
      </c>
      <c r="F213">
        <v>1.9647305000000002E-3</v>
      </c>
      <c r="G213">
        <v>44.139957397640067</v>
      </c>
      <c r="H213">
        <v>4.4139957397640067E-2</v>
      </c>
      <c r="I213">
        <v>882.79914795280138</v>
      </c>
      <c r="J213">
        <v>0.88279914795280134</v>
      </c>
      <c r="K213">
        <v>20</v>
      </c>
    </row>
    <row r="214" spans="1:11" x14ac:dyDescent="0.25">
      <c r="A214" t="s">
        <v>132</v>
      </c>
      <c r="B214" t="s">
        <v>203</v>
      </c>
      <c r="C214" t="s">
        <v>258</v>
      </c>
      <c r="D214" t="s">
        <v>192</v>
      </c>
      <c r="E214">
        <v>962.83559495761006</v>
      </c>
      <c r="F214">
        <v>2.4025679999999999E-3</v>
      </c>
      <c r="G214">
        <v>2.3132779897061151</v>
      </c>
      <c r="H214">
        <v>2.3132779897061151E-3</v>
      </c>
      <c r="I214">
        <v>46.265559794122304</v>
      </c>
      <c r="J214">
        <v>4.62655597941223E-2</v>
      </c>
      <c r="K214">
        <v>20</v>
      </c>
    </row>
    <row r="215" spans="1:11" x14ac:dyDescent="0.25">
      <c r="A215" t="s">
        <v>132</v>
      </c>
      <c r="B215" t="s">
        <v>204</v>
      </c>
      <c r="C215" t="s">
        <v>258</v>
      </c>
      <c r="D215" t="s">
        <v>192</v>
      </c>
      <c r="E215">
        <v>4172.2875781496396</v>
      </c>
      <c r="F215">
        <v>3.5290707692307694E-3</v>
      </c>
      <c r="G215">
        <v>14.724298132872532</v>
      </c>
      <c r="H215">
        <v>1.4724298132872531E-2</v>
      </c>
      <c r="I215">
        <v>294.48596265745061</v>
      </c>
      <c r="J215">
        <v>0.29448596265745064</v>
      </c>
      <c r="K215">
        <v>20</v>
      </c>
    </row>
    <row r="216" spans="1:11" x14ac:dyDescent="0.25">
      <c r="A216" t="s">
        <v>132</v>
      </c>
      <c r="B216" t="s">
        <v>205</v>
      </c>
      <c r="C216" t="s">
        <v>258</v>
      </c>
      <c r="D216" t="s">
        <v>192</v>
      </c>
      <c r="E216">
        <v>2888.5067848728299</v>
      </c>
      <c r="F216">
        <v>2.6182017777777781E-3</v>
      </c>
      <c r="G216">
        <v>7.5626935992772175</v>
      </c>
      <c r="H216">
        <v>7.5626935992772178E-3</v>
      </c>
      <c r="I216">
        <v>151.25387198554435</v>
      </c>
      <c r="J216">
        <v>0.15125387198554435</v>
      </c>
      <c r="K216">
        <v>20</v>
      </c>
    </row>
    <row r="217" spans="1:11" x14ac:dyDescent="0.25">
      <c r="A217" t="s">
        <v>132</v>
      </c>
      <c r="B217" t="s">
        <v>216</v>
      </c>
      <c r="C217" t="s">
        <v>258</v>
      </c>
      <c r="D217" t="s">
        <v>192</v>
      </c>
      <c r="E217">
        <v>320.94519831920297</v>
      </c>
      <c r="F217">
        <v>9.2854584899999995E-2</v>
      </c>
      <c r="G217">
        <v>29.801233165577766</v>
      </c>
      <c r="H217">
        <v>2.9801233165577767E-2</v>
      </c>
      <c r="I217">
        <v>596.02466331155529</v>
      </c>
      <c r="J217">
        <v>0.59602466331155524</v>
      </c>
      <c r="K217">
        <v>20</v>
      </c>
    </row>
    <row r="218" spans="1:11" x14ac:dyDescent="0.25">
      <c r="A218" t="s">
        <v>132</v>
      </c>
      <c r="B218" t="s">
        <v>162</v>
      </c>
      <c r="C218" t="s">
        <v>258</v>
      </c>
      <c r="D218" t="s">
        <v>284</v>
      </c>
      <c r="E218">
        <v>34.932810701409899</v>
      </c>
      <c r="F218">
        <v>4.6660668367820897</v>
      </c>
      <c r="G218">
        <v>162.99882952943523</v>
      </c>
      <c r="H218">
        <v>0.16299882952943523</v>
      </c>
      <c r="I218">
        <v>3259.9765905887043</v>
      </c>
      <c r="J218">
        <v>3.2599765905887041</v>
      </c>
      <c r="K218">
        <v>20</v>
      </c>
    </row>
    <row r="219" spans="1:11" x14ac:dyDescent="0.25">
      <c r="A219" t="s">
        <v>132</v>
      </c>
      <c r="B219" t="s">
        <v>161</v>
      </c>
      <c r="C219" t="s">
        <v>258</v>
      </c>
      <c r="D219" t="s">
        <v>284</v>
      </c>
      <c r="E219">
        <v>419.19372841691899</v>
      </c>
      <c r="F219">
        <v>3.8483385792023745</v>
      </c>
      <c r="G219">
        <v>1613.199397226512</v>
      </c>
      <c r="H219">
        <v>1.613199397226512</v>
      </c>
      <c r="I219">
        <v>32263.987944530239</v>
      </c>
      <c r="J219">
        <v>32.263987944530243</v>
      </c>
      <c r="K219">
        <v>20</v>
      </c>
    </row>
    <row r="220" spans="1:11" x14ac:dyDescent="0.25">
      <c r="A220" t="s">
        <v>132</v>
      </c>
      <c r="B220" t="s">
        <v>165</v>
      </c>
      <c r="C220" t="s">
        <v>258</v>
      </c>
      <c r="D220" t="s">
        <v>282</v>
      </c>
      <c r="E220">
        <v>149.71204586318501</v>
      </c>
      <c r="F220">
        <v>7.8725197222822798</v>
      </c>
      <c r="G220">
        <v>1178.6110337211533</v>
      </c>
      <c r="H220">
        <v>1.1786110337211533</v>
      </c>
      <c r="I220">
        <v>23572.220674423064</v>
      </c>
      <c r="J220">
        <v>23.572220674423065</v>
      </c>
      <c r="K220">
        <v>20</v>
      </c>
    </row>
    <row r="221" spans="1:11" x14ac:dyDescent="0.25">
      <c r="A221" t="s">
        <v>132</v>
      </c>
      <c r="B221" t="s">
        <v>212</v>
      </c>
      <c r="C221" t="s">
        <v>258</v>
      </c>
      <c r="D221" t="s">
        <v>192</v>
      </c>
      <c r="E221">
        <v>320.94519831920297</v>
      </c>
      <c r="F221">
        <v>0.18399744000000001</v>
      </c>
      <c r="G221">
        <v>59.053094871025657</v>
      </c>
      <c r="H221">
        <v>5.9053094871025655E-2</v>
      </c>
      <c r="I221">
        <v>1181.0618974205131</v>
      </c>
      <c r="J221">
        <v>1.1810618974205132</v>
      </c>
      <c r="K221">
        <v>20</v>
      </c>
    </row>
    <row r="222" spans="1:11" x14ac:dyDescent="0.25">
      <c r="A222" t="s">
        <v>132</v>
      </c>
      <c r="B222" t="s">
        <v>207</v>
      </c>
      <c r="C222" t="s">
        <v>258</v>
      </c>
      <c r="D222" t="s">
        <v>192</v>
      </c>
      <c r="E222">
        <v>2246.6163882344199</v>
      </c>
      <c r="F222">
        <v>2.7804648571428565E-2</v>
      </c>
      <c r="G222">
        <v>62.466379149670168</v>
      </c>
      <c r="H222">
        <v>6.2466379149670168E-2</v>
      </c>
      <c r="I222">
        <v>1249.3275829934034</v>
      </c>
      <c r="J222">
        <v>1.2493275829934034</v>
      </c>
      <c r="K222">
        <v>20</v>
      </c>
    </row>
    <row r="223" spans="1:11" x14ac:dyDescent="0.25">
      <c r="A223" t="s">
        <v>132</v>
      </c>
      <c r="B223" t="s">
        <v>208</v>
      </c>
      <c r="C223" t="s">
        <v>258</v>
      </c>
      <c r="D223" t="s">
        <v>192</v>
      </c>
      <c r="E223">
        <v>320.94519831920297</v>
      </c>
      <c r="F223">
        <v>6.6528000000000004E-3</v>
      </c>
      <c r="G223">
        <v>2.1351842153779939</v>
      </c>
      <c r="H223">
        <v>2.1351842153779937E-3</v>
      </c>
      <c r="I223">
        <v>42.703684307559875</v>
      </c>
      <c r="J223">
        <v>4.2703684307559872E-2</v>
      </c>
      <c r="K223">
        <v>20</v>
      </c>
    </row>
    <row r="224" spans="1:11" x14ac:dyDescent="0.25">
      <c r="A224" t="s">
        <v>132</v>
      </c>
      <c r="B224" t="s">
        <v>209</v>
      </c>
      <c r="C224" t="s">
        <v>258</v>
      </c>
      <c r="D224" t="s">
        <v>192</v>
      </c>
      <c r="E224">
        <v>2246.6163882344199</v>
      </c>
      <c r="F224">
        <v>3.1225708800000002E-2</v>
      </c>
      <c r="G224">
        <v>70.15218912431574</v>
      </c>
      <c r="H224">
        <v>7.0152189124315742E-2</v>
      </c>
      <c r="I224">
        <v>1403.0437824863147</v>
      </c>
      <c r="J224">
        <v>1.4030437824863147</v>
      </c>
      <c r="K224">
        <v>20</v>
      </c>
    </row>
    <row r="225" spans="1:11" x14ac:dyDescent="0.25">
      <c r="A225" t="s">
        <v>132</v>
      </c>
      <c r="B225" t="s">
        <v>213</v>
      </c>
      <c r="C225" t="s">
        <v>258</v>
      </c>
      <c r="D225" t="s">
        <v>192</v>
      </c>
      <c r="E225">
        <v>320.94519831920297</v>
      </c>
      <c r="F225">
        <v>6.1611580800000003E-2</v>
      </c>
      <c r="G225">
        <v>19.773941018615599</v>
      </c>
      <c r="H225">
        <v>1.9773941018615598E-2</v>
      </c>
      <c r="I225">
        <v>395.47882037231199</v>
      </c>
      <c r="J225">
        <v>0.39547882037231197</v>
      </c>
      <c r="K225">
        <v>20</v>
      </c>
    </row>
    <row r="226" spans="1:11" x14ac:dyDescent="0.25">
      <c r="A226" t="s">
        <v>132</v>
      </c>
      <c r="B226" t="s">
        <v>153</v>
      </c>
      <c r="C226" t="s">
        <v>258</v>
      </c>
      <c r="D226" t="s">
        <v>284</v>
      </c>
      <c r="E226">
        <v>69.865621402819798</v>
      </c>
      <c r="F226">
        <v>6.3243307688165649</v>
      </c>
      <c r="G226">
        <v>441.8532991203424</v>
      </c>
      <c r="H226">
        <v>0.44185329912034238</v>
      </c>
      <c r="I226">
        <v>8837.065982406848</v>
      </c>
      <c r="J226">
        <v>8.8370659824068483</v>
      </c>
      <c r="K226">
        <v>20</v>
      </c>
    </row>
    <row r="227" spans="1:11" x14ac:dyDescent="0.25">
      <c r="A227" t="s">
        <v>132</v>
      </c>
      <c r="B227" t="s">
        <v>210</v>
      </c>
      <c r="C227" t="s">
        <v>258</v>
      </c>
      <c r="D227" t="s">
        <v>192</v>
      </c>
      <c r="E227">
        <v>1925.6711899152201</v>
      </c>
      <c r="F227">
        <v>1.5699168333333333E-2</v>
      </c>
      <c r="G227">
        <v>30.231436165129342</v>
      </c>
      <c r="H227">
        <v>3.0231436165129341E-2</v>
      </c>
      <c r="I227">
        <v>604.62872330258688</v>
      </c>
      <c r="J227">
        <v>0.60462872330258688</v>
      </c>
      <c r="K227">
        <v>20</v>
      </c>
    </row>
    <row r="228" spans="1:11" x14ac:dyDescent="0.25">
      <c r="A228" t="s">
        <v>132</v>
      </c>
      <c r="B228" t="s">
        <v>215</v>
      </c>
      <c r="C228" t="s">
        <v>258</v>
      </c>
      <c r="D228" t="s">
        <v>192</v>
      </c>
      <c r="E228">
        <v>320.94519831920297</v>
      </c>
      <c r="F228">
        <v>0.16180566251623901</v>
      </c>
      <c r="G228">
        <v>51.930750445444353</v>
      </c>
      <c r="H228">
        <v>5.1930750445444353E-2</v>
      </c>
      <c r="I228">
        <v>1038.6150089088871</v>
      </c>
      <c r="J228">
        <v>1.0386150089088872</v>
      </c>
      <c r="K228">
        <v>20</v>
      </c>
    </row>
    <row r="229" spans="1:11" x14ac:dyDescent="0.25">
      <c r="A229" t="s">
        <v>132</v>
      </c>
      <c r="B229" t="s">
        <v>211</v>
      </c>
      <c r="C229" t="s">
        <v>258</v>
      </c>
      <c r="D229" t="s">
        <v>192</v>
      </c>
      <c r="E229">
        <v>11233.0819411721</v>
      </c>
      <c r="F229">
        <v>0.1152108554792</v>
      </c>
      <c r="G229">
        <v>1294.1729801103902</v>
      </c>
      <c r="H229">
        <v>1.2941729801103903</v>
      </c>
      <c r="I229">
        <v>25883.459602207804</v>
      </c>
      <c r="J229">
        <v>25.883459602207804</v>
      </c>
      <c r="K229">
        <v>20</v>
      </c>
    </row>
    <row r="230" spans="1:11" x14ac:dyDescent="0.25">
      <c r="A230" t="s">
        <v>135</v>
      </c>
      <c r="B230" t="s">
        <v>191</v>
      </c>
      <c r="C230" t="s">
        <v>259</v>
      </c>
      <c r="D230" t="s">
        <v>192</v>
      </c>
      <c r="E230">
        <v>6586.1677797293696</v>
      </c>
      <c r="F230">
        <v>1.2372172666666667E-2</v>
      </c>
      <c r="G230">
        <v>81.485204982448394</v>
      </c>
      <c r="H230">
        <v>8.1485204982448392E-2</v>
      </c>
      <c r="I230">
        <v>1629.7040996489679</v>
      </c>
      <c r="J230">
        <v>1.629704099648968</v>
      </c>
      <c r="K230">
        <v>20</v>
      </c>
    </row>
    <row r="231" spans="1:11" x14ac:dyDescent="0.25">
      <c r="A231" t="s">
        <v>135</v>
      </c>
      <c r="B231" t="s">
        <v>172</v>
      </c>
      <c r="C231" t="s">
        <v>259</v>
      </c>
      <c r="D231" t="s">
        <v>281</v>
      </c>
      <c r="E231">
        <v>9213.4368940476397</v>
      </c>
      <c r="F231">
        <v>1.1895780218281151</v>
      </c>
      <c r="G231">
        <v>10960.102034659365</v>
      </c>
      <c r="H231">
        <v>10.960102034659364</v>
      </c>
      <c r="I231">
        <v>219202.0406931873</v>
      </c>
      <c r="J231">
        <v>219.20204069318731</v>
      </c>
      <c r="K231">
        <v>20</v>
      </c>
    </row>
    <row r="232" spans="1:11" x14ac:dyDescent="0.25">
      <c r="A232" t="s">
        <v>135</v>
      </c>
      <c r="B232" t="s">
        <v>171</v>
      </c>
      <c r="C232" t="s">
        <v>259</v>
      </c>
      <c r="D232" t="s">
        <v>282</v>
      </c>
      <c r="E232">
        <v>167.203485300506</v>
      </c>
      <c r="F232">
        <v>1.3207613402751484</v>
      </c>
      <c r="G232">
        <v>220.83589934417236</v>
      </c>
      <c r="H232">
        <v>0.22083589934417236</v>
      </c>
      <c r="I232">
        <v>4416.7179868834473</v>
      </c>
      <c r="J232">
        <v>4.4167179868834472</v>
      </c>
      <c r="K232">
        <v>20</v>
      </c>
    </row>
    <row r="233" spans="1:11" x14ac:dyDescent="0.25">
      <c r="A233" t="s">
        <v>135</v>
      </c>
      <c r="B233" t="s">
        <v>194</v>
      </c>
      <c r="C233" t="s">
        <v>259</v>
      </c>
      <c r="D233" t="s">
        <v>192</v>
      </c>
      <c r="E233">
        <v>4024.8803098346102</v>
      </c>
      <c r="F233">
        <v>1.8872181818181819E-2</v>
      </c>
      <c r="G233">
        <v>75.958273003618743</v>
      </c>
      <c r="H233">
        <v>7.5958273003618737E-2</v>
      </c>
      <c r="I233">
        <v>1519.1654600723748</v>
      </c>
      <c r="J233">
        <v>1.5191654600723747</v>
      </c>
      <c r="K233">
        <v>20</v>
      </c>
    </row>
    <row r="234" spans="1:11" x14ac:dyDescent="0.25">
      <c r="A234" t="s">
        <v>135</v>
      </c>
      <c r="B234" t="s">
        <v>195</v>
      </c>
      <c r="C234" t="s">
        <v>259</v>
      </c>
      <c r="D234" t="s">
        <v>192</v>
      </c>
      <c r="E234">
        <v>18660.808709233199</v>
      </c>
      <c r="F234">
        <v>2.15567677E-2</v>
      </c>
      <c r="G234">
        <v>402.2667184390769</v>
      </c>
      <c r="H234">
        <v>0.40226671843907691</v>
      </c>
      <c r="I234">
        <v>8045.3343687815377</v>
      </c>
      <c r="J234">
        <v>8.0453343687815373</v>
      </c>
      <c r="K234">
        <v>20</v>
      </c>
    </row>
    <row r="235" spans="1:11" x14ac:dyDescent="0.25">
      <c r="A235" t="s">
        <v>135</v>
      </c>
      <c r="B235" t="s">
        <v>196</v>
      </c>
      <c r="C235" t="s">
        <v>259</v>
      </c>
      <c r="D235" t="s">
        <v>197</v>
      </c>
      <c r="E235">
        <v>51591.647607879997</v>
      </c>
      <c r="F235">
        <v>6.8278645513328004E-2</v>
      </c>
      <c r="G235">
        <v>3522.607818466975</v>
      </c>
      <c r="H235">
        <v>3.5226078184669749</v>
      </c>
      <c r="I235">
        <v>70452.1563693395</v>
      </c>
      <c r="J235">
        <v>70.452156369339505</v>
      </c>
      <c r="K235">
        <v>20</v>
      </c>
    </row>
    <row r="236" spans="1:11" x14ac:dyDescent="0.25">
      <c r="A236" t="s">
        <v>135</v>
      </c>
      <c r="B236" t="s">
        <v>173</v>
      </c>
      <c r="C236" t="s">
        <v>259</v>
      </c>
      <c r="D236" t="s">
        <v>285</v>
      </c>
      <c r="E236">
        <v>7773.8373793526998</v>
      </c>
      <c r="F236">
        <v>0.89324173996391709</v>
      </c>
      <c r="G236">
        <v>6943.9160269295426</v>
      </c>
      <c r="H236">
        <v>6.9439160269295428</v>
      </c>
      <c r="I236">
        <v>138878.32053859084</v>
      </c>
      <c r="J236">
        <v>138.87832053859083</v>
      </c>
      <c r="K236">
        <v>20</v>
      </c>
    </row>
    <row r="237" spans="1:11" x14ac:dyDescent="0.25">
      <c r="A237" t="s">
        <v>135</v>
      </c>
      <c r="B237" t="s">
        <v>170</v>
      </c>
      <c r="C237" t="s">
        <v>259</v>
      </c>
      <c r="D237" t="s">
        <v>283</v>
      </c>
      <c r="E237">
        <v>3359.0655342882001</v>
      </c>
      <c r="F237">
        <v>6.1018741454527339</v>
      </c>
      <c r="G237">
        <v>20496.595136554541</v>
      </c>
      <c r="H237">
        <v>20.496595136554539</v>
      </c>
      <c r="I237">
        <v>409931.90273109078</v>
      </c>
      <c r="J237">
        <v>409.93190273109076</v>
      </c>
      <c r="K237">
        <v>20</v>
      </c>
    </row>
    <row r="238" spans="1:11" x14ac:dyDescent="0.25">
      <c r="A238" t="s">
        <v>135</v>
      </c>
      <c r="B238" t="s">
        <v>167</v>
      </c>
      <c r="C238" t="s">
        <v>259</v>
      </c>
      <c r="D238" t="s">
        <v>284</v>
      </c>
      <c r="E238">
        <v>287.91990293898903</v>
      </c>
      <c r="F238">
        <v>4.9934623755215579</v>
      </c>
      <c r="G238">
        <v>1437.7172024896606</v>
      </c>
      <c r="H238">
        <v>1.4377172024896607</v>
      </c>
      <c r="I238">
        <v>28754.344049793213</v>
      </c>
      <c r="J238">
        <v>28.754344049793215</v>
      </c>
      <c r="K238">
        <v>20</v>
      </c>
    </row>
    <row r="239" spans="1:11" x14ac:dyDescent="0.25">
      <c r="A239" t="s">
        <v>135</v>
      </c>
      <c r="B239" t="s">
        <v>174</v>
      </c>
      <c r="C239" t="s">
        <v>259</v>
      </c>
      <c r="D239" t="s">
        <v>281</v>
      </c>
      <c r="E239">
        <v>31.991100326554299</v>
      </c>
      <c r="F239">
        <v>9.9190222032036104</v>
      </c>
      <c r="G239">
        <v>317.32043444400637</v>
      </c>
      <c r="H239">
        <v>0.31732043444400637</v>
      </c>
      <c r="I239">
        <v>6346.4086888801276</v>
      </c>
      <c r="J239">
        <v>6.3464086888801274</v>
      </c>
      <c r="K239">
        <v>20</v>
      </c>
    </row>
    <row r="240" spans="1:11" x14ac:dyDescent="0.25">
      <c r="A240" t="s">
        <v>135</v>
      </c>
      <c r="B240" t="s">
        <v>166</v>
      </c>
      <c r="C240" t="s">
        <v>259</v>
      </c>
      <c r="D240" t="s">
        <v>285</v>
      </c>
      <c r="E240">
        <v>2399.33252449157</v>
      </c>
      <c r="F240">
        <v>4.3006730929528612</v>
      </c>
      <c r="G240">
        <v>10318.744829127556</v>
      </c>
      <c r="H240">
        <v>10.318744829127557</v>
      </c>
      <c r="I240">
        <v>206374.89658255113</v>
      </c>
      <c r="J240">
        <v>206.37489658255112</v>
      </c>
      <c r="K240">
        <v>20</v>
      </c>
    </row>
    <row r="241" spans="1:11" x14ac:dyDescent="0.25">
      <c r="A241" t="s">
        <v>135</v>
      </c>
      <c r="B241" t="s">
        <v>198</v>
      </c>
      <c r="C241" t="s">
        <v>259</v>
      </c>
      <c r="D241" t="s">
        <v>290</v>
      </c>
      <c r="E241">
        <v>15733.623029353501</v>
      </c>
      <c r="F241">
        <v>0.17702392708397813</v>
      </c>
      <c r="G241">
        <v>2785.227735915073</v>
      </c>
      <c r="H241">
        <v>2.7852277359150732</v>
      </c>
      <c r="I241">
        <v>55704.554718301457</v>
      </c>
      <c r="J241">
        <v>55.704554718301459</v>
      </c>
      <c r="K241">
        <v>20</v>
      </c>
    </row>
    <row r="242" spans="1:11" x14ac:dyDescent="0.25">
      <c r="A242" t="s">
        <v>135</v>
      </c>
      <c r="B242" t="s">
        <v>164</v>
      </c>
      <c r="C242" t="s">
        <v>259</v>
      </c>
      <c r="D242" t="s">
        <v>281</v>
      </c>
      <c r="E242">
        <v>63.982200653108599</v>
      </c>
      <c r="F242">
        <v>1.44404783859943</v>
      </c>
      <c r="G242">
        <v>92.393358561956504</v>
      </c>
      <c r="H242">
        <v>9.2393358561956504E-2</v>
      </c>
      <c r="I242">
        <v>1847.8671712391301</v>
      </c>
      <c r="J242">
        <v>1.8478671712391301</v>
      </c>
      <c r="K242">
        <v>20</v>
      </c>
    </row>
    <row r="243" spans="1:11" x14ac:dyDescent="0.25">
      <c r="A243" t="s">
        <v>135</v>
      </c>
      <c r="B243" t="s">
        <v>200</v>
      </c>
      <c r="C243" t="s">
        <v>259</v>
      </c>
      <c r="D243" t="s">
        <v>192</v>
      </c>
      <c r="E243">
        <v>1829.4910499248199</v>
      </c>
      <c r="F243">
        <v>3.0273884000000008E-2</v>
      </c>
      <c r="G243">
        <v>55.385799824462218</v>
      </c>
      <c r="H243">
        <v>5.538579982446222E-2</v>
      </c>
      <c r="I243">
        <v>1107.7159964892444</v>
      </c>
      <c r="J243">
        <v>1.1077159964892445</v>
      </c>
      <c r="K243">
        <v>20</v>
      </c>
    </row>
    <row r="244" spans="1:11" x14ac:dyDescent="0.25">
      <c r="A244" t="s">
        <v>135</v>
      </c>
      <c r="B244" t="s">
        <v>163</v>
      </c>
      <c r="C244" t="s">
        <v>259</v>
      </c>
      <c r="D244" t="s">
        <v>281</v>
      </c>
      <c r="E244">
        <v>895.750809143521</v>
      </c>
      <c r="F244">
        <v>2.7468215117587027</v>
      </c>
      <c r="G244">
        <v>2460.4675917306877</v>
      </c>
      <c r="H244">
        <v>2.4604675917306875</v>
      </c>
      <c r="I244">
        <v>49209.351834613757</v>
      </c>
      <c r="J244">
        <v>49.209351834613756</v>
      </c>
      <c r="K244">
        <v>20</v>
      </c>
    </row>
    <row r="245" spans="1:11" x14ac:dyDescent="0.25">
      <c r="A245" t="s">
        <v>135</v>
      </c>
      <c r="B245" t="s">
        <v>201</v>
      </c>
      <c r="C245" t="s">
        <v>259</v>
      </c>
      <c r="D245" t="s">
        <v>192</v>
      </c>
      <c r="E245">
        <v>18294.910499248199</v>
      </c>
      <c r="F245">
        <v>7.5094716637499987E-3</v>
      </c>
      <c r="G245">
        <v>137.38511198494669</v>
      </c>
      <c r="H245">
        <v>0.13738511198494668</v>
      </c>
      <c r="I245">
        <v>2747.7022396989337</v>
      </c>
      <c r="J245">
        <v>2.7477022396989339</v>
      </c>
      <c r="K245">
        <v>20</v>
      </c>
    </row>
    <row r="246" spans="1:11" x14ac:dyDescent="0.25">
      <c r="A246" t="s">
        <v>135</v>
      </c>
      <c r="B246" t="s">
        <v>202</v>
      </c>
      <c r="C246" t="s">
        <v>259</v>
      </c>
      <c r="D246" t="s">
        <v>192</v>
      </c>
      <c r="E246">
        <v>32199.0424786769</v>
      </c>
      <c r="F246">
        <v>1.5135255999999999E-3</v>
      </c>
      <c r="G246">
        <v>48.734075086964943</v>
      </c>
      <c r="H246">
        <v>4.8734075086964944E-2</v>
      </c>
      <c r="I246">
        <v>974.68150173929882</v>
      </c>
      <c r="J246">
        <v>0.97468150173929879</v>
      </c>
      <c r="K246">
        <v>20</v>
      </c>
    </row>
    <row r="247" spans="1:11" x14ac:dyDescent="0.25">
      <c r="A247" t="s">
        <v>135</v>
      </c>
      <c r="B247" t="s">
        <v>203</v>
      </c>
      <c r="C247" t="s">
        <v>259</v>
      </c>
      <c r="D247" t="s">
        <v>192</v>
      </c>
      <c r="E247">
        <v>7683.8624096842595</v>
      </c>
      <c r="F247">
        <v>2.0060116E-3</v>
      </c>
      <c r="G247">
        <v>15.413917126630578</v>
      </c>
      <c r="H247">
        <v>1.5413917126630578E-2</v>
      </c>
      <c r="I247">
        <v>308.27834253261153</v>
      </c>
      <c r="J247">
        <v>0.30827834253261155</v>
      </c>
      <c r="K247">
        <v>20</v>
      </c>
    </row>
    <row r="248" spans="1:11" x14ac:dyDescent="0.25">
      <c r="A248" t="s">
        <v>135</v>
      </c>
      <c r="B248" t="s">
        <v>204</v>
      </c>
      <c r="C248" t="s">
        <v>259</v>
      </c>
      <c r="D248" t="s">
        <v>192</v>
      </c>
      <c r="E248">
        <v>2927.1856798797198</v>
      </c>
      <c r="F248">
        <v>3.4694274999999999E-3</v>
      </c>
      <c r="G248">
        <v>10.155658495380896</v>
      </c>
      <c r="H248">
        <v>1.0155658495380896E-2</v>
      </c>
      <c r="I248">
        <v>203.11316990761793</v>
      </c>
      <c r="J248">
        <v>0.20311316990761794</v>
      </c>
      <c r="K248">
        <v>20</v>
      </c>
    </row>
    <row r="249" spans="1:11" x14ac:dyDescent="0.25">
      <c r="A249" t="s">
        <v>135</v>
      </c>
      <c r="B249" t="s">
        <v>216</v>
      </c>
      <c r="C249" t="s">
        <v>259</v>
      </c>
      <c r="D249" t="s">
        <v>192</v>
      </c>
      <c r="E249">
        <v>1463.5928399398599</v>
      </c>
      <c r="F249">
        <v>6.7003571250000005E-2</v>
      </c>
      <c r="G249">
        <v>98.065947131900259</v>
      </c>
      <c r="H249">
        <v>9.8065947131900255E-2</v>
      </c>
      <c r="I249">
        <v>1961.3189426380052</v>
      </c>
      <c r="J249">
        <v>1.9613189426380051</v>
      </c>
      <c r="K249">
        <v>20</v>
      </c>
    </row>
    <row r="250" spans="1:11" x14ac:dyDescent="0.25">
      <c r="A250" t="s">
        <v>135</v>
      </c>
      <c r="B250" t="s">
        <v>162</v>
      </c>
      <c r="C250" t="s">
        <v>259</v>
      </c>
      <c r="D250" t="s">
        <v>284</v>
      </c>
      <c r="E250">
        <v>63.982200653108599</v>
      </c>
      <c r="F250">
        <v>4.2937065927586904</v>
      </c>
      <c r="G250">
        <v>274.72079676346175</v>
      </c>
      <c r="H250">
        <v>0.27472079676346173</v>
      </c>
      <c r="I250">
        <v>5494.415935269235</v>
      </c>
      <c r="J250">
        <v>5.4944159352692346</v>
      </c>
      <c r="K250">
        <v>20</v>
      </c>
    </row>
    <row r="251" spans="1:11" x14ac:dyDescent="0.25">
      <c r="A251" t="s">
        <v>135</v>
      </c>
      <c r="B251" t="s">
        <v>165</v>
      </c>
      <c r="C251" t="s">
        <v>259</v>
      </c>
      <c r="D251" t="s">
        <v>282</v>
      </c>
      <c r="E251">
        <v>13.7104715685233</v>
      </c>
      <c r="F251">
        <v>0.30120182718029098</v>
      </c>
      <c r="G251">
        <v>4.1296190879426478</v>
      </c>
      <c r="H251">
        <v>4.1296190879426481E-3</v>
      </c>
      <c r="I251">
        <v>82.592381758852952</v>
      </c>
      <c r="J251">
        <v>8.2592381758852945E-2</v>
      </c>
      <c r="K251">
        <v>20</v>
      </c>
    </row>
    <row r="252" spans="1:11" x14ac:dyDescent="0.25">
      <c r="A252" t="s">
        <v>135</v>
      </c>
      <c r="B252" t="s">
        <v>212</v>
      </c>
      <c r="C252" t="s">
        <v>259</v>
      </c>
      <c r="D252" t="s">
        <v>192</v>
      </c>
      <c r="E252">
        <v>731.79641996992996</v>
      </c>
      <c r="F252">
        <v>0.35489947999999999</v>
      </c>
      <c r="G252">
        <v>259.71416891318972</v>
      </c>
      <c r="H252">
        <v>0.25971416891318971</v>
      </c>
      <c r="I252">
        <v>5194.2833782637945</v>
      </c>
      <c r="J252">
        <v>5.194283378263794</v>
      </c>
      <c r="K252">
        <v>20</v>
      </c>
    </row>
    <row r="253" spans="1:11" x14ac:dyDescent="0.25">
      <c r="A253" t="s">
        <v>135</v>
      </c>
      <c r="B253" t="s">
        <v>208</v>
      </c>
      <c r="C253" t="s">
        <v>259</v>
      </c>
      <c r="D253" t="s">
        <v>192</v>
      </c>
      <c r="E253">
        <v>4024.8803098346102</v>
      </c>
      <c r="F253">
        <v>2.0948421200000004E-2</v>
      </c>
      <c r="G253">
        <v>84.314888010001937</v>
      </c>
      <c r="H253">
        <v>8.4314888010001934E-2</v>
      </c>
      <c r="I253">
        <v>1686.2977602000387</v>
      </c>
      <c r="J253">
        <v>1.6862977602000386</v>
      </c>
      <c r="K253">
        <v>20</v>
      </c>
    </row>
    <row r="254" spans="1:11" x14ac:dyDescent="0.25">
      <c r="A254" t="s">
        <v>135</v>
      </c>
      <c r="B254" t="s">
        <v>209</v>
      </c>
      <c r="C254" t="s">
        <v>259</v>
      </c>
      <c r="D254" t="s">
        <v>192</v>
      </c>
      <c r="E254">
        <v>1829.4910499248199</v>
      </c>
      <c r="F254">
        <v>4.2391481439999996E-2</v>
      </c>
      <c r="G254">
        <v>77.554835887534111</v>
      </c>
      <c r="H254">
        <v>7.7554835887534104E-2</v>
      </c>
      <c r="I254">
        <v>1551.0967177506823</v>
      </c>
      <c r="J254">
        <v>1.5510967177506823</v>
      </c>
      <c r="K254">
        <v>20</v>
      </c>
    </row>
    <row r="255" spans="1:11" x14ac:dyDescent="0.25">
      <c r="A255" t="s">
        <v>135</v>
      </c>
      <c r="B255" t="s">
        <v>153</v>
      </c>
      <c r="C255" t="s">
        <v>259</v>
      </c>
      <c r="D255" t="s">
        <v>284</v>
      </c>
      <c r="E255">
        <v>31.991100326554299</v>
      </c>
      <c r="F255">
        <v>4.9547134472881096</v>
      </c>
      <c r="G255">
        <v>158.50673498152162</v>
      </c>
      <c r="H255">
        <v>0.15850673498152162</v>
      </c>
      <c r="I255">
        <v>3170.1346996304324</v>
      </c>
      <c r="J255">
        <v>3.1701346996304323</v>
      </c>
      <c r="K255">
        <v>20</v>
      </c>
    </row>
    <row r="256" spans="1:11" x14ac:dyDescent="0.25">
      <c r="A256" t="s">
        <v>135</v>
      </c>
      <c r="B256" t="s">
        <v>210</v>
      </c>
      <c r="C256" t="s">
        <v>259</v>
      </c>
      <c r="D256" t="s">
        <v>192</v>
      </c>
      <c r="E256">
        <v>4390.7785198195797</v>
      </c>
      <c r="F256">
        <v>2.0753616666666665E-2</v>
      </c>
      <c r="G256">
        <v>91.124534268569619</v>
      </c>
      <c r="H256">
        <v>9.1124534268569618E-2</v>
      </c>
      <c r="I256">
        <v>1822.4906853713924</v>
      </c>
      <c r="J256">
        <v>1.8224906853713925</v>
      </c>
      <c r="K256">
        <v>20</v>
      </c>
    </row>
    <row r="257" spans="1:11" x14ac:dyDescent="0.25">
      <c r="A257" t="s">
        <v>135</v>
      </c>
      <c r="B257" t="s">
        <v>215</v>
      </c>
      <c r="C257" t="s">
        <v>259</v>
      </c>
      <c r="D257" t="s">
        <v>192</v>
      </c>
      <c r="E257">
        <v>365.89820998496498</v>
      </c>
      <c r="F257">
        <v>5.0804420471999998E-2</v>
      </c>
      <c r="G257">
        <v>18.58924651002831</v>
      </c>
      <c r="H257">
        <v>1.8589246510028311E-2</v>
      </c>
      <c r="I257">
        <v>371.78493020056624</v>
      </c>
      <c r="J257">
        <v>0.37178493020056624</v>
      </c>
      <c r="K257">
        <v>20</v>
      </c>
    </row>
    <row r="258" spans="1:11" x14ac:dyDescent="0.25">
      <c r="A258" t="s">
        <v>135</v>
      </c>
      <c r="B258" t="s">
        <v>211</v>
      </c>
      <c r="C258" t="s">
        <v>259</v>
      </c>
      <c r="D258" t="s">
        <v>192</v>
      </c>
      <c r="E258">
        <v>4024.8803098346102</v>
      </c>
      <c r="F258">
        <v>7.5950989097454555E-2</v>
      </c>
      <c r="G258">
        <v>305.69364053080801</v>
      </c>
      <c r="H258">
        <v>0.305693640530808</v>
      </c>
      <c r="I258">
        <v>6113.8728106161598</v>
      </c>
      <c r="J258">
        <v>6.1138728106161597</v>
      </c>
      <c r="K258">
        <v>20</v>
      </c>
    </row>
    <row r="259" spans="1:11" x14ac:dyDescent="0.25">
      <c r="A259" t="s">
        <v>136</v>
      </c>
      <c r="B259" t="s">
        <v>180</v>
      </c>
      <c r="C259" t="s">
        <v>260</v>
      </c>
      <c r="D259" t="s">
        <v>281</v>
      </c>
      <c r="E259">
        <v>18.381983050540299</v>
      </c>
      <c r="F259">
        <v>0.39191324427547564</v>
      </c>
      <c r="G259">
        <v>7.2041426135540529</v>
      </c>
      <c r="H259">
        <v>7.2041426135540532E-3</v>
      </c>
      <c r="I259">
        <v>144.08285227108107</v>
      </c>
      <c r="J259">
        <v>0.14408285227108106</v>
      </c>
      <c r="K259">
        <v>13</v>
      </c>
    </row>
    <row r="260" spans="1:11" x14ac:dyDescent="0.25">
      <c r="A260" t="s">
        <v>136</v>
      </c>
      <c r="B260" t="s">
        <v>217</v>
      </c>
      <c r="C260" t="s">
        <v>260</v>
      </c>
      <c r="D260" t="s">
        <v>192</v>
      </c>
      <c r="E260">
        <v>735.27932202161105</v>
      </c>
      <c r="F260">
        <v>3.6713999999999997E-2</v>
      </c>
      <c r="G260">
        <v>26.995045028701426</v>
      </c>
      <c r="H260">
        <v>2.6995045028701425E-2</v>
      </c>
      <c r="I260">
        <v>539.90090057402858</v>
      </c>
      <c r="J260">
        <v>0.53990090057402862</v>
      </c>
      <c r="K260">
        <v>13</v>
      </c>
    </row>
    <row r="261" spans="1:11" x14ac:dyDescent="0.25">
      <c r="A261" t="s">
        <v>136</v>
      </c>
      <c r="B261" t="s">
        <v>191</v>
      </c>
      <c r="C261" t="s">
        <v>260</v>
      </c>
      <c r="D261" t="s">
        <v>192</v>
      </c>
      <c r="E261">
        <v>18381.983050540301</v>
      </c>
      <c r="F261">
        <v>1.6219134000000003E-2</v>
      </c>
      <c r="G261">
        <v>298.13984628244197</v>
      </c>
      <c r="H261">
        <v>0.29813984628244194</v>
      </c>
      <c r="I261">
        <v>5962.7969256488395</v>
      </c>
      <c r="J261">
        <v>5.9627969256488393</v>
      </c>
      <c r="K261">
        <v>13</v>
      </c>
    </row>
    <row r="262" spans="1:11" x14ac:dyDescent="0.25">
      <c r="A262" t="s">
        <v>136</v>
      </c>
      <c r="B262" t="s">
        <v>218</v>
      </c>
      <c r="C262" t="s">
        <v>260</v>
      </c>
      <c r="D262" t="s">
        <v>192</v>
      </c>
      <c r="E262">
        <v>735.27932202161105</v>
      </c>
      <c r="F262">
        <v>4.0728804138749997</v>
      </c>
      <c r="G262">
        <v>2994.7047493891082</v>
      </c>
      <c r="H262">
        <v>2.9947047493891081</v>
      </c>
      <c r="I262">
        <v>59894.094987782162</v>
      </c>
      <c r="J262">
        <v>59.894094987782161</v>
      </c>
      <c r="K262">
        <v>13</v>
      </c>
    </row>
    <row r="263" spans="1:11" x14ac:dyDescent="0.25">
      <c r="A263" t="s">
        <v>136</v>
      </c>
      <c r="B263" t="s">
        <v>193</v>
      </c>
      <c r="C263" t="s">
        <v>260</v>
      </c>
      <c r="D263" t="s">
        <v>192</v>
      </c>
      <c r="E263">
        <v>735.27932202161105</v>
      </c>
      <c r="F263">
        <v>3.0884396967449996</v>
      </c>
      <c r="G263">
        <v>2270.8658463272932</v>
      </c>
      <c r="H263">
        <v>2.2708658463272933</v>
      </c>
      <c r="I263">
        <v>45417.316926545864</v>
      </c>
      <c r="J263">
        <v>45.417316926545865</v>
      </c>
      <c r="K263">
        <v>13</v>
      </c>
    </row>
    <row r="264" spans="1:11" x14ac:dyDescent="0.25">
      <c r="A264" t="s">
        <v>136</v>
      </c>
      <c r="B264" t="s">
        <v>172</v>
      </c>
      <c r="C264" t="s">
        <v>260</v>
      </c>
      <c r="D264" t="s">
        <v>281</v>
      </c>
      <c r="E264">
        <v>3474.1947965521099</v>
      </c>
      <c r="F264">
        <v>1.103203073411521</v>
      </c>
      <c r="G264">
        <v>3832.7423771866015</v>
      </c>
      <c r="H264">
        <v>3.8327423771866016</v>
      </c>
      <c r="I264">
        <v>76654.84754373203</v>
      </c>
      <c r="J264">
        <v>76.654847543732032</v>
      </c>
      <c r="K264">
        <v>13</v>
      </c>
    </row>
    <row r="265" spans="1:11" x14ac:dyDescent="0.25">
      <c r="A265" t="s">
        <v>136</v>
      </c>
      <c r="B265" t="s">
        <v>171</v>
      </c>
      <c r="C265" t="s">
        <v>260</v>
      </c>
      <c r="D265" t="s">
        <v>282</v>
      </c>
      <c r="E265">
        <v>336.045627642689</v>
      </c>
      <c r="F265">
        <v>2.3793361274831986</v>
      </c>
      <c r="G265">
        <v>799.56550233301652</v>
      </c>
      <c r="H265">
        <v>0.79956550233301649</v>
      </c>
      <c r="I265">
        <v>15991.31004666033</v>
      </c>
      <c r="J265">
        <v>15.991310046660329</v>
      </c>
      <c r="K265">
        <v>13</v>
      </c>
    </row>
    <row r="266" spans="1:11" x14ac:dyDescent="0.25">
      <c r="A266" t="s">
        <v>136</v>
      </c>
      <c r="B266" t="s">
        <v>194</v>
      </c>
      <c r="C266" t="s">
        <v>260</v>
      </c>
      <c r="D266" t="s">
        <v>192</v>
      </c>
      <c r="E266">
        <v>4411.6759321296704</v>
      </c>
      <c r="F266">
        <v>2.0129264999999997E-2</v>
      </c>
      <c r="G266">
        <v>88.803793931960129</v>
      </c>
      <c r="H266">
        <v>8.8803793931960126E-2</v>
      </c>
      <c r="I266">
        <v>1776.0758786392025</v>
      </c>
      <c r="J266">
        <v>1.7760758786392026</v>
      </c>
      <c r="K266">
        <v>13</v>
      </c>
    </row>
    <row r="267" spans="1:11" x14ac:dyDescent="0.25">
      <c r="A267" t="s">
        <v>136</v>
      </c>
      <c r="B267" t="s">
        <v>195</v>
      </c>
      <c r="C267" t="s">
        <v>260</v>
      </c>
      <c r="D267" t="s">
        <v>192</v>
      </c>
      <c r="E267">
        <v>40808.0023721994</v>
      </c>
      <c r="F267">
        <v>1.5981633200000001E-2</v>
      </c>
      <c r="G267">
        <v>652.17852553722071</v>
      </c>
      <c r="H267">
        <v>0.65217852553722067</v>
      </c>
      <c r="I267">
        <v>13043.570510744414</v>
      </c>
      <c r="J267">
        <v>13.043570510744413</v>
      </c>
      <c r="K267">
        <v>13</v>
      </c>
    </row>
    <row r="268" spans="1:11" x14ac:dyDescent="0.25">
      <c r="A268" t="s">
        <v>136</v>
      </c>
      <c r="B268" t="s">
        <v>196</v>
      </c>
      <c r="C268" t="s">
        <v>260</v>
      </c>
      <c r="D268" t="s">
        <v>197</v>
      </c>
      <c r="E268">
        <v>1470.5586440432201</v>
      </c>
      <c r="F268">
        <v>0.11688357792514165</v>
      </c>
      <c r="G268">
        <v>171.88415586451634</v>
      </c>
      <c r="H268">
        <v>0.17188415586451636</v>
      </c>
      <c r="I268">
        <v>3437.6831172903267</v>
      </c>
      <c r="J268">
        <v>3.4376831172903266</v>
      </c>
      <c r="K268">
        <v>13</v>
      </c>
    </row>
    <row r="269" spans="1:11" x14ac:dyDescent="0.25">
      <c r="A269" t="s">
        <v>136</v>
      </c>
      <c r="B269" t="s">
        <v>173</v>
      </c>
      <c r="C269" t="s">
        <v>260</v>
      </c>
      <c r="D269" t="s">
        <v>285</v>
      </c>
      <c r="E269">
        <v>36.763966101080598</v>
      </c>
      <c r="F269">
        <v>1.3171127729064687</v>
      </c>
      <c r="G269">
        <v>48.422289334433685</v>
      </c>
      <c r="H269">
        <v>4.8422289334433682E-2</v>
      </c>
      <c r="I269">
        <v>968.44578668867371</v>
      </c>
      <c r="J269">
        <v>0.96844578668867376</v>
      </c>
      <c r="K269">
        <v>13</v>
      </c>
    </row>
    <row r="270" spans="1:11" x14ac:dyDescent="0.25">
      <c r="A270" t="s">
        <v>136</v>
      </c>
      <c r="B270" t="s">
        <v>170</v>
      </c>
      <c r="C270" t="s">
        <v>260</v>
      </c>
      <c r="D270" t="s">
        <v>283</v>
      </c>
      <c r="E270">
        <v>324.748367226212</v>
      </c>
      <c r="F270">
        <v>2.2404846085023968</v>
      </c>
      <c r="G270">
        <v>727.5937184066122</v>
      </c>
      <c r="H270">
        <v>0.72759371840661224</v>
      </c>
      <c r="I270">
        <v>14551.874368132245</v>
      </c>
      <c r="J270">
        <v>14.551874368132244</v>
      </c>
      <c r="K270">
        <v>13</v>
      </c>
    </row>
    <row r="271" spans="1:11" x14ac:dyDescent="0.25">
      <c r="A271" t="s">
        <v>136</v>
      </c>
      <c r="B271" t="s">
        <v>179</v>
      </c>
      <c r="C271" t="s">
        <v>260</v>
      </c>
      <c r="D271" t="s">
        <v>283</v>
      </c>
      <c r="E271">
        <v>42.891293784593998</v>
      </c>
      <c r="F271">
        <v>2.8996545085717509</v>
      </c>
      <c r="G271">
        <v>124.36993340097351</v>
      </c>
      <c r="H271">
        <v>0.12436993340097351</v>
      </c>
      <c r="I271">
        <v>2487.3986680194703</v>
      </c>
      <c r="J271">
        <v>2.4873986680194702</v>
      </c>
      <c r="K271">
        <v>13</v>
      </c>
    </row>
    <row r="272" spans="1:11" x14ac:dyDescent="0.25">
      <c r="A272" t="s">
        <v>136</v>
      </c>
      <c r="B272" t="s">
        <v>167</v>
      </c>
      <c r="C272" t="s">
        <v>260</v>
      </c>
      <c r="D272" t="s">
        <v>284</v>
      </c>
      <c r="E272">
        <v>42.891293784593998</v>
      </c>
      <c r="F272">
        <v>2.122034635314261</v>
      </c>
      <c r="G272">
        <v>91.016810964347755</v>
      </c>
      <c r="H272">
        <v>9.1016810964347758E-2</v>
      </c>
      <c r="I272">
        <v>1820.3362192869552</v>
      </c>
      <c r="J272">
        <v>1.8203362192869552</v>
      </c>
      <c r="K272">
        <v>13</v>
      </c>
    </row>
    <row r="273" spans="1:11" x14ac:dyDescent="0.25">
      <c r="A273" t="s">
        <v>136</v>
      </c>
      <c r="B273" t="s">
        <v>198</v>
      </c>
      <c r="C273" t="s">
        <v>260</v>
      </c>
      <c r="D273" t="s">
        <v>290</v>
      </c>
      <c r="E273">
        <v>22058.379660648301</v>
      </c>
      <c r="F273">
        <v>0.17578625884045021</v>
      </c>
      <c r="G273">
        <v>3877.5600366276444</v>
      </c>
      <c r="H273">
        <v>3.8775600366276444</v>
      </c>
      <c r="I273">
        <v>77551.200732552883</v>
      </c>
      <c r="J273">
        <v>77.551200732552886</v>
      </c>
      <c r="K273">
        <v>13</v>
      </c>
    </row>
    <row r="274" spans="1:11" x14ac:dyDescent="0.25">
      <c r="A274" t="s">
        <v>136</v>
      </c>
      <c r="B274" t="s">
        <v>175</v>
      </c>
      <c r="C274" t="s">
        <v>260</v>
      </c>
      <c r="D274" t="s">
        <v>284</v>
      </c>
      <c r="E274">
        <v>6.12732768351343</v>
      </c>
      <c r="F274">
        <v>0.69384374627834899</v>
      </c>
      <c r="G274">
        <v>4.251407994603996</v>
      </c>
      <c r="H274">
        <v>4.251407994603996E-3</v>
      </c>
      <c r="I274">
        <v>85.028159892079913</v>
      </c>
      <c r="J274">
        <v>8.5028159892079916E-2</v>
      </c>
      <c r="K274">
        <v>13</v>
      </c>
    </row>
    <row r="275" spans="1:11" x14ac:dyDescent="0.25">
      <c r="A275" t="s">
        <v>136</v>
      </c>
      <c r="B275" t="s">
        <v>164</v>
      </c>
      <c r="C275" t="s">
        <v>260</v>
      </c>
      <c r="D275" t="s">
        <v>281</v>
      </c>
      <c r="E275">
        <v>67.400604518647697</v>
      </c>
      <c r="F275">
        <v>1.8070783281119789</v>
      </c>
      <c r="G275">
        <v>121.79817172729457</v>
      </c>
      <c r="H275">
        <v>0.12179817172729457</v>
      </c>
      <c r="I275">
        <v>2435.9634345458917</v>
      </c>
      <c r="J275">
        <v>2.4359634345458918</v>
      </c>
      <c r="K275">
        <v>13</v>
      </c>
    </row>
    <row r="276" spans="1:11" x14ac:dyDescent="0.25">
      <c r="A276" t="s">
        <v>136</v>
      </c>
      <c r="B276" t="s">
        <v>200</v>
      </c>
      <c r="C276" t="s">
        <v>260</v>
      </c>
      <c r="D276" t="s">
        <v>192</v>
      </c>
      <c r="E276">
        <v>16176.1450844754</v>
      </c>
      <c r="F276">
        <v>2.3407846E-2</v>
      </c>
      <c r="G276">
        <v>378.64871301105717</v>
      </c>
      <c r="H276">
        <v>0.37864871301105718</v>
      </c>
      <c r="I276">
        <v>7572.9742602211436</v>
      </c>
      <c r="J276">
        <v>7.5729742602211436</v>
      </c>
      <c r="K276">
        <v>13</v>
      </c>
    </row>
    <row r="277" spans="1:11" x14ac:dyDescent="0.25">
      <c r="A277" t="s">
        <v>136</v>
      </c>
      <c r="B277" t="s">
        <v>177</v>
      </c>
      <c r="C277" t="s">
        <v>260</v>
      </c>
      <c r="D277" t="s">
        <v>285</v>
      </c>
      <c r="E277">
        <v>36.763966101080598</v>
      </c>
      <c r="F277">
        <v>1.0430818720101194</v>
      </c>
      <c r="G277">
        <v>38.347826583231722</v>
      </c>
      <c r="H277">
        <v>3.8347826583231721E-2</v>
      </c>
      <c r="I277">
        <v>766.95653166463444</v>
      </c>
      <c r="J277">
        <v>0.7669565316646344</v>
      </c>
      <c r="K277">
        <v>13</v>
      </c>
    </row>
    <row r="278" spans="1:11" x14ac:dyDescent="0.25">
      <c r="A278" t="s">
        <v>136</v>
      </c>
      <c r="B278" t="s">
        <v>163</v>
      </c>
      <c r="C278" t="s">
        <v>260</v>
      </c>
      <c r="D278" t="s">
        <v>281</v>
      </c>
      <c r="E278">
        <v>827.18923727431297</v>
      </c>
      <c r="F278">
        <v>1.4629306284059809</v>
      </c>
      <c r="G278">
        <v>1210.1204706963747</v>
      </c>
      <c r="H278">
        <v>1.2101204706963746</v>
      </c>
      <c r="I278">
        <v>24202.409413927493</v>
      </c>
      <c r="J278">
        <v>24.202409413927494</v>
      </c>
      <c r="K278">
        <v>13</v>
      </c>
    </row>
    <row r="279" spans="1:11" x14ac:dyDescent="0.25">
      <c r="A279" t="s">
        <v>136</v>
      </c>
      <c r="B279" t="s">
        <v>201</v>
      </c>
      <c r="C279" t="s">
        <v>260</v>
      </c>
      <c r="D279" t="s">
        <v>192</v>
      </c>
      <c r="E279">
        <v>16176.1450844754</v>
      </c>
      <c r="F279">
        <v>1.2770750705999997E-2</v>
      </c>
      <c r="G279">
        <v>206.5815162579226</v>
      </c>
      <c r="H279">
        <v>0.20658151625792259</v>
      </c>
      <c r="I279">
        <v>4131.6303251584523</v>
      </c>
      <c r="J279">
        <v>4.1316303251584525</v>
      </c>
      <c r="K279">
        <v>13</v>
      </c>
    </row>
    <row r="280" spans="1:11" x14ac:dyDescent="0.25">
      <c r="A280" t="s">
        <v>136</v>
      </c>
      <c r="B280" t="s">
        <v>202</v>
      </c>
      <c r="C280" t="s">
        <v>260</v>
      </c>
      <c r="D280" t="s">
        <v>192</v>
      </c>
      <c r="E280">
        <v>8088.07254223772</v>
      </c>
      <c r="F280">
        <v>1.8395290000000001E-3</v>
      </c>
      <c r="G280">
        <v>14.878243995550012</v>
      </c>
      <c r="H280">
        <v>1.4878243995550012E-2</v>
      </c>
      <c r="I280">
        <v>297.56487991100022</v>
      </c>
      <c r="J280">
        <v>0.29756487991100022</v>
      </c>
      <c r="K280">
        <v>13</v>
      </c>
    </row>
    <row r="281" spans="1:11" x14ac:dyDescent="0.25">
      <c r="A281" t="s">
        <v>136</v>
      </c>
      <c r="B281" t="s">
        <v>203</v>
      </c>
      <c r="C281" t="s">
        <v>260</v>
      </c>
      <c r="D281" t="s">
        <v>192</v>
      </c>
      <c r="E281">
        <v>1102.9189830324201</v>
      </c>
      <c r="F281">
        <v>2.5545833333333336E-3</v>
      </c>
      <c r="G281">
        <v>2.81749845207157</v>
      </c>
      <c r="H281">
        <v>2.8174984520715702E-3</v>
      </c>
      <c r="I281">
        <v>56.3499690414314</v>
      </c>
      <c r="J281">
        <v>5.63499690414314E-2</v>
      </c>
      <c r="K281">
        <v>13</v>
      </c>
    </row>
    <row r="282" spans="1:11" x14ac:dyDescent="0.25">
      <c r="A282" t="s">
        <v>136</v>
      </c>
      <c r="B282" t="s">
        <v>204</v>
      </c>
      <c r="C282" t="s">
        <v>260</v>
      </c>
      <c r="D282" t="s">
        <v>192</v>
      </c>
      <c r="E282">
        <v>6617.5138981945001</v>
      </c>
      <c r="F282">
        <v>4.5800769999999984E-3</v>
      </c>
      <c r="G282">
        <v>30.308723202300961</v>
      </c>
      <c r="H282">
        <v>3.030872320230096E-2</v>
      </c>
      <c r="I282">
        <v>606.17446404601924</v>
      </c>
      <c r="J282">
        <v>0.60617446404601927</v>
      </c>
      <c r="K282">
        <v>13</v>
      </c>
    </row>
    <row r="283" spans="1:11" x14ac:dyDescent="0.25">
      <c r="A283" t="s">
        <v>136</v>
      </c>
      <c r="B283" t="s">
        <v>205</v>
      </c>
      <c r="C283" t="s">
        <v>260</v>
      </c>
      <c r="D283" t="s">
        <v>192</v>
      </c>
      <c r="E283">
        <v>1838.19830505403</v>
      </c>
      <c r="F283">
        <v>1.7265923999999998E-3</v>
      </c>
      <c r="G283">
        <v>3.1738192231991693</v>
      </c>
      <c r="H283">
        <v>3.1738192231991692E-3</v>
      </c>
      <c r="I283">
        <v>63.476384463983386</v>
      </c>
      <c r="J283">
        <v>6.347638446398339E-2</v>
      </c>
      <c r="K283">
        <v>13</v>
      </c>
    </row>
    <row r="284" spans="1:11" x14ac:dyDescent="0.25">
      <c r="A284" t="s">
        <v>136</v>
      </c>
      <c r="B284" t="s">
        <v>161</v>
      </c>
      <c r="C284" t="s">
        <v>260</v>
      </c>
      <c r="D284" t="s">
        <v>284</v>
      </c>
      <c r="E284">
        <v>6.12732768351343</v>
      </c>
      <c r="F284">
        <v>3.1508058599075199</v>
      </c>
      <c r="G284">
        <v>19.306019970787684</v>
      </c>
      <c r="H284">
        <v>1.9306019970787684E-2</v>
      </c>
      <c r="I284">
        <v>386.1203994157537</v>
      </c>
      <c r="J284">
        <v>0.38612039941575371</v>
      </c>
      <c r="K284">
        <v>13</v>
      </c>
    </row>
    <row r="285" spans="1:11" x14ac:dyDescent="0.25">
      <c r="A285" t="s">
        <v>136</v>
      </c>
      <c r="B285" t="s">
        <v>176</v>
      </c>
      <c r="C285" t="s">
        <v>260</v>
      </c>
      <c r="D285" t="s">
        <v>285</v>
      </c>
      <c r="E285">
        <v>6.12732768351343</v>
      </c>
      <c r="F285">
        <v>2.0943217047443201</v>
      </c>
      <c r="G285">
        <v>12.832595359662912</v>
      </c>
      <c r="H285">
        <v>1.2832595359662913E-2</v>
      </c>
      <c r="I285">
        <v>256.65190719325824</v>
      </c>
      <c r="J285">
        <v>0.25665190719325826</v>
      </c>
      <c r="K285">
        <v>13</v>
      </c>
    </row>
    <row r="286" spans="1:11" x14ac:dyDescent="0.25">
      <c r="A286" t="s">
        <v>136</v>
      </c>
      <c r="B286" t="s">
        <v>212</v>
      </c>
      <c r="C286" t="s">
        <v>260</v>
      </c>
      <c r="D286" t="s">
        <v>192</v>
      </c>
      <c r="E286">
        <v>2573.4776270756402</v>
      </c>
      <c r="F286">
        <v>0.18475111428571431</v>
      </c>
      <c r="G286">
        <v>475.45285919158044</v>
      </c>
      <c r="H286">
        <v>0.47545285919158042</v>
      </c>
      <c r="I286">
        <v>9509.0571838316082</v>
      </c>
      <c r="J286">
        <v>9.509057183831608</v>
      </c>
      <c r="K286">
        <v>13</v>
      </c>
    </row>
    <row r="287" spans="1:11" x14ac:dyDescent="0.25">
      <c r="A287" t="s">
        <v>136</v>
      </c>
      <c r="B287" t="s">
        <v>208</v>
      </c>
      <c r="C287" t="s">
        <v>260</v>
      </c>
      <c r="D287" t="s">
        <v>192</v>
      </c>
      <c r="E287">
        <v>1838.19830505403</v>
      </c>
      <c r="F287">
        <v>4.243187256E-2</v>
      </c>
      <c r="G287">
        <v>77.998196220060606</v>
      </c>
      <c r="H287">
        <v>7.79981962200606E-2</v>
      </c>
      <c r="I287">
        <v>1559.9639244012121</v>
      </c>
      <c r="J287">
        <v>1.5599639244012122</v>
      </c>
      <c r="K287">
        <v>13</v>
      </c>
    </row>
    <row r="288" spans="1:11" x14ac:dyDescent="0.25">
      <c r="A288" t="s">
        <v>136</v>
      </c>
      <c r="B288" t="s">
        <v>209</v>
      </c>
      <c r="C288" t="s">
        <v>260</v>
      </c>
      <c r="D288" t="s">
        <v>192</v>
      </c>
      <c r="E288">
        <v>6249.8742371836897</v>
      </c>
      <c r="F288">
        <v>4.7420283317647069E-2</v>
      </c>
      <c r="G288">
        <v>296.37080702691389</v>
      </c>
      <c r="H288">
        <v>0.29637080702691387</v>
      </c>
      <c r="I288">
        <v>5927.4161405382783</v>
      </c>
      <c r="J288">
        <v>5.9274161405382779</v>
      </c>
      <c r="K288">
        <v>13</v>
      </c>
    </row>
    <row r="289" spans="1:11" x14ac:dyDescent="0.25">
      <c r="A289" t="s">
        <v>136</v>
      </c>
      <c r="B289" t="s">
        <v>178</v>
      </c>
      <c r="C289" t="s">
        <v>260</v>
      </c>
      <c r="D289" t="s">
        <v>282</v>
      </c>
      <c r="E289">
        <v>44.641958837026401</v>
      </c>
      <c r="F289">
        <v>11.45408099019914</v>
      </c>
      <c r="G289">
        <v>511.3326120804366</v>
      </c>
      <c r="H289">
        <v>0.51133261208043657</v>
      </c>
      <c r="I289">
        <v>10226.652241608732</v>
      </c>
      <c r="J289">
        <v>10.226652241608733</v>
      </c>
      <c r="K289">
        <v>13</v>
      </c>
    </row>
    <row r="290" spans="1:11" x14ac:dyDescent="0.25">
      <c r="A290" t="s">
        <v>136</v>
      </c>
      <c r="B290" t="s">
        <v>210</v>
      </c>
      <c r="C290" t="s">
        <v>260</v>
      </c>
      <c r="D290" t="s">
        <v>192</v>
      </c>
      <c r="E290">
        <v>43013.840338264301</v>
      </c>
      <c r="F290">
        <v>1.7367030499999998E-2</v>
      </c>
      <c r="G290">
        <v>747.0226770767664</v>
      </c>
      <c r="H290">
        <v>0.74702267707676639</v>
      </c>
      <c r="I290">
        <v>14940.453541535328</v>
      </c>
      <c r="J290">
        <v>14.940453541535328</v>
      </c>
      <c r="K290">
        <v>13</v>
      </c>
    </row>
    <row r="291" spans="1:11" x14ac:dyDescent="0.25">
      <c r="A291" t="s">
        <v>136</v>
      </c>
      <c r="B291" t="s">
        <v>215</v>
      </c>
      <c r="C291" t="s">
        <v>260</v>
      </c>
      <c r="D291" t="s">
        <v>192</v>
      </c>
      <c r="E291">
        <v>2205.8379660648302</v>
      </c>
      <c r="F291">
        <v>3.4716708519077003E-2</v>
      </c>
      <c r="G291">
        <v>76.579433708186372</v>
      </c>
      <c r="H291">
        <v>7.6579433708186373E-2</v>
      </c>
      <c r="I291">
        <v>1531.5886741637273</v>
      </c>
      <c r="J291">
        <v>1.5315886741637272</v>
      </c>
      <c r="K291">
        <v>13</v>
      </c>
    </row>
    <row r="292" spans="1:11" x14ac:dyDescent="0.25">
      <c r="A292" t="s">
        <v>136</v>
      </c>
      <c r="B292" t="s">
        <v>211</v>
      </c>
      <c r="C292" t="s">
        <v>260</v>
      </c>
      <c r="D292" t="s">
        <v>192</v>
      </c>
      <c r="E292">
        <v>1102.9189830324201</v>
      </c>
      <c r="F292">
        <v>0.15695818028799999</v>
      </c>
      <c r="G292">
        <v>173.11215658186021</v>
      </c>
      <c r="H292">
        <v>0.17311215658186022</v>
      </c>
      <c r="I292">
        <v>3462.243131637204</v>
      </c>
      <c r="J292">
        <v>3.4622431316372042</v>
      </c>
      <c r="K292">
        <v>13</v>
      </c>
    </row>
    <row r="293" spans="1:11" x14ac:dyDescent="0.25">
      <c r="A293" t="s">
        <v>138</v>
      </c>
      <c r="B293" t="s">
        <v>191</v>
      </c>
      <c r="C293" t="s">
        <v>261</v>
      </c>
      <c r="D293" t="s">
        <v>192</v>
      </c>
      <c r="E293">
        <v>19306.229158321399</v>
      </c>
      <c r="F293">
        <v>1.3422860571428575E-2</v>
      </c>
      <c r="G293">
        <v>259.14482215219698</v>
      </c>
      <c r="H293">
        <v>0.25914482215219697</v>
      </c>
      <c r="I293">
        <v>5182.8964430439391</v>
      </c>
      <c r="J293">
        <v>5.1828964430439388</v>
      </c>
      <c r="K293">
        <v>20</v>
      </c>
    </row>
    <row r="294" spans="1:11" x14ac:dyDescent="0.25">
      <c r="A294" t="s">
        <v>138</v>
      </c>
      <c r="B294" t="s">
        <v>193</v>
      </c>
      <c r="C294" t="s">
        <v>261</v>
      </c>
      <c r="D294" t="s">
        <v>192</v>
      </c>
      <c r="E294">
        <v>4137.0491053545902</v>
      </c>
      <c r="F294">
        <v>1.6740001951399999</v>
      </c>
      <c r="G294">
        <v>6925.421009667346</v>
      </c>
      <c r="H294">
        <v>6.9254210096673461</v>
      </c>
      <c r="I294">
        <v>138508.42019334692</v>
      </c>
      <c r="J294">
        <v>138.50842019334692</v>
      </c>
      <c r="K294">
        <v>20</v>
      </c>
    </row>
    <row r="295" spans="1:11" x14ac:dyDescent="0.25">
      <c r="A295" t="s">
        <v>138</v>
      </c>
      <c r="B295" t="s">
        <v>172</v>
      </c>
      <c r="C295" t="s">
        <v>261</v>
      </c>
      <c r="D295" t="s">
        <v>281</v>
      </c>
      <c r="E295">
        <v>14405.592477047399</v>
      </c>
      <c r="F295">
        <v>1.1289691514204148</v>
      </c>
      <c r="G295">
        <v>16263.469514520513</v>
      </c>
      <c r="H295">
        <v>16.263469514520512</v>
      </c>
      <c r="I295">
        <v>325269.39029041026</v>
      </c>
      <c r="J295">
        <v>325.26939029041029</v>
      </c>
      <c r="K295">
        <v>20</v>
      </c>
    </row>
    <row r="296" spans="1:11" x14ac:dyDescent="0.25">
      <c r="A296" t="s">
        <v>138</v>
      </c>
      <c r="B296" t="s">
        <v>157</v>
      </c>
      <c r="C296" t="s">
        <v>261</v>
      </c>
      <c r="D296" t="s">
        <v>282</v>
      </c>
      <c r="E296">
        <v>661.01611049742803</v>
      </c>
      <c r="F296">
        <v>25.204132255699157</v>
      </c>
      <c r="G296">
        <v>16660.337472125026</v>
      </c>
      <c r="H296">
        <v>16.660337472125025</v>
      </c>
      <c r="I296">
        <v>333206.74944250053</v>
      </c>
      <c r="J296">
        <v>333.20674944250055</v>
      </c>
      <c r="K296">
        <v>20</v>
      </c>
    </row>
    <row r="297" spans="1:11" x14ac:dyDescent="0.25">
      <c r="A297" t="s">
        <v>138</v>
      </c>
      <c r="B297" t="s">
        <v>194</v>
      </c>
      <c r="C297" t="s">
        <v>261</v>
      </c>
      <c r="D297" t="s">
        <v>192</v>
      </c>
      <c r="E297">
        <v>6895.0818422576604</v>
      </c>
      <c r="F297">
        <v>1.0785384E-2</v>
      </c>
      <c r="G297">
        <v>74.366105380176293</v>
      </c>
      <c r="H297">
        <v>7.4366105380176295E-2</v>
      </c>
      <c r="I297">
        <v>1487.3221076035259</v>
      </c>
      <c r="J297">
        <v>1.4873221076035259</v>
      </c>
      <c r="K297">
        <v>20</v>
      </c>
    </row>
    <row r="298" spans="1:11" x14ac:dyDescent="0.25">
      <c r="A298" t="s">
        <v>138</v>
      </c>
      <c r="B298" t="s">
        <v>195</v>
      </c>
      <c r="C298" t="s">
        <v>261</v>
      </c>
      <c r="D298" t="s">
        <v>192</v>
      </c>
      <c r="E298">
        <v>173756.062424893</v>
      </c>
      <c r="F298">
        <v>1.4191183499999999E-2</v>
      </c>
      <c r="G298">
        <v>2465.8041661091115</v>
      </c>
      <c r="H298">
        <v>2.4658041661091117</v>
      </c>
      <c r="I298">
        <v>49316.083322182232</v>
      </c>
      <c r="J298">
        <v>49.31608332218223</v>
      </c>
      <c r="K298">
        <v>20</v>
      </c>
    </row>
    <row r="299" spans="1:11" x14ac:dyDescent="0.25">
      <c r="A299" t="s">
        <v>138</v>
      </c>
      <c r="B299" t="s">
        <v>196</v>
      </c>
      <c r="C299" t="s">
        <v>261</v>
      </c>
      <c r="D299" t="s">
        <v>197</v>
      </c>
      <c r="E299">
        <v>70329.834791028101</v>
      </c>
      <c r="F299">
        <v>0.11114435371295359</v>
      </c>
      <c r="G299">
        <v>7816.7640345876162</v>
      </c>
      <c r="H299">
        <v>7.8167640345876164</v>
      </c>
      <c r="I299">
        <v>156335.28069175233</v>
      </c>
      <c r="J299">
        <v>156.33528069175233</v>
      </c>
      <c r="K299">
        <v>20</v>
      </c>
    </row>
    <row r="300" spans="1:11" x14ac:dyDescent="0.25">
      <c r="A300" t="s">
        <v>138</v>
      </c>
      <c r="B300" t="s">
        <v>173</v>
      </c>
      <c r="C300" t="s">
        <v>261</v>
      </c>
      <c r="D300" t="s">
        <v>285</v>
      </c>
      <c r="E300">
        <v>3099.9376216431101</v>
      </c>
      <c r="F300">
        <v>0.16955121861871303</v>
      </c>
      <c r="G300">
        <v>525.59820139158433</v>
      </c>
      <c r="H300">
        <v>0.52559820139158431</v>
      </c>
      <c r="I300">
        <v>10511.964027831687</v>
      </c>
      <c r="J300">
        <v>10.511964027831688</v>
      </c>
      <c r="K300">
        <v>20</v>
      </c>
    </row>
    <row r="301" spans="1:11" x14ac:dyDescent="0.25">
      <c r="A301" t="s">
        <v>138</v>
      </c>
      <c r="B301" t="s">
        <v>179</v>
      </c>
      <c r="C301" t="s">
        <v>261</v>
      </c>
      <c r="D301" t="s">
        <v>283</v>
      </c>
      <c r="E301">
        <v>6017.5259714248696</v>
      </c>
      <c r="F301">
        <v>2.048448421982386</v>
      </c>
      <c r="G301">
        <v>12326.591580403297</v>
      </c>
      <c r="H301">
        <v>12.326591580403297</v>
      </c>
      <c r="I301">
        <v>246531.83160806596</v>
      </c>
      <c r="J301">
        <v>246.53183160806594</v>
      </c>
      <c r="K301">
        <v>20</v>
      </c>
    </row>
    <row r="302" spans="1:11" x14ac:dyDescent="0.25">
      <c r="A302" t="s">
        <v>138</v>
      </c>
      <c r="B302" t="s">
        <v>167</v>
      </c>
      <c r="C302" t="s">
        <v>261</v>
      </c>
      <c r="D302" t="s">
        <v>284</v>
      </c>
      <c r="E302">
        <v>364.69854372271902</v>
      </c>
      <c r="F302">
        <v>1.0934180984162738</v>
      </c>
      <c r="G302">
        <v>398.7679881724797</v>
      </c>
      <c r="H302">
        <v>0.39876798817247971</v>
      </c>
      <c r="I302">
        <v>7975.3597634495945</v>
      </c>
      <c r="J302">
        <v>7.9753597634495943</v>
      </c>
      <c r="K302">
        <v>20</v>
      </c>
    </row>
    <row r="303" spans="1:11" x14ac:dyDescent="0.25">
      <c r="A303" t="s">
        <v>138</v>
      </c>
      <c r="B303" t="s">
        <v>166</v>
      </c>
      <c r="C303" t="s">
        <v>261</v>
      </c>
      <c r="D303" t="s">
        <v>285</v>
      </c>
      <c r="E303">
        <v>182.34927186135999</v>
      </c>
      <c r="F303">
        <v>4.4126713569042701</v>
      </c>
      <c r="G303">
        <v>804.64740889497307</v>
      </c>
      <c r="H303">
        <v>0.8046474088949731</v>
      </c>
      <c r="I303">
        <v>16092.948177899461</v>
      </c>
      <c r="J303">
        <v>16.092948177899462</v>
      </c>
      <c r="K303">
        <v>20</v>
      </c>
    </row>
    <row r="304" spans="1:11" x14ac:dyDescent="0.25">
      <c r="A304" t="s">
        <v>138</v>
      </c>
      <c r="B304" t="s">
        <v>198</v>
      </c>
      <c r="C304" t="s">
        <v>261</v>
      </c>
      <c r="D304" t="s">
        <v>290</v>
      </c>
      <c r="E304">
        <v>405430.81232475</v>
      </c>
      <c r="F304">
        <v>0.16301401581609587</v>
      </c>
      <c r="G304">
        <v>66090.904852639389</v>
      </c>
      <c r="H304">
        <v>66.090904852639383</v>
      </c>
      <c r="I304">
        <v>1321818.0970527879</v>
      </c>
      <c r="J304">
        <v>1321.8180970527878</v>
      </c>
      <c r="K304">
        <v>20</v>
      </c>
    </row>
    <row r="305" spans="1:11" x14ac:dyDescent="0.25">
      <c r="A305" t="s">
        <v>138</v>
      </c>
      <c r="B305" t="s">
        <v>164</v>
      </c>
      <c r="C305" t="s">
        <v>261</v>
      </c>
      <c r="D305" t="s">
        <v>281</v>
      </c>
      <c r="E305">
        <v>1215.6618124090601</v>
      </c>
      <c r="F305">
        <v>1.3960960955799095</v>
      </c>
      <c r="G305">
        <v>1697.1807098498853</v>
      </c>
      <c r="H305">
        <v>1.6971807098498852</v>
      </c>
      <c r="I305">
        <v>33943.614196997703</v>
      </c>
      <c r="J305">
        <v>33.9436141969977</v>
      </c>
      <c r="K305">
        <v>20</v>
      </c>
    </row>
    <row r="306" spans="1:11" x14ac:dyDescent="0.25">
      <c r="A306" t="s">
        <v>138</v>
      </c>
      <c r="B306" t="s">
        <v>200</v>
      </c>
      <c r="C306" t="s">
        <v>261</v>
      </c>
      <c r="D306" t="s">
        <v>192</v>
      </c>
      <c r="E306">
        <v>8274.0982107091895</v>
      </c>
      <c r="F306">
        <v>2.2810520000000001E-2</v>
      </c>
      <c r="G306">
        <v>188.73648271734618</v>
      </c>
      <c r="H306">
        <v>0.18873648271734617</v>
      </c>
      <c r="I306">
        <v>3774.7296543469238</v>
      </c>
      <c r="J306">
        <v>3.774729654346924</v>
      </c>
      <c r="K306">
        <v>20</v>
      </c>
    </row>
    <row r="307" spans="1:11" x14ac:dyDescent="0.25">
      <c r="A307" t="s">
        <v>138</v>
      </c>
      <c r="B307" t="s">
        <v>163</v>
      </c>
      <c r="C307" t="s">
        <v>261</v>
      </c>
      <c r="D307" t="s">
        <v>281</v>
      </c>
      <c r="E307">
        <v>12399.7504865725</v>
      </c>
      <c r="F307">
        <v>1.7751707590370018</v>
      </c>
      <c r="G307">
        <v>22011.674483118339</v>
      </c>
      <c r="H307">
        <v>22.011674483118338</v>
      </c>
      <c r="I307">
        <v>440233.4896623668</v>
      </c>
      <c r="J307">
        <v>440.23348966236682</v>
      </c>
      <c r="K307">
        <v>20</v>
      </c>
    </row>
    <row r="308" spans="1:11" x14ac:dyDescent="0.25">
      <c r="A308" t="s">
        <v>138</v>
      </c>
      <c r="B308" t="s">
        <v>201</v>
      </c>
      <c r="C308" t="s">
        <v>261</v>
      </c>
      <c r="D308" t="s">
        <v>192</v>
      </c>
      <c r="E308">
        <v>131006.555002896</v>
      </c>
      <c r="F308">
        <v>1.2024781429499998E-2</v>
      </c>
      <c r="G308">
        <v>1575.3251897415939</v>
      </c>
      <c r="H308">
        <v>1.5753251897415939</v>
      </c>
      <c r="I308">
        <v>31506.503794831879</v>
      </c>
      <c r="J308">
        <v>31.506503794831879</v>
      </c>
      <c r="K308">
        <v>20</v>
      </c>
    </row>
    <row r="309" spans="1:11" x14ac:dyDescent="0.25">
      <c r="A309" t="s">
        <v>138</v>
      </c>
      <c r="B309" t="s">
        <v>202</v>
      </c>
      <c r="C309" t="s">
        <v>261</v>
      </c>
      <c r="D309" t="s">
        <v>192</v>
      </c>
      <c r="E309">
        <v>142038.68595050799</v>
      </c>
      <c r="F309">
        <v>1.8567199999999996E-3</v>
      </c>
      <c r="G309">
        <v>263.72606897802717</v>
      </c>
      <c r="H309">
        <v>0.26372606897802719</v>
      </c>
      <c r="I309">
        <v>5274.5213795605432</v>
      </c>
      <c r="J309">
        <v>5.274521379560543</v>
      </c>
      <c r="K309">
        <v>20</v>
      </c>
    </row>
    <row r="310" spans="1:11" x14ac:dyDescent="0.25">
      <c r="A310" t="s">
        <v>138</v>
      </c>
      <c r="B310" t="s">
        <v>203</v>
      </c>
      <c r="C310" t="s">
        <v>261</v>
      </c>
      <c r="D310" t="s">
        <v>192</v>
      </c>
      <c r="E310">
        <v>1379.0163684515301</v>
      </c>
      <c r="F310">
        <v>2.1224159999999998E-3</v>
      </c>
      <c r="G310">
        <v>2.9268464046634222</v>
      </c>
      <c r="H310">
        <v>2.926846404663422E-3</v>
      </c>
      <c r="I310">
        <v>58.536928093268443</v>
      </c>
      <c r="J310">
        <v>5.8536928093268444E-2</v>
      </c>
      <c r="K310">
        <v>20</v>
      </c>
    </row>
    <row r="311" spans="1:11" x14ac:dyDescent="0.25">
      <c r="A311" t="s">
        <v>138</v>
      </c>
      <c r="B311" t="s">
        <v>204</v>
      </c>
      <c r="C311" t="s">
        <v>261</v>
      </c>
      <c r="D311" t="s">
        <v>192</v>
      </c>
      <c r="E311">
        <v>17927.2127898699</v>
      </c>
      <c r="F311">
        <v>4.2536264615384619E-3</v>
      </c>
      <c r="G311">
        <v>76.255666704621362</v>
      </c>
      <c r="H311">
        <v>7.6255666704621361E-2</v>
      </c>
      <c r="I311">
        <v>1525.1133340924273</v>
      </c>
      <c r="J311">
        <v>1.5251133340924272</v>
      </c>
      <c r="K311">
        <v>20</v>
      </c>
    </row>
    <row r="312" spans="1:11" x14ac:dyDescent="0.25">
      <c r="A312" t="s">
        <v>138</v>
      </c>
      <c r="B312" t="s">
        <v>216</v>
      </c>
      <c r="C312" t="s">
        <v>261</v>
      </c>
      <c r="D312" t="s">
        <v>192</v>
      </c>
      <c r="E312">
        <v>13790.163684515301</v>
      </c>
      <c r="F312">
        <v>9.4896537119999999E-2</v>
      </c>
      <c r="G312">
        <v>1308.6387799784823</v>
      </c>
      <c r="H312">
        <v>1.3086387799784822</v>
      </c>
      <c r="I312">
        <v>26172.775599569646</v>
      </c>
      <c r="J312">
        <v>26.172775599569647</v>
      </c>
      <c r="K312">
        <v>20</v>
      </c>
    </row>
    <row r="313" spans="1:11" x14ac:dyDescent="0.25">
      <c r="A313" t="s">
        <v>138</v>
      </c>
      <c r="B313" t="s">
        <v>165</v>
      </c>
      <c r="C313" t="s">
        <v>261</v>
      </c>
      <c r="D313" t="s">
        <v>282</v>
      </c>
      <c r="E313">
        <v>104.199583920777</v>
      </c>
      <c r="F313">
        <v>9.1710130553370544</v>
      </c>
      <c r="G313">
        <v>955.61574449813486</v>
      </c>
      <c r="H313">
        <v>0.95561574449813491</v>
      </c>
      <c r="I313">
        <v>19112.314889962698</v>
      </c>
      <c r="J313">
        <v>19.112314889962697</v>
      </c>
      <c r="K313">
        <v>20</v>
      </c>
    </row>
    <row r="314" spans="1:11" x14ac:dyDescent="0.25">
      <c r="A314" t="s">
        <v>138</v>
      </c>
      <c r="B314" t="s">
        <v>212</v>
      </c>
      <c r="C314" t="s">
        <v>261</v>
      </c>
      <c r="D314" t="s">
        <v>192</v>
      </c>
      <c r="E314">
        <v>4137.0491053545902</v>
      </c>
      <c r="F314">
        <v>0.35394970999999997</v>
      </c>
      <c r="G314">
        <v>1464.3073310960165</v>
      </c>
      <c r="H314">
        <v>1.4643073310960164</v>
      </c>
      <c r="I314">
        <v>29286.146621920328</v>
      </c>
      <c r="J314">
        <v>29.286146621920327</v>
      </c>
      <c r="K314">
        <v>20</v>
      </c>
    </row>
    <row r="315" spans="1:11" x14ac:dyDescent="0.25">
      <c r="A315" t="s">
        <v>138</v>
      </c>
      <c r="B315" t="s">
        <v>209</v>
      </c>
      <c r="C315" t="s">
        <v>261</v>
      </c>
      <c r="D315" t="s">
        <v>192</v>
      </c>
      <c r="E315">
        <v>2758.0327369030601</v>
      </c>
      <c r="F315">
        <v>2.0684124999999998E-2</v>
      </c>
      <c r="G315">
        <v>57.047493884194999</v>
      </c>
      <c r="H315">
        <v>5.7047493884195E-2</v>
      </c>
      <c r="I315">
        <v>1140.9498776839</v>
      </c>
      <c r="J315">
        <v>1.1409498776839</v>
      </c>
      <c r="K315">
        <v>20</v>
      </c>
    </row>
    <row r="316" spans="1:11" x14ac:dyDescent="0.25">
      <c r="A316" t="s">
        <v>138</v>
      </c>
      <c r="B316" t="s">
        <v>178</v>
      </c>
      <c r="C316" t="s">
        <v>261</v>
      </c>
      <c r="D316" t="s">
        <v>282</v>
      </c>
      <c r="E316">
        <v>5835.1766995635098</v>
      </c>
      <c r="F316">
        <v>4.9633790616902917</v>
      </c>
      <c r="G316">
        <v>28962.193851876586</v>
      </c>
      <c r="H316">
        <v>28.962193851876584</v>
      </c>
      <c r="I316">
        <v>579243.8770375317</v>
      </c>
      <c r="J316">
        <v>579.24387703753166</v>
      </c>
      <c r="K316">
        <v>20</v>
      </c>
    </row>
    <row r="317" spans="1:11" x14ac:dyDescent="0.25">
      <c r="A317" t="s">
        <v>138</v>
      </c>
      <c r="B317" t="s">
        <v>153</v>
      </c>
      <c r="C317" t="s">
        <v>261</v>
      </c>
      <c r="D317" t="s">
        <v>284</v>
      </c>
      <c r="E317">
        <v>60.783090620453201</v>
      </c>
      <c r="F317">
        <v>6.5310941522602404</v>
      </c>
      <c r="G317">
        <v>396.98008770754615</v>
      </c>
      <c r="H317">
        <v>0.39698008770754617</v>
      </c>
      <c r="I317">
        <v>7939.6017541509227</v>
      </c>
      <c r="J317">
        <v>7.9396017541509227</v>
      </c>
      <c r="K317">
        <v>20</v>
      </c>
    </row>
    <row r="318" spans="1:11" x14ac:dyDescent="0.25">
      <c r="A318" t="s">
        <v>138</v>
      </c>
      <c r="B318" t="s">
        <v>210</v>
      </c>
      <c r="C318" t="s">
        <v>261</v>
      </c>
      <c r="D318" t="s">
        <v>192</v>
      </c>
      <c r="E318">
        <v>5516.0654738061303</v>
      </c>
      <c r="F318">
        <v>5.7038400000000003E-2</v>
      </c>
      <c r="G318">
        <v>314.62754892114361</v>
      </c>
      <c r="H318">
        <v>0.31462754892114364</v>
      </c>
      <c r="I318">
        <v>6292.5509784228725</v>
      </c>
      <c r="J318">
        <v>6.2925509784228728</v>
      </c>
      <c r="K318">
        <v>20</v>
      </c>
    </row>
    <row r="319" spans="1:11" x14ac:dyDescent="0.25">
      <c r="A319" t="s">
        <v>138</v>
      </c>
      <c r="B319" t="s">
        <v>215</v>
      </c>
      <c r="C319" t="s">
        <v>261</v>
      </c>
      <c r="D319" t="s">
        <v>192</v>
      </c>
      <c r="E319">
        <v>42749.507421997499</v>
      </c>
      <c r="F319">
        <v>0.121465822244</v>
      </c>
      <c r="G319">
        <v>5192.6040695389074</v>
      </c>
      <c r="H319">
        <v>5.1926040695389073</v>
      </c>
      <c r="I319">
        <v>103852.08139077816</v>
      </c>
      <c r="J319">
        <v>103.85208139077815</v>
      </c>
      <c r="K319">
        <v>20</v>
      </c>
    </row>
    <row r="320" spans="1:11" x14ac:dyDescent="0.25">
      <c r="A320" t="s">
        <v>141</v>
      </c>
      <c r="B320" t="s">
        <v>217</v>
      </c>
      <c r="C320" t="s">
        <v>262</v>
      </c>
      <c r="D320" t="s">
        <v>192</v>
      </c>
      <c r="E320">
        <v>687.16177815402</v>
      </c>
      <c r="F320">
        <v>3.6498966000000001E-2</v>
      </c>
      <c r="G320">
        <v>25.080694377343118</v>
      </c>
      <c r="H320">
        <v>2.5080694377343119E-2</v>
      </c>
      <c r="I320">
        <v>501.61388754686237</v>
      </c>
      <c r="J320">
        <v>0.50161388754686242</v>
      </c>
      <c r="K320">
        <v>16</v>
      </c>
    </row>
    <row r="321" spans="1:11" x14ac:dyDescent="0.25">
      <c r="A321" t="s">
        <v>141</v>
      </c>
      <c r="B321" t="s">
        <v>191</v>
      </c>
      <c r="C321" t="s">
        <v>262</v>
      </c>
      <c r="D321" t="s">
        <v>192</v>
      </c>
      <c r="E321">
        <v>10307.426672310299</v>
      </c>
      <c r="F321">
        <v>1.0938432600000001E-2</v>
      </c>
      <c r="G321">
        <v>112.7470919345085</v>
      </c>
      <c r="H321">
        <v>0.11274709193450851</v>
      </c>
      <c r="I321">
        <v>2254.9418386901702</v>
      </c>
      <c r="J321">
        <v>2.2549418386901703</v>
      </c>
      <c r="K321">
        <v>16</v>
      </c>
    </row>
    <row r="322" spans="1:11" x14ac:dyDescent="0.25">
      <c r="A322" t="s">
        <v>141</v>
      </c>
      <c r="B322" t="s">
        <v>218</v>
      </c>
      <c r="C322" t="s">
        <v>262</v>
      </c>
      <c r="D322" t="s">
        <v>192</v>
      </c>
      <c r="E322">
        <v>687.16177815402</v>
      </c>
      <c r="F322">
        <v>3.21921975375</v>
      </c>
      <c r="G322">
        <v>2212.1247702553965</v>
      </c>
      <c r="H322">
        <v>2.2121247702553966</v>
      </c>
      <c r="I322">
        <v>44242.495405107926</v>
      </c>
      <c r="J322">
        <v>44.242495405107924</v>
      </c>
      <c r="K322">
        <v>16</v>
      </c>
    </row>
    <row r="323" spans="1:11" x14ac:dyDescent="0.25">
      <c r="A323" t="s">
        <v>141</v>
      </c>
      <c r="B323" t="s">
        <v>193</v>
      </c>
      <c r="C323" t="s">
        <v>262</v>
      </c>
      <c r="D323" t="s">
        <v>192</v>
      </c>
      <c r="E323">
        <v>1374.32355630804</v>
      </c>
      <c r="F323">
        <v>2.3825310265575004</v>
      </c>
      <c r="G323">
        <v>3274.3685134327493</v>
      </c>
      <c r="H323">
        <v>3.2743685134327492</v>
      </c>
      <c r="I323">
        <v>65487.370268654988</v>
      </c>
      <c r="J323">
        <v>65.487370268654985</v>
      </c>
      <c r="K323">
        <v>16</v>
      </c>
    </row>
    <row r="324" spans="1:11" x14ac:dyDescent="0.25">
      <c r="A324" t="s">
        <v>141</v>
      </c>
      <c r="B324" t="s">
        <v>172</v>
      </c>
      <c r="C324" t="s">
        <v>262</v>
      </c>
      <c r="D324" t="s">
        <v>281</v>
      </c>
      <c r="E324">
        <v>4558.7317965339898</v>
      </c>
      <c r="F324">
        <v>1.4619302731189332</v>
      </c>
      <c r="G324">
        <v>6664.5480203829011</v>
      </c>
      <c r="H324">
        <v>6.6645480203829015</v>
      </c>
      <c r="I324">
        <v>133290.96040765801</v>
      </c>
      <c r="J324">
        <v>133.29096040765802</v>
      </c>
      <c r="K324">
        <v>16</v>
      </c>
    </row>
    <row r="325" spans="1:11" x14ac:dyDescent="0.25">
      <c r="A325" t="s">
        <v>141</v>
      </c>
      <c r="B325" t="s">
        <v>157</v>
      </c>
      <c r="C325" t="s">
        <v>262</v>
      </c>
      <c r="D325" t="s">
        <v>282</v>
      </c>
      <c r="E325">
        <v>2.4441729914015</v>
      </c>
      <c r="F325">
        <v>83.291666415064356</v>
      </c>
      <c r="G325">
        <v>203.57924146052369</v>
      </c>
      <c r="H325">
        <v>0.2035792414605237</v>
      </c>
      <c r="I325">
        <v>4071.5848292104738</v>
      </c>
      <c r="J325">
        <v>4.0715848292104742</v>
      </c>
      <c r="K325">
        <v>16</v>
      </c>
    </row>
    <row r="326" spans="1:11" x14ac:dyDescent="0.25">
      <c r="A326" t="s">
        <v>141</v>
      </c>
      <c r="B326" t="s">
        <v>171</v>
      </c>
      <c r="C326" t="s">
        <v>262</v>
      </c>
      <c r="D326" t="s">
        <v>282</v>
      </c>
      <c r="E326">
        <v>1194.85142522513</v>
      </c>
      <c r="F326">
        <v>1.6684511691869015</v>
      </c>
      <c r="G326">
        <v>1993.5512574215038</v>
      </c>
      <c r="H326">
        <v>1.9935512574215037</v>
      </c>
      <c r="I326">
        <v>39871.025148430075</v>
      </c>
      <c r="J326">
        <v>39.871025148430078</v>
      </c>
      <c r="K326">
        <v>16</v>
      </c>
    </row>
    <row r="327" spans="1:11" x14ac:dyDescent="0.25">
      <c r="A327" t="s">
        <v>141</v>
      </c>
      <c r="B327" t="s">
        <v>194</v>
      </c>
      <c r="C327" t="s">
        <v>262</v>
      </c>
      <c r="D327" t="s">
        <v>192</v>
      </c>
      <c r="E327">
        <v>1374.32355630804</v>
      </c>
      <c r="F327">
        <v>2.0993894999999999E-2</v>
      </c>
      <c r="G327">
        <v>28.852404437157578</v>
      </c>
      <c r="H327">
        <v>2.8852404437157579E-2</v>
      </c>
      <c r="I327">
        <v>577.04808874315154</v>
      </c>
      <c r="J327">
        <v>0.5770480887431515</v>
      </c>
      <c r="K327">
        <v>16</v>
      </c>
    </row>
    <row r="328" spans="1:11" x14ac:dyDescent="0.25">
      <c r="A328" t="s">
        <v>141</v>
      </c>
      <c r="B328" t="s">
        <v>195</v>
      </c>
      <c r="C328" t="s">
        <v>262</v>
      </c>
      <c r="D328" t="s">
        <v>192</v>
      </c>
      <c r="E328">
        <v>95171.906274331806</v>
      </c>
      <c r="F328">
        <v>1.2024498199999999E-2</v>
      </c>
      <c r="G328">
        <v>1144.3944156862715</v>
      </c>
      <c r="H328">
        <v>1.1443944156862715</v>
      </c>
      <c r="I328">
        <v>22887.888313725431</v>
      </c>
      <c r="J328">
        <v>22.88788831372543</v>
      </c>
      <c r="K328">
        <v>16</v>
      </c>
    </row>
    <row r="329" spans="1:11" x14ac:dyDescent="0.25">
      <c r="A329" t="s">
        <v>141</v>
      </c>
      <c r="B329" t="s">
        <v>196</v>
      </c>
      <c r="C329" t="s">
        <v>262</v>
      </c>
      <c r="D329" t="s">
        <v>197</v>
      </c>
      <c r="E329">
        <v>1374.32355630804</v>
      </c>
      <c r="F329">
        <v>9.3863086580423472E-2</v>
      </c>
      <c r="G329">
        <v>128.99825095525705</v>
      </c>
      <c r="H329">
        <v>0.12899825095525705</v>
      </c>
      <c r="I329">
        <v>2579.965019105141</v>
      </c>
      <c r="J329">
        <v>2.5799650191051411</v>
      </c>
      <c r="K329">
        <v>16</v>
      </c>
    </row>
    <row r="330" spans="1:11" x14ac:dyDescent="0.25">
      <c r="A330" t="s">
        <v>141</v>
      </c>
      <c r="B330" t="s">
        <v>173</v>
      </c>
      <c r="C330" t="s">
        <v>262</v>
      </c>
      <c r="D330" t="s">
        <v>285</v>
      </c>
      <c r="E330">
        <v>148.97816328542399</v>
      </c>
      <c r="F330">
        <v>0.76343762520354153</v>
      </c>
      <c r="G330">
        <v>113.73553518580952</v>
      </c>
      <c r="H330">
        <v>0.11373553518580952</v>
      </c>
      <c r="I330">
        <v>2274.7107037161904</v>
      </c>
      <c r="J330">
        <v>2.2747107037161904</v>
      </c>
      <c r="K330">
        <v>16</v>
      </c>
    </row>
    <row r="331" spans="1:11" x14ac:dyDescent="0.25">
      <c r="A331" t="s">
        <v>141</v>
      </c>
      <c r="B331" t="s">
        <v>170</v>
      </c>
      <c r="C331" t="s">
        <v>262</v>
      </c>
      <c r="D331" t="s">
        <v>283</v>
      </c>
      <c r="E331">
        <v>476.73012251335803</v>
      </c>
      <c r="F331">
        <v>2.8967811139447543</v>
      </c>
      <c r="G331">
        <v>1380.9828153452645</v>
      </c>
      <c r="H331">
        <v>1.3809828153452646</v>
      </c>
      <c r="I331">
        <v>27619.65630690529</v>
      </c>
      <c r="J331">
        <v>27.619656306905291</v>
      </c>
      <c r="K331">
        <v>16</v>
      </c>
    </row>
    <row r="332" spans="1:11" x14ac:dyDescent="0.25">
      <c r="A332" t="s">
        <v>141</v>
      </c>
      <c r="B332" t="s">
        <v>167</v>
      </c>
      <c r="C332" t="s">
        <v>262</v>
      </c>
      <c r="D332" t="s">
        <v>284</v>
      </c>
      <c r="E332">
        <v>119.18253062834</v>
      </c>
      <c r="F332">
        <v>1.1849143073354114</v>
      </c>
      <c r="G332">
        <v>141.22108572596093</v>
      </c>
      <c r="H332">
        <v>0.14122108572596093</v>
      </c>
      <c r="I332">
        <v>2824.4217145192188</v>
      </c>
      <c r="J332">
        <v>2.824421714519219</v>
      </c>
      <c r="K332">
        <v>16</v>
      </c>
    </row>
    <row r="333" spans="1:11" x14ac:dyDescent="0.25">
      <c r="A333" t="s">
        <v>141</v>
      </c>
      <c r="B333" t="s">
        <v>174</v>
      </c>
      <c r="C333" t="s">
        <v>262</v>
      </c>
      <c r="D333" t="s">
        <v>281</v>
      </c>
      <c r="E333">
        <v>29.795632657084901</v>
      </c>
      <c r="F333">
        <v>0.916885740825508</v>
      </c>
      <c r="G333">
        <v>27.319190722155991</v>
      </c>
      <c r="H333">
        <v>2.7319190722155991E-2</v>
      </c>
      <c r="I333">
        <v>546.38381444311983</v>
      </c>
      <c r="J333">
        <v>0.54638381444311979</v>
      </c>
      <c r="K333">
        <v>16</v>
      </c>
    </row>
    <row r="334" spans="1:11" x14ac:dyDescent="0.25">
      <c r="A334" t="s">
        <v>141</v>
      </c>
      <c r="B334" t="s">
        <v>166</v>
      </c>
      <c r="C334" t="s">
        <v>262</v>
      </c>
      <c r="D334" t="s">
        <v>285</v>
      </c>
      <c r="E334">
        <v>29.795632657084901</v>
      </c>
      <c r="F334">
        <v>5.5360287650909799</v>
      </c>
      <c r="G334">
        <v>164.94947946370621</v>
      </c>
      <c r="H334">
        <v>0.16494947946370622</v>
      </c>
      <c r="I334">
        <v>3298.9895892741242</v>
      </c>
      <c r="J334">
        <v>3.2989895892741243</v>
      </c>
      <c r="K334">
        <v>16</v>
      </c>
    </row>
    <row r="335" spans="1:11" x14ac:dyDescent="0.25">
      <c r="A335" t="s">
        <v>141</v>
      </c>
      <c r="B335" t="s">
        <v>198</v>
      </c>
      <c r="C335" t="s">
        <v>262</v>
      </c>
      <c r="D335" t="s">
        <v>290</v>
      </c>
      <c r="E335">
        <v>20271.2724555436</v>
      </c>
      <c r="F335">
        <v>0.29805446051388707</v>
      </c>
      <c r="G335">
        <v>6041.9431756670665</v>
      </c>
      <c r="H335">
        <v>6.0419431756670665</v>
      </c>
      <c r="I335">
        <v>120838.86351334133</v>
      </c>
      <c r="J335">
        <v>120.83886351334134</v>
      </c>
      <c r="K335">
        <v>16</v>
      </c>
    </row>
    <row r="336" spans="1:11" x14ac:dyDescent="0.25">
      <c r="A336" t="s">
        <v>141</v>
      </c>
      <c r="B336" t="s">
        <v>164</v>
      </c>
      <c r="C336" t="s">
        <v>262</v>
      </c>
      <c r="D336" t="s">
        <v>281</v>
      </c>
      <c r="E336">
        <v>327.75195922793398</v>
      </c>
      <c r="F336">
        <v>1.7088885108851117</v>
      </c>
      <c r="G336">
        <v>560.09155754470191</v>
      </c>
      <c r="H336">
        <v>0.56009155754470197</v>
      </c>
      <c r="I336">
        <v>11201.831150894039</v>
      </c>
      <c r="J336">
        <v>11.201831150894039</v>
      </c>
      <c r="K336">
        <v>16</v>
      </c>
    </row>
    <row r="337" spans="1:11" x14ac:dyDescent="0.25">
      <c r="A337" t="s">
        <v>141</v>
      </c>
      <c r="B337" t="s">
        <v>200</v>
      </c>
      <c r="C337" t="s">
        <v>262</v>
      </c>
      <c r="D337" t="s">
        <v>192</v>
      </c>
      <c r="E337">
        <v>5497.29422523216</v>
      </c>
      <c r="F337">
        <v>2.3393892499999996E-2</v>
      </c>
      <c r="G337">
        <v>128.60311014595192</v>
      </c>
      <c r="H337">
        <v>0.12860311014595191</v>
      </c>
      <c r="I337">
        <v>2572.0622029190381</v>
      </c>
      <c r="J337">
        <v>2.5720622029190383</v>
      </c>
      <c r="K337">
        <v>16</v>
      </c>
    </row>
    <row r="338" spans="1:11" x14ac:dyDescent="0.25">
      <c r="A338" t="s">
        <v>141</v>
      </c>
      <c r="B338" t="s">
        <v>163</v>
      </c>
      <c r="C338" t="s">
        <v>262</v>
      </c>
      <c r="D338" t="s">
        <v>281</v>
      </c>
      <c r="E338">
        <v>11441.522940320599</v>
      </c>
      <c r="F338">
        <v>1.3542602010948113</v>
      </c>
      <c r="G338">
        <v>15494.799157989471</v>
      </c>
      <c r="H338">
        <v>15.494799157989471</v>
      </c>
      <c r="I338">
        <v>309895.98315978941</v>
      </c>
      <c r="J338">
        <v>309.89598315978941</v>
      </c>
      <c r="K338">
        <v>16</v>
      </c>
    </row>
    <row r="339" spans="1:11" x14ac:dyDescent="0.25">
      <c r="A339" t="s">
        <v>141</v>
      </c>
      <c r="B339" t="s">
        <v>201</v>
      </c>
      <c r="C339" t="s">
        <v>262</v>
      </c>
      <c r="D339" t="s">
        <v>192</v>
      </c>
      <c r="E339">
        <v>11681.750228618301</v>
      </c>
      <c r="F339">
        <v>7.8587282917499997E-3</v>
      </c>
      <c r="G339">
        <v>91.803701018799671</v>
      </c>
      <c r="H339">
        <v>9.1803701018799672E-2</v>
      </c>
      <c r="I339">
        <v>1836.0740203759933</v>
      </c>
      <c r="J339">
        <v>1.8360740203759933</v>
      </c>
      <c r="K339">
        <v>16</v>
      </c>
    </row>
    <row r="340" spans="1:11" x14ac:dyDescent="0.25">
      <c r="A340" t="s">
        <v>141</v>
      </c>
      <c r="B340" t="s">
        <v>202</v>
      </c>
      <c r="C340" t="s">
        <v>262</v>
      </c>
      <c r="D340" t="s">
        <v>192</v>
      </c>
      <c r="E340">
        <v>3092.2280016930899</v>
      </c>
      <c r="F340">
        <v>1.3593584444444445E-3</v>
      </c>
      <c r="G340">
        <v>4.2034462462490723</v>
      </c>
      <c r="H340">
        <v>4.2034462462490719E-3</v>
      </c>
      <c r="I340">
        <v>84.068924924981445</v>
      </c>
      <c r="J340">
        <v>8.4068924924981442E-2</v>
      </c>
      <c r="K340">
        <v>16</v>
      </c>
    </row>
    <row r="341" spans="1:11" x14ac:dyDescent="0.25">
      <c r="A341" t="s">
        <v>141</v>
      </c>
      <c r="B341" t="s">
        <v>203</v>
      </c>
      <c r="C341" t="s">
        <v>262</v>
      </c>
      <c r="D341" t="s">
        <v>192</v>
      </c>
      <c r="E341">
        <v>343.58088907701</v>
      </c>
      <c r="F341">
        <v>1.940598E-3</v>
      </c>
      <c r="G341">
        <v>0.66675238618106747</v>
      </c>
      <c r="H341">
        <v>6.6675238618106743E-4</v>
      </c>
      <c r="I341">
        <v>13.335047723621349</v>
      </c>
      <c r="J341">
        <v>1.333504772362135E-2</v>
      </c>
      <c r="K341">
        <v>16</v>
      </c>
    </row>
    <row r="342" spans="1:11" x14ac:dyDescent="0.25">
      <c r="A342" t="s">
        <v>141</v>
      </c>
      <c r="B342" t="s">
        <v>204</v>
      </c>
      <c r="C342" t="s">
        <v>262</v>
      </c>
      <c r="D342" t="s">
        <v>192</v>
      </c>
      <c r="E342">
        <v>13399.654674003399</v>
      </c>
      <c r="F342">
        <v>3.5384665999999994E-3</v>
      </c>
      <c r="G342">
        <v>47.414230515494907</v>
      </c>
      <c r="H342">
        <v>4.7414230515494905E-2</v>
      </c>
      <c r="I342">
        <v>948.2846103098982</v>
      </c>
      <c r="J342">
        <v>0.94828461030989819</v>
      </c>
      <c r="K342">
        <v>16</v>
      </c>
    </row>
    <row r="343" spans="1:11" x14ac:dyDescent="0.25">
      <c r="A343" t="s">
        <v>141</v>
      </c>
      <c r="B343" t="s">
        <v>205</v>
      </c>
      <c r="C343" t="s">
        <v>262</v>
      </c>
      <c r="D343" t="s">
        <v>192</v>
      </c>
      <c r="E343">
        <v>687.16177815402</v>
      </c>
      <c r="F343">
        <v>2.1170870000000001E-3</v>
      </c>
      <c r="G343">
        <v>1.4547812674267597</v>
      </c>
      <c r="H343">
        <v>1.4547812674267598E-3</v>
      </c>
      <c r="I343">
        <v>29.095625348535194</v>
      </c>
      <c r="J343">
        <v>2.9095625348535194E-2</v>
      </c>
      <c r="K343">
        <v>16</v>
      </c>
    </row>
    <row r="344" spans="1:11" x14ac:dyDescent="0.25">
      <c r="A344" t="s">
        <v>141</v>
      </c>
      <c r="B344" t="s">
        <v>161</v>
      </c>
      <c r="C344" t="s">
        <v>262</v>
      </c>
      <c r="D344" t="s">
        <v>284</v>
      </c>
      <c r="E344">
        <v>59.591265314169803</v>
      </c>
      <c r="F344">
        <v>4.3875024244472751</v>
      </c>
      <c r="G344">
        <v>261.45682104180082</v>
      </c>
      <c r="H344">
        <v>0.26145682104180085</v>
      </c>
      <c r="I344">
        <v>5229.1364208360164</v>
      </c>
      <c r="J344">
        <v>5.2291364208360163</v>
      </c>
      <c r="K344">
        <v>16</v>
      </c>
    </row>
    <row r="345" spans="1:11" x14ac:dyDescent="0.25">
      <c r="A345" t="s">
        <v>141</v>
      </c>
      <c r="B345" t="s">
        <v>165</v>
      </c>
      <c r="C345" t="s">
        <v>262</v>
      </c>
      <c r="D345" t="s">
        <v>282</v>
      </c>
      <c r="E345">
        <v>51.078227412145502</v>
      </c>
      <c r="F345">
        <v>2.5899904687504947</v>
      </c>
      <c r="G345">
        <v>132.29212215812709</v>
      </c>
      <c r="H345">
        <v>0.13229212215812708</v>
      </c>
      <c r="I345">
        <v>2645.8424431625417</v>
      </c>
      <c r="J345">
        <v>2.6458424431625418</v>
      </c>
      <c r="K345">
        <v>16</v>
      </c>
    </row>
    <row r="346" spans="1:11" x14ac:dyDescent="0.25">
      <c r="A346" t="s">
        <v>141</v>
      </c>
      <c r="B346" t="s">
        <v>212</v>
      </c>
      <c r="C346" t="s">
        <v>262</v>
      </c>
      <c r="D346" t="s">
        <v>192</v>
      </c>
      <c r="E346">
        <v>1717.9044453850499</v>
      </c>
      <c r="F346">
        <v>0.34526056399999999</v>
      </c>
      <c r="G346">
        <v>593.12465771174948</v>
      </c>
      <c r="H346">
        <v>0.59312465771174949</v>
      </c>
      <c r="I346">
        <v>11862.49315423499</v>
      </c>
      <c r="J346">
        <v>11.86249315423499</v>
      </c>
      <c r="K346">
        <v>16</v>
      </c>
    </row>
    <row r="347" spans="1:11" x14ac:dyDescent="0.25">
      <c r="A347" t="s">
        <v>141</v>
      </c>
      <c r="B347" t="s">
        <v>206</v>
      </c>
      <c r="C347" t="s">
        <v>262</v>
      </c>
      <c r="D347" t="s">
        <v>192</v>
      </c>
      <c r="E347">
        <v>343.58088907701</v>
      </c>
      <c r="F347">
        <v>5.4517759999999998E-2</v>
      </c>
      <c r="G347">
        <v>18.731260451287053</v>
      </c>
      <c r="H347">
        <v>1.8731260451287052E-2</v>
      </c>
      <c r="I347">
        <v>374.62520902574107</v>
      </c>
      <c r="J347">
        <v>0.37462520902574109</v>
      </c>
      <c r="K347">
        <v>16</v>
      </c>
    </row>
    <row r="348" spans="1:11" x14ac:dyDescent="0.25">
      <c r="A348" t="s">
        <v>141</v>
      </c>
      <c r="B348" t="s">
        <v>207</v>
      </c>
      <c r="C348" t="s">
        <v>262</v>
      </c>
      <c r="D348" t="s">
        <v>192</v>
      </c>
      <c r="E348">
        <v>687.16177815402</v>
      </c>
      <c r="F348">
        <v>1.8891729999999999E-2</v>
      </c>
      <c r="G348">
        <v>12.981674779205644</v>
      </c>
      <c r="H348">
        <v>1.2981674779205645E-2</v>
      </c>
      <c r="I348">
        <v>259.63349558411289</v>
      </c>
      <c r="J348">
        <v>0.25963349558411292</v>
      </c>
      <c r="K348">
        <v>16</v>
      </c>
    </row>
    <row r="349" spans="1:11" x14ac:dyDescent="0.25">
      <c r="A349" t="s">
        <v>141</v>
      </c>
      <c r="B349" t="s">
        <v>153</v>
      </c>
      <c r="C349" t="s">
        <v>262</v>
      </c>
      <c r="D349" t="s">
        <v>284</v>
      </c>
      <c r="E349">
        <v>29.795632657084901</v>
      </c>
      <c r="F349">
        <v>4.70311427412366</v>
      </c>
      <c r="G349">
        <v>140.13226525608107</v>
      </c>
      <c r="H349">
        <v>0.14013226525608108</v>
      </c>
      <c r="I349">
        <v>2802.6453051216213</v>
      </c>
      <c r="J349">
        <v>2.8026453051216214</v>
      </c>
      <c r="K349">
        <v>16</v>
      </c>
    </row>
    <row r="350" spans="1:11" x14ac:dyDescent="0.25">
      <c r="A350" t="s">
        <v>141</v>
      </c>
      <c r="B350" t="s">
        <v>210</v>
      </c>
      <c r="C350" t="s">
        <v>262</v>
      </c>
      <c r="D350" t="s">
        <v>192</v>
      </c>
      <c r="E350">
        <v>3779.3897798471098</v>
      </c>
      <c r="F350">
        <v>3.512899545454546E-2</v>
      </c>
      <c r="G350">
        <v>132.7661663972047</v>
      </c>
      <c r="H350">
        <v>0.1327661663972047</v>
      </c>
      <c r="I350">
        <v>2655.3233279440938</v>
      </c>
      <c r="J350">
        <v>2.6553233279440938</v>
      </c>
      <c r="K350">
        <v>16</v>
      </c>
    </row>
    <row r="351" spans="1:11" x14ac:dyDescent="0.25">
      <c r="A351" t="s">
        <v>141</v>
      </c>
      <c r="B351" t="s">
        <v>211</v>
      </c>
      <c r="C351" t="s">
        <v>262</v>
      </c>
      <c r="D351" t="s">
        <v>192</v>
      </c>
      <c r="E351">
        <v>12712.4928958494</v>
      </c>
      <c r="F351">
        <v>0.1069242266456</v>
      </c>
      <c r="G351">
        <v>1359.2734716263813</v>
      </c>
      <c r="H351">
        <v>1.3592734716263812</v>
      </c>
      <c r="I351">
        <v>27185.469432527625</v>
      </c>
      <c r="J351">
        <v>27.185469432527626</v>
      </c>
      <c r="K351">
        <v>16</v>
      </c>
    </row>
    <row r="352" spans="1:11" x14ac:dyDescent="0.25">
      <c r="A352" t="s">
        <v>143</v>
      </c>
      <c r="B352" t="s">
        <v>217</v>
      </c>
      <c r="C352" t="s">
        <v>263</v>
      </c>
      <c r="D352" t="s">
        <v>192</v>
      </c>
      <c r="E352">
        <v>818.80134209591097</v>
      </c>
      <c r="F352">
        <v>5.2677119999999999E-3</v>
      </c>
      <c r="G352">
        <v>4.3132096553747354</v>
      </c>
      <c r="H352">
        <v>4.3132096553747355E-3</v>
      </c>
      <c r="I352">
        <v>86.264193107494705</v>
      </c>
      <c r="J352">
        <v>8.626419310749471E-2</v>
      </c>
      <c r="K352">
        <v>20</v>
      </c>
    </row>
    <row r="353" spans="1:11" x14ac:dyDescent="0.25">
      <c r="A353" t="s">
        <v>143</v>
      </c>
      <c r="B353" t="s">
        <v>191</v>
      </c>
      <c r="C353" t="s">
        <v>263</v>
      </c>
      <c r="D353" t="s">
        <v>192</v>
      </c>
      <c r="E353">
        <v>5731.60939467137</v>
      </c>
      <c r="F353">
        <v>1.5591514285714285E-2</v>
      </c>
      <c r="G353">
        <v>89.364469757152861</v>
      </c>
      <c r="H353">
        <v>8.9364469757152856E-2</v>
      </c>
      <c r="I353">
        <v>1787.2893951430572</v>
      </c>
      <c r="J353">
        <v>1.7872893951430571</v>
      </c>
      <c r="K353">
        <v>20</v>
      </c>
    </row>
    <row r="354" spans="1:11" x14ac:dyDescent="0.25">
      <c r="A354" t="s">
        <v>143</v>
      </c>
      <c r="B354" t="s">
        <v>193</v>
      </c>
      <c r="C354" t="s">
        <v>263</v>
      </c>
      <c r="D354" t="s">
        <v>192</v>
      </c>
      <c r="E354">
        <v>818.80134209591097</v>
      </c>
      <c r="F354">
        <v>2.39579715648</v>
      </c>
      <c r="G354">
        <v>1961.6819271153913</v>
      </c>
      <c r="H354">
        <v>1.9616819271153914</v>
      </c>
      <c r="I354">
        <v>39233.638542307825</v>
      </c>
      <c r="J354">
        <v>39.233638542307823</v>
      </c>
      <c r="K354">
        <v>20</v>
      </c>
    </row>
    <row r="355" spans="1:11" x14ac:dyDescent="0.25">
      <c r="A355" t="s">
        <v>143</v>
      </c>
      <c r="B355" t="s">
        <v>172</v>
      </c>
      <c r="C355" t="s">
        <v>263</v>
      </c>
      <c r="D355" t="s">
        <v>281</v>
      </c>
      <c r="E355">
        <v>95.895652677899406</v>
      </c>
      <c r="F355">
        <v>1.11669076441879</v>
      </c>
      <c r="G355">
        <v>107.08578969332227</v>
      </c>
      <c r="H355">
        <v>0.10708578969332228</v>
      </c>
      <c r="I355">
        <v>2141.7157938664454</v>
      </c>
      <c r="J355">
        <v>2.1417157938664455</v>
      </c>
      <c r="K355">
        <v>20</v>
      </c>
    </row>
    <row r="356" spans="1:11" x14ac:dyDescent="0.25">
      <c r="A356" t="s">
        <v>143</v>
      </c>
      <c r="B356" t="s">
        <v>157</v>
      </c>
      <c r="C356" t="s">
        <v>263</v>
      </c>
      <c r="D356" t="s">
        <v>282</v>
      </c>
      <c r="E356">
        <v>27.316429909449699</v>
      </c>
      <c r="F356">
        <v>129.25253023323532</v>
      </c>
      <c r="G356">
        <v>3530.7176827352009</v>
      </c>
      <c r="H356">
        <v>3.5307176827352009</v>
      </c>
      <c r="I356">
        <v>70614.353654704013</v>
      </c>
      <c r="J356">
        <v>70.614353654704018</v>
      </c>
      <c r="K356">
        <v>20</v>
      </c>
    </row>
    <row r="357" spans="1:11" x14ac:dyDescent="0.25">
      <c r="A357" t="s">
        <v>143</v>
      </c>
      <c r="B357" t="s">
        <v>171</v>
      </c>
      <c r="C357" t="s">
        <v>263</v>
      </c>
      <c r="D357" t="s">
        <v>282</v>
      </c>
      <c r="E357">
        <v>1.0373327813715101</v>
      </c>
      <c r="F357">
        <v>9.0420586860628358</v>
      </c>
      <c r="G357">
        <v>9.379623886137983</v>
      </c>
      <c r="H357">
        <v>9.3796238861379826E-3</v>
      </c>
      <c r="I357">
        <v>187.59247772275967</v>
      </c>
      <c r="J357">
        <v>0.18759247772275967</v>
      </c>
      <c r="K357">
        <v>20</v>
      </c>
    </row>
    <row r="358" spans="1:11" x14ac:dyDescent="0.25">
      <c r="A358" t="s">
        <v>143</v>
      </c>
      <c r="B358" t="s">
        <v>183</v>
      </c>
      <c r="C358" t="s">
        <v>263</v>
      </c>
      <c r="D358" t="s">
        <v>281</v>
      </c>
      <c r="E358">
        <v>29.506354670122899</v>
      </c>
      <c r="F358">
        <v>1.5674488373040163</v>
      </c>
      <c r="G358">
        <v>46.249701320764068</v>
      </c>
      <c r="H358">
        <v>4.6249701320764065E-2</v>
      </c>
      <c r="I358">
        <v>924.99402641528138</v>
      </c>
      <c r="J358">
        <v>0.92499402641528139</v>
      </c>
      <c r="K358">
        <v>20</v>
      </c>
    </row>
    <row r="359" spans="1:11" x14ac:dyDescent="0.25">
      <c r="A359" t="s">
        <v>143</v>
      </c>
      <c r="B359" t="s">
        <v>194</v>
      </c>
      <c r="C359" t="s">
        <v>263</v>
      </c>
      <c r="D359" t="s">
        <v>192</v>
      </c>
      <c r="E359">
        <v>4094.0067104795498</v>
      </c>
      <c r="F359">
        <v>7.0998480000000006E-3</v>
      </c>
      <c r="G359">
        <v>29.066825355384815</v>
      </c>
      <c r="H359">
        <v>2.9066825355384816E-2</v>
      </c>
      <c r="I359">
        <v>581.33650710769632</v>
      </c>
      <c r="J359">
        <v>0.58133650710769635</v>
      </c>
      <c r="K359">
        <v>20</v>
      </c>
    </row>
    <row r="360" spans="1:11" x14ac:dyDescent="0.25">
      <c r="A360" t="s">
        <v>143</v>
      </c>
      <c r="B360" t="s">
        <v>195</v>
      </c>
      <c r="C360" t="s">
        <v>263</v>
      </c>
      <c r="D360" t="s">
        <v>192</v>
      </c>
      <c r="E360">
        <v>192418.31539253899</v>
      </c>
      <c r="F360">
        <v>1.2575874999999997E-2</v>
      </c>
      <c r="G360">
        <v>2419.8286820871458</v>
      </c>
      <c r="H360">
        <v>2.4198286820871457</v>
      </c>
      <c r="I360">
        <v>48396.573641742914</v>
      </c>
      <c r="J360">
        <v>48.396573641742911</v>
      </c>
      <c r="K360">
        <v>20</v>
      </c>
    </row>
    <row r="361" spans="1:11" x14ac:dyDescent="0.25">
      <c r="A361" t="s">
        <v>143</v>
      </c>
      <c r="B361" t="s">
        <v>196</v>
      </c>
      <c r="C361" t="s">
        <v>263</v>
      </c>
      <c r="D361" t="s">
        <v>197</v>
      </c>
      <c r="E361">
        <v>24564.040262877301</v>
      </c>
      <c r="F361">
        <v>0.15791870603595948</v>
      </c>
      <c r="G361">
        <v>3879.1214533287935</v>
      </c>
      <c r="H361">
        <v>3.8791214533287937</v>
      </c>
      <c r="I361">
        <v>77582.429066575874</v>
      </c>
      <c r="J361">
        <v>77.58242906657587</v>
      </c>
      <c r="K361">
        <v>20</v>
      </c>
    </row>
    <row r="362" spans="1:11" x14ac:dyDescent="0.25">
      <c r="A362" t="s">
        <v>143</v>
      </c>
      <c r="B362" t="s">
        <v>173</v>
      </c>
      <c r="C362" t="s">
        <v>263</v>
      </c>
      <c r="D362" t="s">
        <v>285</v>
      </c>
      <c r="E362">
        <v>36.8829433376536</v>
      </c>
      <c r="F362">
        <v>1.1308534783927719</v>
      </c>
      <c r="G362">
        <v>41.709204766749089</v>
      </c>
      <c r="H362">
        <v>4.1709204766749088E-2</v>
      </c>
      <c r="I362">
        <v>834.18409533498175</v>
      </c>
      <c r="J362">
        <v>0.83418409533498172</v>
      </c>
      <c r="K362">
        <v>20</v>
      </c>
    </row>
    <row r="363" spans="1:11" x14ac:dyDescent="0.25">
      <c r="A363" t="s">
        <v>143</v>
      </c>
      <c r="B363" t="s">
        <v>170</v>
      </c>
      <c r="C363" t="s">
        <v>263</v>
      </c>
      <c r="D363" t="s">
        <v>283</v>
      </c>
      <c r="E363">
        <v>81.142475342837997</v>
      </c>
      <c r="F363">
        <v>2.2175390865519415</v>
      </c>
      <c r="G363">
        <v>179.93661065232041</v>
      </c>
      <c r="H363">
        <v>0.17993661065232042</v>
      </c>
      <c r="I363">
        <v>3598.7322130464081</v>
      </c>
      <c r="J363">
        <v>3.5987322130464081</v>
      </c>
      <c r="K363">
        <v>20</v>
      </c>
    </row>
    <row r="364" spans="1:11" x14ac:dyDescent="0.25">
      <c r="A364" t="s">
        <v>143</v>
      </c>
      <c r="B364" t="s">
        <v>167</v>
      </c>
      <c r="C364" t="s">
        <v>263</v>
      </c>
      <c r="D364" t="s">
        <v>284</v>
      </c>
      <c r="E364">
        <v>1217.13713014257</v>
      </c>
      <c r="F364">
        <v>1.804859606855193</v>
      </c>
      <c r="G364">
        <v>2196.7616421979765</v>
      </c>
      <c r="H364">
        <v>2.1967616421979765</v>
      </c>
      <c r="I364">
        <v>43935.232843959529</v>
      </c>
      <c r="J364">
        <v>43.935232843959533</v>
      </c>
      <c r="K364">
        <v>20</v>
      </c>
    </row>
    <row r="365" spans="1:11" x14ac:dyDescent="0.25">
      <c r="A365" t="s">
        <v>143</v>
      </c>
      <c r="B365" t="s">
        <v>174</v>
      </c>
      <c r="C365" t="s">
        <v>263</v>
      </c>
      <c r="D365" t="s">
        <v>281</v>
      </c>
      <c r="E365">
        <v>7.3765886675307302</v>
      </c>
      <c r="F365">
        <v>0.52073013543403401</v>
      </c>
      <c r="G365">
        <v>3.8412120158844378</v>
      </c>
      <c r="H365">
        <v>3.841212015884438E-3</v>
      </c>
      <c r="I365">
        <v>76.824240317688762</v>
      </c>
      <c r="J365">
        <v>7.6824240317688766E-2</v>
      </c>
      <c r="K365">
        <v>20</v>
      </c>
    </row>
    <row r="366" spans="1:11" x14ac:dyDescent="0.25">
      <c r="A366" t="s">
        <v>143</v>
      </c>
      <c r="B366" t="s">
        <v>166</v>
      </c>
      <c r="C366" t="s">
        <v>263</v>
      </c>
      <c r="D366" t="s">
        <v>285</v>
      </c>
      <c r="E366">
        <v>14.753177335061499</v>
      </c>
      <c r="F366">
        <v>4.6038094819450706</v>
      </c>
      <c r="G366">
        <v>67.920817703973242</v>
      </c>
      <c r="H366">
        <v>6.7920817703973235E-2</v>
      </c>
      <c r="I366">
        <v>1358.4163540794648</v>
      </c>
      <c r="J366">
        <v>1.3584163540794647</v>
      </c>
      <c r="K366">
        <v>20</v>
      </c>
    </row>
    <row r="367" spans="1:11" x14ac:dyDescent="0.25">
      <c r="A367" t="s">
        <v>143</v>
      </c>
      <c r="B367" t="s">
        <v>198</v>
      </c>
      <c r="C367" t="s">
        <v>263</v>
      </c>
      <c r="D367" t="s">
        <v>290</v>
      </c>
      <c r="E367">
        <v>8188.0134209591097</v>
      </c>
      <c r="F367">
        <v>0.1436805805566036</v>
      </c>
      <c r="G367">
        <v>1176.4585219286669</v>
      </c>
      <c r="H367">
        <v>1.176458521928667</v>
      </c>
      <c r="I367">
        <v>23529.170438573339</v>
      </c>
      <c r="J367">
        <v>23.529170438573338</v>
      </c>
      <c r="K367">
        <v>20</v>
      </c>
    </row>
    <row r="368" spans="1:11" x14ac:dyDescent="0.25">
      <c r="A368" t="s">
        <v>143</v>
      </c>
      <c r="B368" t="s">
        <v>175</v>
      </c>
      <c r="C368" t="s">
        <v>263</v>
      </c>
      <c r="D368" t="s">
        <v>284</v>
      </c>
      <c r="E368">
        <v>169.66153935320699</v>
      </c>
      <c r="F368">
        <v>1.2613934763730348</v>
      </c>
      <c r="G368">
        <v>214.0099589315422</v>
      </c>
      <c r="H368">
        <v>0.2140099589315422</v>
      </c>
      <c r="I368">
        <v>4280.1991786308445</v>
      </c>
      <c r="J368">
        <v>4.2801991786308449</v>
      </c>
      <c r="K368">
        <v>20</v>
      </c>
    </row>
    <row r="369" spans="1:11" x14ac:dyDescent="0.25">
      <c r="A369" t="s">
        <v>143</v>
      </c>
      <c r="B369" t="s">
        <v>160</v>
      </c>
      <c r="C369" t="s">
        <v>263</v>
      </c>
      <c r="D369" t="s">
        <v>284</v>
      </c>
      <c r="E369">
        <v>18.9683708593647</v>
      </c>
      <c r="F369">
        <v>19.388846757203932</v>
      </c>
      <c r="G369">
        <v>367.77483582603486</v>
      </c>
      <c r="H369">
        <v>0.36777483582603487</v>
      </c>
      <c r="I369">
        <v>7355.4967165206972</v>
      </c>
      <c r="J369">
        <v>7.3554967165206975</v>
      </c>
      <c r="K369">
        <v>20</v>
      </c>
    </row>
    <row r="370" spans="1:11" x14ac:dyDescent="0.25">
      <c r="A370" t="s">
        <v>143</v>
      </c>
      <c r="B370" t="s">
        <v>164</v>
      </c>
      <c r="C370" t="s">
        <v>263</v>
      </c>
      <c r="D370" t="s">
        <v>281</v>
      </c>
      <c r="E370">
        <v>7.3765886675307302</v>
      </c>
      <c r="F370">
        <v>1.8652460737612799</v>
      </c>
      <c r="G370">
        <v>13.759153049863645</v>
      </c>
      <c r="H370">
        <v>1.3759153049863646E-2</v>
      </c>
      <c r="I370">
        <v>275.18306099727289</v>
      </c>
      <c r="J370">
        <v>0.27518306099727291</v>
      </c>
      <c r="K370">
        <v>20</v>
      </c>
    </row>
    <row r="371" spans="1:11" x14ac:dyDescent="0.25">
      <c r="A371" t="s">
        <v>143</v>
      </c>
      <c r="B371" t="s">
        <v>200</v>
      </c>
      <c r="C371" t="s">
        <v>263</v>
      </c>
      <c r="D371" t="s">
        <v>192</v>
      </c>
      <c r="E371">
        <v>4912.8080525754604</v>
      </c>
      <c r="F371">
        <v>3.1738296666666672E-2</v>
      </c>
      <c r="G371">
        <v>155.92415943902893</v>
      </c>
      <c r="H371">
        <v>0.15592415943902893</v>
      </c>
      <c r="I371">
        <v>3118.4831887805785</v>
      </c>
      <c r="J371">
        <v>3.1184831887805786</v>
      </c>
      <c r="K371">
        <v>20</v>
      </c>
    </row>
    <row r="372" spans="1:11" x14ac:dyDescent="0.25">
      <c r="A372" t="s">
        <v>143</v>
      </c>
      <c r="B372" t="s">
        <v>177</v>
      </c>
      <c r="C372" t="s">
        <v>263</v>
      </c>
      <c r="D372" t="s">
        <v>285</v>
      </c>
      <c r="E372">
        <v>7.3765886675307302</v>
      </c>
      <c r="F372">
        <v>0.62709995900955096</v>
      </c>
      <c r="G372">
        <v>4.6258584510388392</v>
      </c>
      <c r="H372">
        <v>4.6258584510388391E-3</v>
      </c>
      <c r="I372">
        <v>92.517169020776777</v>
      </c>
      <c r="J372">
        <v>9.2517169020776779E-2</v>
      </c>
      <c r="K372">
        <v>20</v>
      </c>
    </row>
    <row r="373" spans="1:11" x14ac:dyDescent="0.25">
      <c r="A373" t="s">
        <v>143</v>
      </c>
      <c r="B373" t="s">
        <v>201</v>
      </c>
      <c r="C373" t="s">
        <v>263</v>
      </c>
      <c r="D373" t="s">
        <v>192</v>
      </c>
      <c r="E373">
        <v>3275.2053683836398</v>
      </c>
      <c r="F373">
        <v>9.1331219962500002E-3</v>
      </c>
      <c r="G373">
        <v>29.912850192220706</v>
      </c>
      <c r="H373">
        <v>2.9912850192220706E-2</v>
      </c>
      <c r="I373">
        <v>598.25700384441416</v>
      </c>
      <c r="J373">
        <v>0.59825700384441416</v>
      </c>
      <c r="K373">
        <v>20</v>
      </c>
    </row>
    <row r="374" spans="1:11" x14ac:dyDescent="0.25">
      <c r="A374" t="s">
        <v>143</v>
      </c>
      <c r="B374" t="s">
        <v>202</v>
      </c>
      <c r="C374" t="s">
        <v>263</v>
      </c>
      <c r="D374" t="s">
        <v>192</v>
      </c>
      <c r="E374">
        <v>15557.2254998223</v>
      </c>
      <c r="F374">
        <v>1.7104640000000001E-3</v>
      </c>
      <c r="G374">
        <v>26.61007415732805</v>
      </c>
      <c r="H374">
        <v>2.6610074157328051E-2</v>
      </c>
      <c r="I374">
        <v>532.20148314656103</v>
      </c>
      <c r="J374">
        <v>0.53220148314656102</v>
      </c>
      <c r="K374">
        <v>20</v>
      </c>
    </row>
    <row r="375" spans="1:11" x14ac:dyDescent="0.25">
      <c r="A375" t="s">
        <v>143</v>
      </c>
      <c r="B375" t="s">
        <v>203</v>
      </c>
      <c r="C375" t="s">
        <v>263</v>
      </c>
      <c r="D375" t="s">
        <v>192</v>
      </c>
      <c r="E375">
        <v>818.80134209591097</v>
      </c>
      <c r="F375">
        <v>2.1854539999999999E-3</v>
      </c>
      <c r="G375">
        <v>1.7894526682888769</v>
      </c>
      <c r="H375">
        <v>1.7894526682888769E-3</v>
      </c>
      <c r="I375">
        <v>35.789053365777541</v>
      </c>
      <c r="J375">
        <v>3.5789053365777541E-2</v>
      </c>
      <c r="K375">
        <v>20</v>
      </c>
    </row>
    <row r="376" spans="1:11" x14ac:dyDescent="0.25">
      <c r="A376" t="s">
        <v>143</v>
      </c>
      <c r="B376" t="s">
        <v>204</v>
      </c>
      <c r="C376" t="s">
        <v>263</v>
      </c>
      <c r="D376" t="s">
        <v>192</v>
      </c>
      <c r="E376">
        <v>29476.8483154528</v>
      </c>
      <c r="F376">
        <v>3.9513876E-3</v>
      </c>
      <c r="G376">
        <v>116.47445292076108</v>
      </c>
      <c r="H376">
        <v>0.11647445292076108</v>
      </c>
      <c r="I376">
        <v>2329.4890584152217</v>
      </c>
      <c r="J376">
        <v>2.3294890584152217</v>
      </c>
      <c r="K376">
        <v>20</v>
      </c>
    </row>
    <row r="377" spans="1:11" x14ac:dyDescent="0.25">
      <c r="A377" t="s">
        <v>143</v>
      </c>
      <c r="B377" t="s">
        <v>161</v>
      </c>
      <c r="C377" t="s">
        <v>263</v>
      </c>
      <c r="D377" t="s">
        <v>284</v>
      </c>
      <c r="E377">
        <v>1239.26689614516</v>
      </c>
      <c r="F377">
        <v>3.9054992471935464</v>
      </c>
      <c r="G377">
        <v>4839.9559299668053</v>
      </c>
      <c r="H377">
        <v>4.8399559299668056</v>
      </c>
      <c r="I377">
        <v>96799.1185993361</v>
      </c>
      <c r="J377">
        <v>96.799118599336097</v>
      </c>
      <c r="K377">
        <v>20</v>
      </c>
    </row>
    <row r="378" spans="1:11" x14ac:dyDescent="0.25">
      <c r="A378" t="s">
        <v>143</v>
      </c>
      <c r="B378" t="s">
        <v>181</v>
      </c>
      <c r="C378" t="s">
        <v>263</v>
      </c>
      <c r="D378" t="s">
        <v>284</v>
      </c>
      <c r="E378">
        <v>44.259532005184397</v>
      </c>
      <c r="F378">
        <v>6.7323409793079181</v>
      </c>
      <c r="G378">
        <v>297.97026104349328</v>
      </c>
      <c r="H378">
        <v>0.29797026104349328</v>
      </c>
      <c r="I378">
        <v>5959.4052208698658</v>
      </c>
      <c r="J378">
        <v>5.9594052208698658</v>
      </c>
      <c r="K378">
        <v>20</v>
      </c>
    </row>
    <row r="379" spans="1:11" x14ac:dyDescent="0.25">
      <c r="A379" t="s">
        <v>143</v>
      </c>
      <c r="B379" t="s">
        <v>165</v>
      </c>
      <c r="C379" t="s">
        <v>263</v>
      </c>
      <c r="D379" t="s">
        <v>282</v>
      </c>
      <c r="E379">
        <v>2832.6100483318</v>
      </c>
      <c r="F379">
        <v>2.0245216095664746</v>
      </c>
      <c r="G379">
        <v>5734.680254322865</v>
      </c>
      <c r="H379">
        <v>5.734680254322865</v>
      </c>
      <c r="I379">
        <v>114693.6050864573</v>
      </c>
      <c r="J379">
        <v>114.69360508645731</v>
      </c>
      <c r="K379">
        <v>20</v>
      </c>
    </row>
    <row r="380" spans="1:11" x14ac:dyDescent="0.25">
      <c r="A380" t="s">
        <v>143</v>
      </c>
      <c r="B380" t="s">
        <v>212</v>
      </c>
      <c r="C380" t="s">
        <v>263</v>
      </c>
      <c r="D380" t="s">
        <v>192</v>
      </c>
      <c r="E380">
        <v>818.80134209591097</v>
      </c>
      <c r="F380">
        <v>0.19683</v>
      </c>
      <c r="G380">
        <v>161.16466816473817</v>
      </c>
      <c r="H380">
        <v>0.16116466816473818</v>
      </c>
      <c r="I380">
        <v>3223.2933632947634</v>
      </c>
      <c r="J380">
        <v>3.2232933632947636</v>
      </c>
      <c r="K380">
        <v>20</v>
      </c>
    </row>
    <row r="381" spans="1:11" x14ac:dyDescent="0.25">
      <c r="A381" t="s">
        <v>143</v>
      </c>
      <c r="B381" t="s">
        <v>207</v>
      </c>
      <c r="C381" t="s">
        <v>263</v>
      </c>
      <c r="D381" t="s">
        <v>192</v>
      </c>
      <c r="E381">
        <v>2456.4040262877302</v>
      </c>
      <c r="F381">
        <v>1.0669680000000001E-2</v>
      </c>
      <c r="G381">
        <v>26.209044911201669</v>
      </c>
      <c r="H381">
        <v>2.620904491120167E-2</v>
      </c>
      <c r="I381">
        <v>524.1808982240334</v>
      </c>
      <c r="J381">
        <v>0.52418089822403335</v>
      </c>
      <c r="K381">
        <v>20</v>
      </c>
    </row>
    <row r="382" spans="1:11" x14ac:dyDescent="0.25">
      <c r="A382" t="s">
        <v>143</v>
      </c>
      <c r="B382" t="s">
        <v>208</v>
      </c>
      <c r="C382" t="s">
        <v>263</v>
      </c>
      <c r="D382" t="s">
        <v>192</v>
      </c>
      <c r="E382">
        <v>4094.0067104795498</v>
      </c>
      <c r="F382">
        <v>2.5452682639999995E-2</v>
      </c>
      <c r="G382">
        <v>104.20345352786632</v>
      </c>
      <c r="H382">
        <v>0.10420345352786632</v>
      </c>
      <c r="I382">
        <v>2084.0690705573261</v>
      </c>
      <c r="J382">
        <v>2.0840690705573262</v>
      </c>
      <c r="K382">
        <v>20</v>
      </c>
    </row>
    <row r="383" spans="1:11" x14ac:dyDescent="0.25">
      <c r="A383" t="s">
        <v>143</v>
      </c>
      <c r="B383" t="s">
        <v>209</v>
      </c>
      <c r="C383" t="s">
        <v>263</v>
      </c>
      <c r="D383" t="s">
        <v>192</v>
      </c>
      <c r="E383">
        <v>11463.2187893427</v>
      </c>
      <c r="F383">
        <v>3.6994768800000001E-2</v>
      </c>
      <c r="G383">
        <v>424.0791288155491</v>
      </c>
      <c r="H383">
        <v>0.4240791288155491</v>
      </c>
      <c r="I383">
        <v>8481.5825763109824</v>
      </c>
      <c r="J383">
        <v>8.4815825763109824</v>
      </c>
      <c r="K383">
        <v>20</v>
      </c>
    </row>
    <row r="384" spans="1:11" x14ac:dyDescent="0.25">
      <c r="A384" t="s">
        <v>143</v>
      </c>
      <c r="B384" t="s">
        <v>153</v>
      </c>
      <c r="C384" t="s">
        <v>263</v>
      </c>
      <c r="D384" t="s">
        <v>284</v>
      </c>
      <c r="E384">
        <v>272.93378069863701</v>
      </c>
      <c r="F384">
        <v>7.7031668280688992</v>
      </c>
      <c r="G384">
        <v>2102.4544457371721</v>
      </c>
      <c r="H384">
        <v>2.1024544457371723</v>
      </c>
      <c r="I384">
        <v>42049.088914743443</v>
      </c>
      <c r="J384">
        <v>42.049088914743443</v>
      </c>
      <c r="K384">
        <v>20</v>
      </c>
    </row>
    <row r="385" spans="1:11" x14ac:dyDescent="0.25">
      <c r="A385" t="s">
        <v>143</v>
      </c>
      <c r="B385" t="s">
        <v>210</v>
      </c>
      <c r="C385" t="s">
        <v>263</v>
      </c>
      <c r="D385" t="s">
        <v>192</v>
      </c>
      <c r="E385">
        <v>1637.6026841918199</v>
      </c>
      <c r="F385">
        <v>3.4011360000000004E-2</v>
      </c>
      <c r="G385">
        <v>55.6970944290143</v>
      </c>
      <c r="H385">
        <v>5.5697094429014299E-2</v>
      </c>
      <c r="I385">
        <v>1113.9418885802861</v>
      </c>
      <c r="J385">
        <v>1.1139418885802861</v>
      </c>
      <c r="K385">
        <v>20</v>
      </c>
    </row>
    <row r="386" spans="1:11" x14ac:dyDescent="0.25">
      <c r="A386" t="s">
        <v>143</v>
      </c>
      <c r="B386" t="s">
        <v>211</v>
      </c>
      <c r="C386" t="s">
        <v>263</v>
      </c>
      <c r="D386" t="s">
        <v>192</v>
      </c>
      <c r="E386">
        <v>3275.2053683836398</v>
      </c>
      <c r="F386">
        <v>0.13650223633818531</v>
      </c>
      <c r="G386">
        <v>447.07285725119687</v>
      </c>
      <c r="H386">
        <v>0.44707285725119689</v>
      </c>
      <c r="I386">
        <v>8941.4571450239382</v>
      </c>
      <c r="J386">
        <v>8.9414571450239375</v>
      </c>
      <c r="K386">
        <v>20</v>
      </c>
    </row>
    <row r="387" spans="1:11" x14ac:dyDescent="0.25">
      <c r="A387" t="s">
        <v>143</v>
      </c>
      <c r="B387" t="s">
        <v>214</v>
      </c>
      <c r="C387" t="s">
        <v>263</v>
      </c>
      <c r="D387" t="s">
        <v>192</v>
      </c>
      <c r="E387">
        <v>818.80134209591097</v>
      </c>
      <c r="F387">
        <v>9.9419951557093503E-3</v>
      </c>
      <c r="G387">
        <v>8.1405189766058612</v>
      </c>
      <c r="H387">
        <v>8.1405189766058615E-3</v>
      </c>
      <c r="I387">
        <v>162.81037953211722</v>
      </c>
      <c r="J387">
        <v>0.16281037953211722</v>
      </c>
      <c r="K387">
        <v>20</v>
      </c>
    </row>
    <row r="388" spans="1:11" x14ac:dyDescent="0.25">
      <c r="A388" t="s">
        <v>143</v>
      </c>
      <c r="B388" t="s">
        <v>182</v>
      </c>
      <c r="C388" t="s">
        <v>263</v>
      </c>
      <c r="D388" t="s">
        <v>285</v>
      </c>
      <c r="E388">
        <v>22.129766002592199</v>
      </c>
      <c r="F388">
        <v>0.36475909525052569</v>
      </c>
      <c r="G388">
        <v>8.072033425211373</v>
      </c>
      <c r="H388">
        <v>8.0720334252113723E-3</v>
      </c>
      <c r="I388">
        <v>161.44066850422746</v>
      </c>
      <c r="J388">
        <v>0.16144066850422745</v>
      </c>
      <c r="K388">
        <v>20</v>
      </c>
    </row>
    <row r="389" spans="1:11" x14ac:dyDescent="0.25">
      <c r="A389" t="s">
        <v>144</v>
      </c>
      <c r="B389" t="s">
        <v>191</v>
      </c>
      <c r="C389" t="s">
        <v>264</v>
      </c>
      <c r="D389" t="s">
        <v>192</v>
      </c>
      <c r="E389">
        <v>1501.6998859170801</v>
      </c>
      <c r="F389">
        <v>1.1305167000000001E-2</v>
      </c>
      <c r="G389">
        <v>16.976967994173542</v>
      </c>
      <c r="H389">
        <v>1.6976967994173541E-2</v>
      </c>
      <c r="I389">
        <v>339.53935988347087</v>
      </c>
      <c r="J389">
        <v>0.33953935988347089</v>
      </c>
      <c r="K389">
        <v>20</v>
      </c>
    </row>
    <row r="390" spans="1:11" x14ac:dyDescent="0.25">
      <c r="A390" t="s">
        <v>144</v>
      </c>
      <c r="B390" t="s">
        <v>193</v>
      </c>
      <c r="C390" t="s">
        <v>264</v>
      </c>
      <c r="D390" t="s">
        <v>192</v>
      </c>
      <c r="E390">
        <v>3003.3997718341602</v>
      </c>
      <c r="F390">
        <v>3.0458789439</v>
      </c>
      <c r="G390">
        <v>9147.9921251437336</v>
      </c>
      <c r="H390">
        <v>9.1479921251437339</v>
      </c>
      <c r="I390">
        <v>182959.84250287467</v>
      </c>
      <c r="J390">
        <v>182.95984250287466</v>
      </c>
      <c r="K390">
        <v>20</v>
      </c>
    </row>
    <row r="391" spans="1:11" x14ac:dyDescent="0.25">
      <c r="A391" t="s">
        <v>144</v>
      </c>
      <c r="B391" t="s">
        <v>172</v>
      </c>
      <c r="C391" t="s">
        <v>264</v>
      </c>
      <c r="D391" t="s">
        <v>281</v>
      </c>
      <c r="E391">
        <v>5685.0067109718002</v>
      </c>
      <c r="F391">
        <v>0.62034654646282528</v>
      </c>
      <c r="G391">
        <v>3526.6742797693414</v>
      </c>
      <c r="H391">
        <v>3.5266742797693413</v>
      </c>
      <c r="I391">
        <v>70533.485595386825</v>
      </c>
      <c r="J391">
        <v>70.533485595386821</v>
      </c>
      <c r="K391">
        <v>20</v>
      </c>
    </row>
    <row r="392" spans="1:11" x14ac:dyDescent="0.25">
      <c r="A392" t="s">
        <v>144</v>
      </c>
      <c r="B392" t="s">
        <v>157</v>
      </c>
      <c r="C392" t="s">
        <v>264</v>
      </c>
      <c r="D392" t="s">
        <v>282</v>
      </c>
      <c r="E392">
        <v>17.598045538090801</v>
      </c>
      <c r="F392">
        <v>111.75905783141759</v>
      </c>
      <c r="G392">
        <v>1966.7409890114102</v>
      </c>
      <c r="H392">
        <v>1.9667409890114103</v>
      </c>
      <c r="I392">
        <v>39334.819780228201</v>
      </c>
      <c r="J392">
        <v>39.334819780228202</v>
      </c>
      <c r="K392">
        <v>20</v>
      </c>
    </row>
    <row r="393" spans="1:11" x14ac:dyDescent="0.25">
      <c r="A393" t="s">
        <v>144</v>
      </c>
      <c r="B393" t="s">
        <v>194</v>
      </c>
      <c r="C393" t="s">
        <v>264</v>
      </c>
      <c r="D393" t="s">
        <v>192</v>
      </c>
      <c r="E393">
        <v>2627.9748003548898</v>
      </c>
      <c r="F393">
        <v>7.4409428571428566E-3</v>
      </c>
      <c r="G393">
        <v>19.554610319452141</v>
      </c>
      <c r="H393">
        <v>1.9554610319452142E-2</v>
      </c>
      <c r="I393">
        <v>391.09220638904281</v>
      </c>
      <c r="J393">
        <v>0.3910922063890428</v>
      </c>
      <c r="K393">
        <v>20</v>
      </c>
    </row>
    <row r="394" spans="1:11" x14ac:dyDescent="0.25">
      <c r="A394" t="s">
        <v>144</v>
      </c>
      <c r="B394" t="s">
        <v>195</v>
      </c>
      <c r="C394" t="s">
        <v>264</v>
      </c>
      <c r="D394" t="s">
        <v>192</v>
      </c>
      <c r="E394">
        <v>59692.570465203898</v>
      </c>
      <c r="F394">
        <v>1.4119816099999998E-2</v>
      </c>
      <c r="G394">
        <v>842.84811750497033</v>
      </c>
      <c r="H394">
        <v>0.84284811750497035</v>
      </c>
      <c r="I394">
        <v>16856.962350099406</v>
      </c>
      <c r="J394">
        <v>16.856962350099405</v>
      </c>
      <c r="K394">
        <v>20</v>
      </c>
    </row>
    <row r="395" spans="1:11" x14ac:dyDescent="0.25">
      <c r="A395" t="s">
        <v>144</v>
      </c>
      <c r="B395" t="s">
        <v>196</v>
      </c>
      <c r="C395" t="s">
        <v>264</v>
      </c>
      <c r="D395" t="s">
        <v>197</v>
      </c>
      <c r="E395">
        <v>13139.8740017744</v>
      </c>
      <c r="F395">
        <v>9.9349042665410114E-2</v>
      </c>
      <c r="G395">
        <v>1305.4339028203981</v>
      </c>
      <c r="H395">
        <v>1.3054339028203981</v>
      </c>
      <c r="I395">
        <v>26108.67805640796</v>
      </c>
      <c r="J395">
        <v>26.10867805640796</v>
      </c>
      <c r="K395">
        <v>20</v>
      </c>
    </row>
    <row r="396" spans="1:11" x14ac:dyDescent="0.25">
      <c r="A396" t="s">
        <v>144</v>
      </c>
      <c r="B396" t="s">
        <v>173</v>
      </c>
      <c r="C396" t="s">
        <v>264</v>
      </c>
      <c r="D396" t="s">
        <v>285</v>
      </c>
      <c r="E396">
        <v>5041.4210455787597</v>
      </c>
      <c r="F396">
        <v>0.63222521303169155</v>
      </c>
      <c r="G396">
        <v>3187.3134945234847</v>
      </c>
      <c r="H396">
        <v>3.1873134945234849</v>
      </c>
      <c r="I396">
        <v>63746.269890469695</v>
      </c>
      <c r="J396">
        <v>63.746269890469698</v>
      </c>
      <c r="K396">
        <v>20</v>
      </c>
    </row>
    <row r="397" spans="1:11" x14ac:dyDescent="0.25">
      <c r="A397" t="s">
        <v>144</v>
      </c>
      <c r="B397" t="s">
        <v>170</v>
      </c>
      <c r="C397" t="s">
        <v>264</v>
      </c>
      <c r="D397" t="s">
        <v>283</v>
      </c>
      <c r="E397">
        <v>679.34042458153601</v>
      </c>
      <c r="F397">
        <v>2.6699382867596646</v>
      </c>
      <c r="G397">
        <v>1813.7970093338095</v>
      </c>
      <c r="H397">
        <v>1.8137970093338094</v>
      </c>
      <c r="I397">
        <v>36275.940186676191</v>
      </c>
      <c r="J397">
        <v>36.275940186676188</v>
      </c>
      <c r="K397">
        <v>20</v>
      </c>
    </row>
    <row r="398" spans="1:11" x14ac:dyDescent="0.25">
      <c r="A398" t="s">
        <v>144</v>
      </c>
      <c r="B398" t="s">
        <v>167</v>
      </c>
      <c r="C398" t="s">
        <v>264</v>
      </c>
      <c r="D398" t="s">
        <v>284</v>
      </c>
      <c r="E398">
        <v>4290.5711026202298</v>
      </c>
      <c r="F398">
        <v>1.2128289802606687</v>
      </c>
      <c r="G398">
        <v>5203.7289751267863</v>
      </c>
      <c r="H398">
        <v>5.2037289751267863</v>
      </c>
      <c r="I398">
        <v>104074.57950253572</v>
      </c>
      <c r="J398">
        <v>104.07457950253573</v>
      </c>
      <c r="K398">
        <v>20</v>
      </c>
    </row>
    <row r="399" spans="1:11" x14ac:dyDescent="0.25">
      <c r="A399" t="s">
        <v>144</v>
      </c>
      <c r="B399" t="s">
        <v>166</v>
      </c>
      <c r="C399" t="s">
        <v>264</v>
      </c>
      <c r="D399" t="s">
        <v>285</v>
      </c>
      <c r="E399">
        <v>1251.4165715975701</v>
      </c>
      <c r="F399">
        <v>2.4900722776527884</v>
      </c>
      <c r="G399">
        <v>3116.1177127304049</v>
      </c>
      <c r="H399">
        <v>3.1161177127304049</v>
      </c>
      <c r="I399">
        <v>62322.354254608101</v>
      </c>
      <c r="J399">
        <v>62.322354254608101</v>
      </c>
      <c r="K399">
        <v>20</v>
      </c>
    </row>
    <row r="400" spans="1:11" x14ac:dyDescent="0.25">
      <c r="A400" t="s">
        <v>144</v>
      </c>
      <c r="B400" t="s">
        <v>198</v>
      </c>
      <c r="C400" t="s">
        <v>264</v>
      </c>
      <c r="D400" t="s">
        <v>290</v>
      </c>
      <c r="E400">
        <v>49556.096235263598</v>
      </c>
      <c r="F400">
        <v>0.16974615716480451</v>
      </c>
      <c r="G400">
        <v>8411.9569000252322</v>
      </c>
      <c r="H400">
        <v>8.411956900025233</v>
      </c>
      <c r="I400">
        <v>168239.13800050464</v>
      </c>
      <c r="J400">
        <v>168.23913800050462</v>
      </c>
      <c r="K400">
        <v>20</v>
      </c>
    </row>
    <row r="401" spans="1:11" x14ac:dyDescent="0.25">
      <c r="A401" t="s">
        <v>144</v>
      </c>
      <c r="B401" t="s">
        <v>175</v>
      </c>
      <c r="C401" t="s">
        <v>264</v>
      </c>
      <c r="D401" t="s">
        <v>284</v>
      </c>
      <c r="E401">
        <v>250.28331431951301</v>
      </c>
      <c r="F401">
        <v>3.4127601610130225</v>
      </c>
      <c r="G401">
        <v>854.15692407593417</v>
      </c>
      <c r="H401">
        <v>0.85415692407593413</v>
      </c>
      <c r="I401">
        <v>17083.138481518683</v>
      </c>
      <c r="J401">
        <v>17.083138481518684</v>
      </c>
      <c r="K401">
        <v>20</v>
      </c>
    </row>
    <row r="402" spans="1:11" x14ac:dyDescent="0.25">
      <c r="A402" t="s">
        <v>144</v>
      </c>
      <c r="B402" t="s">
        <v>160</v>
      </c>
      <c r="C402" t="s">
        <v>264</v>
      </c>
      <c r="D402" t="s">
        <v>284</v>
      </c>
      <c r="E402">
        <v>61.293872894574598</v>
      </c>
      <c r="F402">
        <v>12.565251771970674</v>
      </c>
      <c r="G402">
        <v>770.17294499949878</v>
      </c>
      <c r="H402">
        <v>0.77017294499949873</v>
      </c>
      <c r="I402">
        <v>15403.458899989975</v>
      </c>
      <c r="J402">
        <v>15.403458899989975</v>
      </c>
      <c r="K402">
        <v>20</v>
      </c>
    </row>
    <row r="403" spans="1:11" x14ac:dyDescent="0.25">
      <c r="A403" t="s">
        <v>144</v>
      </c>
      <c r="B403" t="s">
        <v>200</v>
      </c>
      <c r="C403" t="s">
        <v>264</v>
      </c>
      <c r="D403" t="s">
        <v>192</v>
      </c>
      <c r="E403">
        <v>1126.2749144378099</v>
      </c>
      <c r="F403">
        <v>2.2387660000000004E-2</v>
      </c>
      <c r="G403">
        <v>25.214659850962782</v>
      </c>
      <c r="H403">
        <v>2.5214659850962783E-2</v>
      </c>
      <c r="I403">
        <v>504.29319701925567</v>
      </c>
      <c r="J403">
        <v>0.50429319701925568</v>
      </c>
      <c r="K403">
        <v>20</v>
      </c>
    </row>
    <row r="404" spans="1:11" x14ac:dyDescent="0.25">
      <c r="A404" t="s">
        <v>144</v>
      </c>
      <c r="B404" t="s">
        <v>163</v>
      </c>
      <c r="C404" t="s">
        <v>264</v>
      </c>
      <c r="D404" t="s">
        <v>281</v>
      </c>
      <c r="E404">
        <v>15.323468223643699</v>
      </c>
      <c r="F404">
        <v>1.0488961347517101</v>
      </c>
      <c r="G404">
        <v>16.072726590770529</v>
      </c>
      <c r="H404">
        <v>1.6072726590770529E-2</v>
      </c>
      <c r="I404">
        <v>321.45453181541058</v>
      </c>
      <c r="J404">
        <v>0.32145453181541056</v>
      </c>
      <c r="K404">
        <v>20</v>
      </c>
    </row>
    <row r="405" spans="1:11" x14ac:dyDescent="0.25">
      <c r="A405" t="s">
        <v>144</v>
      </c>
      <c r="B405" t="s">
        <v>201</v>
      </c>
      <c r="C405" t="s">
        <v>264</v>
      </c>
      <c r="D405" t="s">
        <v>192</v>
      </c>
      <c r="E405">
        <v>4505.0996577512396</v>
      </c>
      <c r="F405">
        <v>8.6436882350000004E-3</v>
      </c>
      <c r="G405">
        <v>38.940676909206921</v>
      </c>
      <c r="H405">
        <v>3.8940676909206919E-2</v>
      </c>
      <c r="I405">
        <v>778.81353818413845</v>
      </c>
      <c r="J405">
        <v>0.77881353818413845</v>
      </c>
      <c r="K405">
        <v>20</v>
      </c>
    </row>
    <row r="406" spans="1:11" x14ac:dyDescent="0.25">
      <c r="A406" t="s">
        <v>144</v>
      </c>
      <c r="B406" t="s">
        <v>202</v>
      </c>
      <c r="C406" t="s">
        <v>264</v>
      </c>
      <c r="D406" t="s">
        <v>192</v>
      </c>
      <c r="E406">
        <v>21023.7984028391</v>
      </c>
      <c r="F406">
        <v>1.6525180000000004E-3</v>
      </c>
      <c r="G406">
        <v>34.742205289062873</v>
      </c>
      <c r="H406">
        <v>3.4742205289062876E-2</v>
      </c>
      <c r="I406">
        <v>694.84410578125744</v>
      </c>
      <c r="J406">
        <v>0.69484410578125744</v>
      </c>
      <c r="K406">
        <v>20</v>
      </c>
    </row>
    <row r="407" spans="1:11" x14ac:dyDescent="0.25">
      <c r="A407" t="s">
        <v>144</v>
      </c>
      <c r="B407" t="s">
        <v>203</v>
      </c>
      <c r="C407" t="s">
        <v>264</v>
      </c>
      <c r="D407" t="s">
        <v>192</v>
      </c>
      <c r="E407">
        <v>2627.9748003548898</v>
      </c>
      <c r="F407">
        <v>1.8500274285714287E-3</v>
      </c>
      <c r="G407">
        <v>4.8618254622510708</v>
      </c>
      <c r="H407">
        <v>4.8618254622510709E-3</v>
      </c>
      <c r="I407">
        <v>97.236509245021409</v>
      </c>
      <c r="J407">
        <v>9.7236509245021405E-2</v>
      </c>
      <c r="K407">
        <v>20</v>
      </c>
    </row>
    <row r="408" spans="1:11" x14ac:dyDescent="0.25">
      <c r="A408" t="s">
        <v>144</v>
      </c>
      <c r="B408" t="s">
        <v>204</v>
      </c>
      <c r="C408" t="s">
        <v>264</v>
      </c>
      <c r="D408" t="s">
        <v>192</v>
      </c>
      <c r="E408">
        <v>9761.0492584610092</v>
      </c>
      <c r="F408">
        <v>3.8766187999999995E-3</v>
      </c>
      <c r="G408">
        <v>37.839867063075999</v>
      </c>
      <c r="H408">
        <v>3.7839867063076002E-2</v>
      </c>
      <c r="I408">
        <v>756.79734126151993</v>
      </c>
      <c r="J408">
        <v>0.75679734126151998</v>
      </c>
      <c r="K408">
        <v>20</v>
      </c>
    </row>
    <row r="409" spans="1:11" x14ac:dyDescent="0.25">
      <c r="A409" t="s">
        <v>144</v>
      </c>
      <c r="B409" t="s">
        <v>161</v>
      </c>
      <c r="C409" t="s">
        <v>264</v>
      </c>
      <c r="D409" t="s">
        <v>284</v>
      </c>
      <c r="E409">
        <v>1751.9832002365899</v>
      </c>
      <c r="F409">
        <v>3.4002302532357236</v>
      </c>
      <c r="G409">
        <v>5957.1462806051941</v>
      </c>
      <c r="H409">
        <v>5.957146280605194</v>
      </c>
      <c r="I409">
        <v>119142.92561210388</v>
      </c>
      <c r="J409">
        <v>119.14292561210388</v>
      </c>
      <c r="K409">
        <v>20</v>
      </c>
    </row>
    <row r="410" spans="1:11" x14ac:dyDescent="0.25">
      <c r="A410" t="s">
        <v>144</v>
      </c>
      <c r="B410" t="s">
        <v>165</v>
      </c>
      <c r="C410" t="s">
        <v>264</v>
      </c>
      <c r="D410" t="s">
        <v>282</v>
      </c>
      <c r="E410">
        <v>1430.1903675400799</v>
      </c>
      <c r="F410">
        <v>4.2011242780910916</v>
      </c>
      <c r="G410">
        <v>6008.407475364651</v>
      </c>
      <c r="H410">
        <v>6.0084074753646508</v>
      </c>
      <c r="I410">
        <v>120168.14950729301</v>
      </c>
      <c r="J410">
        <v>120.16814950729301</v>
      </c>
      <c r="K410">
        <v>20</v>
      </c>
    </row>
    <row r="411" spans="1:11" x14ac:dyDescent="0.25">
      <c r="A411" t="s">
        <v>144</v>
      </c>
      <c r="B411" t="s">
        <v>207</v>
      </c>
      <c r="C411" t="s">
        <v>264</v>
      </c>
      <c r="D411" t="s">
        <v>192</v>
      </c>
      <c r="E411">
        <v>1501.6998859170801</v>
      </c>
      <c r="F411">
        <v>2.5943644999999998E-2</v>
      </c>
      <c r="G411">
        <v>38.959568736773221</v>
      </c>
      <c r="H411">
        <v>3.8959568736773219E-2</v>
      </c>
      <c r="I411">
        <v>779.19137473546448</v>
      </c>
      <c r="J411">
        <v>0.77919137473546451</v>
      </c>
      <c r="K411">
        <v>20</v>
      </c>
    </row>
    <row r="412" spans="1:11" x14ac:dyDescent="0.25">
      <c r="A412" t="s">
        <v>144</v>
      </c>
      <c r="B412" t="s">
        <v>209</v>
      </c>
      <c r="C412" t="s">
        <v>264</v>
      </c>
      <c r="D412" t="s">
        <v>192</v>
      </c>
      <c r="E412">
        <v>21774.648345797599</v>
      </c>
      <c r="F412">
        <v>3.4492236240000002E-2</v>
      </c>
      <c r="G412">
        <v>751.05631478617602</v>
      </c>
      <c r="H412">
        <v>0.75105631478617607</v>
      </c>
      <c r="I412">
        <v>15021.126295723519</v>
      </c>
      <c r="J412">
        <v>15.021126295723519</v>
      </c>
      <c r="K412">
        <v>20</v>
      </c>
    </row>
    <row r="413" spans="1:11" x14ac:dyDescent="0.25">
      <c r="A413" t="s">
        <v>144</v>
      </c>
      <c r="B413" t="s">
        <v>178</v>
      </c>
      <c r="C413" t="s">
        <v>264</v>
      </c>
      <c r="D413" t="s">
        <v>282</v>
      </c>
      <c r="E413">
        <v>15.323468223643699</v>
      </c>
      <c r="F413">
        <v>3.8986031814601501</v>
      </c>
      <c r="G413">
        <v>59.740121967700837</v>
      </c>
      <c r="H413">
        <v>5.9740121967700836E-2</v>
      </c>
      <c r="I413">
        <v>1194.8024393540168</v>
      </c>
      <c r="J413">
        <v>1.1948024393540169</v>
      </c>
      <c r="K413">
        <v>20</v>
      </c>
    </row>
    <row r="414" spans="1:11" x14ac:dyDescent="0.25">
      <c r="A414" t="s">
        <v>144</v>
      </c>
      <c r="B414" t="s">
        <v>153</v>
      </c>
      <c r="C414" t="s">
        <v>264</v>
      </c>
      <c r="D414" t="s">
        <v>284</v>
      </c>
      <c r="E414">
        <v>143.019036754007</v>
      </c>
      <c r="F414">
        <v>6.9556105756225399</v>
      </c>
      <c r="G414">
        <v>994.78472456151985</v>
      </c>
      <c r="H414">
        <v>0.9947847245615199</v>
      </c>
      <c r="I414">
        <v>19895.694491230395</v>
      </c>
      <c r="J414">
        <v>19.895694491230394</v>
      </c>
      <c r="K414">
        <v>20</v>
      </c>
    </row>
    <row r="415" spans="1:11" x14ac:dyDescent="0.25">
      <c r="A415" t="s">
        <v>144</v>
      </c>
      <c r="B415" t="s">
        <v>210</v>
      </c>
      <c r="C415" t="s">
        <v>264</v>
      </c>
      <c r="D415" t="s">
        <v>192</v>
      </c>
      <c r="E415">
        <v>3003.3997718341602</v>
      </c>
      <c r="F415">
        <v>2.5618470000000001E-2</v>
      </c>
      <c r="G415">
        <v>76.942506952740274</v>
      </c>
      <c r="H415">
        <v>7.6942506952740269E-2</v>
      </c>
      <c r="I415">
        <v>1538.8501390548054</v>
      </c>
      <c r="J415">
        <v>1.5388501390548053</v>
      </c>
      <c r="K415">
        <v>20</v>
      </c>
    </row>
    <row r="416" spans="1:11" x14ac:dyDescent="0.25">
      <c r="A416" t="s">
        <v>144</v>
      </c>
      <c r="B416" t="s">
        <v>215</v>
      </c>
      <c r="C416" t="s">
        <v>264</v>
      </c>
      <c r="D416" t="s">
        <v>192</v>
      </c>
      <c r="E416">
        <v>750.84994295853903</v>
      </c>
      <c r="F416">
        <v>7.1397823952000006E-2</v>
      </c>
      <c r="G416">
        <v>53.609052041723018</v>
      </c>
      <c r="H416">
        <v>5.3609052041723018E-2</v>
      </c>
      <c r="I416">
        <v>1072.1810408344604</v>
      </c>
      <c r="J416">
        <v>1.0721810408344603</v>
      </c>
      <c r="K416">
        <v>20</v>
      </c>
    </row>
    <row r="417" spans="1:11" x14ac:dyDescent="0.25">
      <c r="A417" t="s">
        <v>144</v>
      </c>
      <c r="B417" t="s">
        <v>214</v>
      </c>
      <c r="C417" t="s">
        <v>264</v>
      </c>
      <c r="D417" t="s">
        <v>192</v>
      </c>
      <c r="E417">
        <v>750.84994295853903</v>
      </c>
      <c r="F417">
        <v>1.826945012041525E-2</v>
      </c>
      <c r="G417">
        <v>13.717615580797665</v>
      </c>
      <c r="H417">
        <v>1.3717615580797664E-2</v>
      </c>
      <c r="I417">
        <v>274.35231161595328</v>
      </c>
      <c r="J417">
        <v>0.2743523116159533</v>
      </c>
      <c r="K417">
        <v>20</v>
      </c>
    </row>
    <row r="418" spans="1:11" x14ac:dyDescent="0.25">
      <c r="A418" t="s">
        <v>145</v>
      </c>
      <c r="B418" t="s">
        <v>217</v>
      </c>
      <c r="C418" t="s">
        <v>265</v>
      </c>
      <c r="D418" t="s">
        <v>192</v>
      </c>
      <c r="E418">
        <v>445.39333644297602</v>
      </c>
      <c r="F418">
        <v>1.7411813999999998E-2</v>
      </c>
      <c r="G418">
        <v>7.7551059309845192</v>
      </c>
      <c r="H418">
        <v>7.7551059309845195E-3</v>
      </c>
      <c r="I418">
        <v>155.10211861969037</v>
      </c>
      <c r="J418">
        <v>0.15510211861969037</v>
      </c>
      <c r="K418">
        <v>20</v>
      </c>
    </row>
    <row r="419" spans="1:11" x14ac:dyDescent="0.25">
      <c r="A419" t="s">
        <v>145</v>
      </c>
      <c r="B419" t="s">
        <v>191</v>
      </c>
      <c r="C419" t="s">
        <v>265</v>
      </c>
      <c r="D419" t="s">
        <v>192</v>
      </c>
      <c r="E419">
        <v>1781.5733457719</v>
      </c>
      <c r="F419">
        <v>1.11242475E-2</v>
      </c>
      <c r="G419">
        <v>19.818662837769693</v>
      </c>
      <c r="H419">
        <v>1.9818662837769695E-2</v>
      </c>
      <c r="I419">
        <v>396.37325675539387</v>
      </c>
      <c r="J419">
        <v>0.39637325675539387</v>
      </c>
      <c r="K419">
        <v>20</v>
      </c>
    </row>
    <row r="420" spans="1:11" x14ac:dyDescent="0.25">
      <c r="A420" t="s">
        <v>145</v>
      </c>
      <c r="B420" t="s">
        <v>193</v>
      </c>
      <c r="C420" t="s">
        <v>265</v>
      </c>
      <c r="D420" t="s">
        <v>192</v>
      </c>
      <c r="E420">
        <v>445.39333644297602</v>
      </c>
      <c r="F420">
        <v>1.724909584125</v>
      </c>
      <c r="G420">
        <v>768.26323473589991</v>
      </c>
      <c r="H420">
        <v>0.76826323473589997</v>
      </c>
      <c r="I420">
        <v>15365.264694717998</v>
      </c>
      <c r="J420">
        <v>15.365264694717998</v>
      </c>
      <c r="K420">
        <v>20</v>
      </c>
    </row>
    <row r="421" spans="1:11" x14ac:dyDescent="0.25">
      <c r="A421" t="s">
        <v>145</v>
      </c>
      <c r="B421" t="s">
        <v>172</v>
      </c>
      <c r="C421" t="s">
        <v>265</v>
      </c>
      <c r="D421" t="s">
        <v>281</v>
      </c>
      <c r="E421">
        <v>663.723403326788</v>
      </c>
      <c r="F421">
        <v>0.54070762324681632</v>
      </c>
      <c r="G421">
        <v>358.88030390611561</v>
      </c>
      <c r="H421">
        <v>0.35888030390611564</v>
      </c>
      <c r="I421">
        <v>7177.6060781223123</v>
      </c>
      <c r="J421">
        <v>7.1776060781223121</v>
      </c>
      <c r="K421">
        <v>20</v>
      </c>
    </row>
    <row r="422" spans="1:11" x14ac:dyDescent="0.25">
      <c r="A422" t="s">
        <v>145</v>
      </c>
      <c r="B422" t="s">
        <v>157</v>
      </c>
      <c r="C422" t="s">
        <v>265</v>
      </c>
      <c r="D422" t="s">
        <v>282</v>
      </c>
      <c r="E422">
        <v>4.9124265048857598</v>
      </c>
      <c r="F422">
        <v>109.96429429186554</v>
      </c>
      <c r="G422">
        <v>540.19151387041813</v>
      </c>
      <c r="H422">
        <v>0.54019151387041808</v>
      </c>
      <c r="I422">
        <v>10803.830277408362</v>
      </c>
      <c r="J422">
        <v>10.803830277408363</v>
      </c>
      <c r="K422">
        <v>20</v>
      </c>
    </row>
    <row r="423" spans="1:11" x14ac:dyDescent="0.25">
      <c r="A423" t="s">
        <v>145</v>
      </c>
      <c r="B423" t="s">
        <v>194</v>
      </c>
      <c r="C423" t="s">
        <v>265</v>
      </c>
      <c r="D423" t="s">
        <v>192</v>
      </c>
      <c r="E423">
        <v>1558.87667755042</v>
      </c>
      <c r="F423">
        <v>9.9416571428571441E-3</v>
      </c>
      <c r="G423">
        <v>15.497817456202545</v>
      </c>
      <c r="H423">
        <v>1.5497817456202545E-2</v>
      </c>
      <c r="I423">
        <v>309.95634912405092</v>
      </c>
      <c r="J423">
        <v>0.3099563491240509</v>
      </c>
      <c r="K423">
        <v>20</v>
      </c>
    </row>
    <row r="424" spans="1:11" x14ac:dyDescent="0.25">
      <c r="A424" t="s">
        <v>145</v>
      </c>
      <c r="B424" t="s">
        <v>195</v>
      </c>
      <c r="C424" t="s">
        <v>265</v>
      </c>
      <c r="D424" t="s">
        <v>192</v>
      </c>
      <c r="E424">
        <v>21156.1834810414</v>
      </c>
      <c r="F424">
        <v>1.2051475799999999E-2</v>
      </c>
      <c r="G424">
        <v>254.96323324213017</v>
      </c>
      <c r="H424">
        <v>0.25496323324213016</v>
      </c>
      <c r="I424">
        <v>5099.2646648426035</v>
      </c>
      <c r="J424">
        <v>5.0992646648426039</v>
      </c>
      <c r="K424">
        <v>20</v>
      </c>
    </row>
    <row r="425" spans="1:11" x14ac:dyDescent="0.25">
      <c r="A425" t="s">
        <v>145</v>
      </c>
      <c r="B425" t="s">
        <v>196</v>
      </c>
      <c r="C425" t="s">
        <v>265</v>
      </c>
      <c r="D425" t="s">
        <v>197</v>
      </c>
      <c r="E425">
        <v>2004.27001399339</v>
      </c>
      <c r="F425">
        <v>0.13110648416745477</v>
      </c>
      <c r="G425">
        <v>262.77279485692873</v>
      </c>
      <c r="H425">
        <v>0.26277279485692873</v>
      </c>
      <c r="I425">
        <v>5255.4558971385741</v>
      </c>
      <c r="J425">
        <v>5.2554558971385736</v>
      </c>
      <c r="K425">
        <v>20</v>
      </c>
    </row>
    <row r="426" spans="1:11" x14ac:dyDescent="0.25">
      <c r="A426" t="s">
        <v>145</v>
      </c>
      <c r="B426" t="s">
        <v>173</v>
      </c>
      <c r="C426" t="s">
        <v>265</v>
      </c>
      <c r="D426" t="s">
        <v>285</v>
      </c>
      <c r="E426">
        <v>3458.34825943958</v>
      </c>
      <c r="F426">
        <v>0.79732520767195558</v>
      </c>
      <c r="G426">
        <v>2757.4282441596092</v>
      </c>
      <c r="H426">
        <v>2.7574282441596094</v>
      </c>
      <c r="I426">
        <v>55148.564883192186</v>
      </c>
      <c r="J426">
        <v>55.148564883192186</v>
      </c>
      <c r="K426">
        <v>20</v>
      </c>
    </row>
    <row r="427" spans="1:11" x14ac:dyDescent="0.25">
      <c r="A427" t="s">
        <v>145</v>
      </c>
      <c r="B427" t="s">
        <v>170</v>
      </c>
      <c r="C427" t="s">
        <v>265</v>
      </c>
      <c r="D427" t="s">
        <v>283</v>
      </c>
      <c r="E427">
        <v>751.05543008031202</v>
      </c>
      <c r="F427">
        <v>2.7680878208322071</v>
      </c>
      <c r="G427">
        <v>2078.9873887752069</v>
      </c>
      <c r="H427">
        <v>2.0789873887752068</v>
      </c>
      <c r="I427">
        <v>41579.74777550414</v>
      </c>
      <c r="J427">
        <v>41.579747775504138</v>
      </c>
      <c r="K427">
        <v>20</v>
      </c>
    </row>
    <row r="428" spans="1:11" x14ac:dyDescent="0.25">
      <c r="A428" t="s">
        <v>145</v>
      </c>
      <c r="B428" t="s">
        <v>179</v>
      </c>
      <c r="C428" t="s">
        <v>265</v>
      </c>
      <c r="D428" t="s">
        <v>283</v>
      </c>
      <c r="E428">
        <v>104.79843210423</v>
      </c>
      <c r="F428">
        <v>3.4541403503745571</v>
      </c>
      <c r="G428">
        <v>361.98849298720927</v>
      </c>
      <c r="H428">
        <v>0.36198849298720925</v>
      </c>
      <c r="I428">
        <v>7239.7698597441849</v>
      </c>
      <c r="J428">
        <v>7.2397698597441851</v>
      </c>
      <c r="K428">
        <v>20</v>
      </c>
    </row>
    <row r="429" spans="1:11" x14ac:dyDescent="0.25">
      <c r="A429" t="s">
        <v>145</v>
      </c>
      <c r="B429" t="s">
        <v>167</v>
      </c>
      <c r="C429" t="s">
        <v>265</v>
      </c>
      <c r="D429" t="s">
        <v>284</v>
      </c>
      <c r="E429">
        <v>873.32026753524701</v>
      </c>
      <c r="F429">
        <v>1.7776397238731381</v>
      </c>
      <c r="G429">
        <v>1552.4487992341715</v>
      </c>
      <c r="H429">
        <v>1.5524487992341716</v>
      </c>
      <c r="I429">
        <v>31048.975984683428</v>
      </c>
      <c r="J429">
        <v>31.048975984683427</v>
      </c>
      <c r="K429">
        <v>20</v>
      </c>
    </row>
    <row r="430" spans="1:11" x14ac:dyDescent="0.25">
      <c r="A430" t="s">
        <v>145</v>
      </c>
      <c r="B430" t="s">
        <v>166</v>
      </c>
      <c r="C430" t="s">
        <v>265</v>
      </c>
      <c r="D430" t="s">
        <v>285</v>
      </c>
      <c r="E430">
        <v>995.58510499018098</v>
      </c>
      <c r="F430">
        <v>3.2700743571227471</v>
      </c>
      <c r="G430">
        <v>3255.6373221617487</v>
      </c>
      <c r="H430">
        <v>3.2556373221617485</v>
      </c>
      <c r="I430">
        <v>65112.746443234973</v>
      </c>
      <c r="J430">
        <v>65.112746443234968</v>
      </c>
      <c r="K430">
        <v>20</v>
      </c>
    </row>
    <row r="431" spans="1:11" x14ac:dyDescent="0.25">
      <c r="A431" t="s">
        <v>145</v>
      </c>
      <c r="B431" t="s">
        <v>198</v>
      </c>
      <c r="C431" t="s">
        <v>265</v>
      </c>
      <c r="D431" t="s">
        <v>290</v>
      </c>
      <c r="E431">
        <v>14029.890097953699</v>
      </c>
      <c r="F431">
        <v>0.19357120648445253</v>
      </c>
      <c r="G431">
        <v>2715.7827531051717</v>
      </c>
      <c r="H431">
        <v>2.7157827531051715</v>
      </c>
      <c r="I431">
        <v>54315.655062103433</v>
      </c>
      <c r="J431">
        <v>54.315655062103431</v>
      </c>
      <c r="K431">
        <v>20</v>
      </c>
    </row>
    <row r="432" spans="1:11" x14ac:dyDescent="0.25">
      <c r="A432" t="s">
        <v>145</v>
      </c>
      <c r="B432" t="s">
        <v>160</v>
      </c>
      <c r="C432" t="s">
        <v>265</v>
      </c>
      <c r="D432" t="s">
        <v>284</v>
      </c>
      <c r="E432">
        <v>22.456806879477799</v>
      </c>
      <c r="F432">
        <v>13.38879259812034</v>
      </c>
      <c r="G432">
        <v>300.6695297253703</v>
      </c>
      <c r="H432">
        <v>0.30066952972537031</v>
      </c>
      <c r="I432">
        <v>6013.3905945074057</v>
      </c>
      <c r="J432">
        <v>6.0133905945074053</v>
      </c>
      <c r="K432">
        <v>20</v>
      </c>
    </row>
    <row r="433" spans="1:11" x14ac:dyDescent="0.25">
      <c r="A433" t="s">
        <v>145</v>
      </c>
      <c r="B433" t="s">
        <v>164</v>
      </c>
      <c r="C433" t="s">
        <v>265</v>
      </c>
      <c r="D433" t="s">
        <v>281</v>
      </c>
      <c r="E433">
        <v>506.52575517044301</v>
      </c>
      <c r="F433">
        <v>1.4064451226633987</v>
      </c>
      <c r="G433">
        <v>712.40067786286443</v>
      </c>
      <c r="H433">
        <v>0.71240067786286443</v>
      </c>
      <c r="I433">
        <v>14248.013557257289</v>
      </c>
      <c r="J433">
        <v>14.248013557257289</v>
      </c>
      <c r="K433">
        <v>20</v>
      </c>
    </row>
    <row r="434" spans="1:11" x14ac:dyDescent="0.25">
      <c r="A434" t="s">
        <v>145</v>
      </c>
      <c r="B434" t="s">
        <v>200</v>
      </c>
      <c r="C434" t="s">
        <v>265</v>
      </c>
      <c r="D434" t="s">
        <v>192</v>
      </c>
      <c r="E434">
        <v>3340.4500233223198</v>
      </c>
      <c r="F434">
        <v>1.8405084000000002E-2</v>
      </c>
      <c r="G434">
        <v>61.481263277049258</v>
      </c>
      <c r="H434">
        <v>6.148126327704926E-2</v>
      </c>
      <c r="I434">
        <v>1229.6252655409851</v>
      </c>
      <c r="J434">
        <v>1.2296252655409852</v>
      </c>
      <c r="K434">
        <v>20</v>
      </c>
    </row>
    <row r="435" spans="1:11" x14ac:dyDescent="0.25">
      <c r="A435" t="s">
        <v>145</v>
      </c>
      <c r="B435" t="s">
        <v>163</v>
      </c>
      <c r="C435" t="s">
        <v>265</v>
      </c>
      <c r="D435" t="s">
        <v>281</v>
      </c>
      <c r="E435">
        <v>5397.1192533678304</v>
      </c>
      <c r="F435">
        <v>2.071863136253822</v>
      </c>
      <c r="G435">
        <v>11182.092423018559</v>
      </c>
      <c r="H435">
        <v>11.18209242301856</v>
      </c>
      <c r="I435">
        <v>223641.8484603712</v>
      </c>
      <c r="J435">
        <v>223.64184846037119</v>
      </c>
      <c r="K435">
        <v>20</v>
      </c>
    </row>
    <row r="436" spans="1:11" x14ac:dyDescent="0.25">
      <c r="A436" t="s">
        <v>145</v>
      </c>
      <c r="B436" t="s">
        <v>201</v>
      </c>
      <c r="C436" t="s">
        <v>265</v>
      </c>
      <c r="D436" t="s">
        <v>192</v>
      </c>
      <c r="E436">
        <v>5567.4167055372</v>
      </c>
      <c r="F436">
        <v>7.0232931090000008E-3</v>
      </c>
      <c r="G436">
        <v>39.1015993829309</v>
      </c>
      <c r="H436">
        <v>3.9101599382930903E-2</v>
      </c>
      <c r="I436">
        <v>782.03198765861794</v>
      </c>
      <c r="J436">
        <v>0.78203198765861792</v>
      </c>
      <c r="K436">
        <v>20</v>
      </c>
    </row>
    <row r="437" spans="1:11" x14ac:dyDescent="0.25">
      <c r="A437" t="s">
        <v>145</v>
      </c>
      <c r="B437" t="s">
        <v>202</v>
      </c>
      <c r="C437" t="s">
        <v>265</v>
      </c>
      <c r="D437" t="s">
        <v>192</v>
      </c>
      <c r="E437">
        <v>12693.710088624801</v>
      </c>
      <c r="F437">
        <v>1.2958672000000003E-3</v>
      </c>
      <c r="G437">
        <v>16.449362550157975</v>
      </c>
      <c r="H437">
        <v>1.6449362550157973E-2</v>
      </c>
      <c r="I437">
        <v>328.98725100315949</v>
      </c>
      <c r="J437">
        <v>0.32898725100315951</v>
      </c>
      <c r="K437">
        <v>20</v>
      </c>
    </row>
    <row r="438" spans="1:11" x14ac:dyDescent="0.25">
      <c r="A438" t="s">
        <v>145</v>
      </c>
      <c r="B438" t="s">
        <v>204</v>
      </c>
      <c r="C438" t="s">
        <v>265</v>
      </c>
      <c r="D438" t="s">
        <v>192</v>
      </c>
      <c r="E438">
        <v>8462.4733924165394</v>
      </c>
      <c r="F438">
        <v>3.4860184999999993E-3</v>
      </c>
      <c r="G438">
        <v>29.50033880172181</v>
      </c>
      <c r="H438">
        <v>2.9500338801721811E-2</v>
      </c>
      <c r="I438">
        <v>590.00677603443614</v>
      </c>
      <c r="J438">
        <v>0.59000677603443619</v>
      </c>
      <c r="K438">
        <v>20</v>
      </c>
    </row>
    <row r="439" spans="1:11" x14ac:dyDescent="0.25">
      <c r="A439" t="s">
        <v>145</v>
      </c>
      <c r="B439" t="s">
        <v>205</v>
      </c>
      <c r="C439" t="s">
        <v>265</v>
      </c>
      <c r="D439" t="s">
        <v>192</v>
      </c>
      <c r="E439">
        <v>1558.87667755042</v>
      </c>
      <c r="F439">
        <v>2.2410751428571427E-3</v>
      </c>
      <c r="G439">
        <v>3.4935597728379757</v>
      </c>
      <c r="H439">
        <v>3.4935597728379757E-3</v>
      </c>
      <c r="I439">
        <v>69.871195456759509</v>
      </c>
      <c r="J439">
        <v>6.9871195456759502E-2</v>
      </c>
      <c r="K439">
        <v>20</v>
      </c>
    </row>
    <row r="440" spans="1:11" x14ac:dyDescent="0.25">
      <c r="A440" t="s">
        <v>145</v>
      </c>
      <c r="B440" t="s">
        <v>161</v>
      </c>
      <c r="C440" t="s">
        <v>265</v>
      </c>
      <c r="D440" t="s">
        <v>284</v>
      </c>
      <c r="E440">
        <v>366.79451236480401</v>
      </c>
      <c r="F440">
        <v>4.1373036138108166</v>
      </c>
      <c r="G440">
        <v>1517.5402615328799</v>
      </c>
      <c r="H440">
        <v>1.5175402615328799</v>
      </c>
      <c r="I440">
        <v>30350.805230657599</v>
      </c>
      <c r="J440">
        <v>30.350805230657599</v>
      </c>
      <c r="K440">
        <v>20</v>
      </c>
    </row>
    <row r="441" spans="1:11" x14ac:dyDescent="0.25">
      <c r="A441" t="s">
        <v>145</v>
      </c>
      <c r="B441" t="s">
        <v>165</v>
      </c>
      <c r="C441" t="s">
        <v>265</v>
      </c>
      <c r="D441" t="s">
        <v>282</v>
      </c>
      <c r="E441">
        <v>291.93848943321098</v>
      </c>
      <c r="F441">
        <v>4.5921659398622641</v>
      </c>
      <c r="G441">
        <v>1340.6299877100309</v>
      </c>
      <c r="H441">
        <v>1.3406299877100309</v>
      </c>
      <c r="I441">
        <v>26812.599754200619</v>
      </c>
      <c r="J441">
        <v>26.812599754200619</v>
      </c>
      <c r="K441">
        <v>20</v>
      </c>
    </row>
    <row r="442" spans="1:11" x14ac:dyDescent="0.25">
      <c r="A442" t="s">
        <v>145</v>
      </c>
      <c r="B442" t="s">
        <v>212</v>
      </c>
      <c r="C442" t="s">
        <v>265</v>
      </c>
      <c r="D442" t="s">
        <v>192</v>
      </c>
      <c r="E442">
        <v>445.39333644297602</v>
      </c>
      <c r="F442">
        <v>0.34661624000000002</v>
      </c>
      <c r="G442">
        <v>154.38056359891934</v>
      </c>
      <c r="H442">
        <v>0.15438056359891933</v>
      </c>
      <c r="I442">
        <v>3087.6112719783869</v>
      </c>
      <c r="J442">
        <v>3.0876112719783868</v>
      </c>
      <c r="K442">
        <v>20</v>
      </c>
    </row>
    <row r="443" spans="1:11" x14ac:dyDescent="0.25">
      <c r="A443" t="s">
        <v>145</v>
      </c>
      <c r="B443" t="s">
        <v>206</v>
      </c>
      <c r="C443" t="s">
        <v>265</v>
      </c>
      <c r="D443" t="s">
        <v>192</v>
      </c>
      <c r="E443">
        <v>1336.1800093289301</v>
      </c>
      <c r="F443">
        <v>6.6933838333333343E-2</v>
      </c>
      <c r="G443">
        <v>89.435656728654436</v>
      </c>
      <c r="H443">
        <v>8.9435656728654431E-2</v>
      </c>
      <c r="I443">
        <v>1788.7131345730886</v>
      </c>
      <c r="J443">
        <v>1.7887131345730887</v>
      </c>
      <c r="K443">
        <v>20</v>
      </c>
    </row>
    <row r="444" spans="1:11" x14ac:dyDescent="0.25">
      <c r="A444" t="s">
        <v>145</v>
      </c>
      <c r="B444" t="s">
        <v>207</v>
      </c>
      <c r="C444" t="s">
        <v>265</v>
      </c>
      <c r="D444" t="s">
        <v>192</v>
      </c>
      <c r="E444">
        <v>7126.29338308761</v>
      </c>
      <c r="F444">
        <v>1.7570931499999998E-2</v>
      </c>
      <c r="G444">
        <v>125.21561288313563</v>
      </c>
      <c r="H444">
        <v>0.12521561288313562</v>
      </c>
      <c r="I444">
        <v>2504.3122576627129</v>
      </c>
      <c r="J444">
        <v>2.504312257662713</v>
      </c>
      <c r="K444">
        <v>20</v>
      </c>
    </row>
    <row r="445" spans="1:11" x14ac:dyDescent="0.25">
      <c r="A445" t="s">
        <v>145</v>
      </c>
      <c r="B445" t="s">
        <v>209</v>
      </c>
      <c r="C445" t="s">
        <v>265</v>
      </c>
      <c r="D445" t="s">
        <v>192</v>
      </c>
      <c r="E445">
        <v>4453.9333644297603</v>
      </c>
      <c r="F445">
        <v>3.1724540539999999E-2</v>
      </c>
      <c r="G445">
        <v>141.29898958231053</v>
      </c>
      <c r="H445">
        <v>0.14129898958231052</v>
      </c>
      <c r="I445">
        <v>2825.9797916462103</v>
      </c>
      <c r="J445">
        <v>2.8259797916462102</v>
      </c>
      <c r="K445">
        <v>20</v>
      </c>
    </row>
    <row r="446" spans="1:11" x14ac:dyDescent="0.25">
      <c r="A446" t="s">
        <v>145</v>
      </c>
      <c r="B446" t="s">
        <v>213</v>
      </c>
      <c r="C446" t="s">
        <v>265</v>
      </c>
      <c r="D446" t="s">
        <v>192</v>
      </c>
      <c r="E446">
        <v>1336.1800093289301</v>
      </c>
      <c r="F446">
        <v>4.6289124933333335E-2</v>
      </c>
      <c r="G446">
        <v>61.850603385249343</v>
      </c>
      <c r="H446">
        <v>6.1850603385249343E-2</v>
      </c>
      <c r="I446">
        <v>1237.0120677049867</v>
      </c>
      <c r="J446">
        <v>1.2370120677049867</v>
      </c>
      <c r="K446">
        <v>20</v>
      </c>
    </row>
    <row r="447" spans="1:11" x14ac:dyDescent="0.25">
      <c r="A447" t="s">
        <v>145</v>
      </c>
      <c r="B447" t="s">
        <v>153</v>
      </c>
      <c r="C447" t="s">
        <v>265</v>
      </c>
      <c r="D447" t="s">
        <v>284</v>
      </c>
      <c r="E447">
        <v>209.59686420845901</v>
      </c>
      <c r="F447">
        <v>6.7481623775794572</v>
      </c>
      <c r="G447">
        <v>1414.3936735101533</v>
      </c>
      <c r="H447">
        <v>1.4143936735101534</v>
      </c>
      <c r="I447">
        <v>28287.873470203067</v>
      </c>
      <c r="J447">
        <v>28.287873470203067</v>
      </c>
      <c r="K447">
        <v>20</v>
      </c>
    </row>
    <row r="448" spans="1:11" x14ac:dyDescent="0.25">
      <c r="A448" t="s">
        <v>145</v>
      </c>
      <c r="B448" t="s">
        <v>210</v>
      </c>
      <c r="C448" t="s">
        <v>265</v>
      </c>
      <c r="D448" t="s">
        <v>192</v>
      </c>
      <c r="E448">
        <v>6903.5967148661302</v>
      </c>
      <c r="F448">
        <v>2.7099097499999995E-2</v>
      </c>
      <c r="G448">
        <v>187.08124047683694</v>
      </c>
      <c r="H448">
        <v>0.18708124047683694</v>
      </c>
      <c r="I448">
        <v>3741.6248095367387</v>
      </c>
      <c r="J448">
        <v>3.7416248095367388</v>
      </c>
      <c r="K448">
        <v>20</v>
      </c>
    </row>
    <row r="449" spans="1:11" x14ac:dyDescent="0.25">
      <c r="A449" t="s">
        <v>145</v>
      </c>
      <c r="B449" t="s">
        <v>215</v>
      </c>
      <c r="C449" t="s">
        <v>265</v>
      </c>
      <c r="D449" t="s">
        <v>192</v>
      </c>
      <c r="E449">
        <v>5122.0233690942196</v>
      </c>
      <c r="F449">
        <v>9.5930933082399986E-2</v>
      </c>
      <c r="G449">
        <v>491.36048106706647</v>
      </c>
      <c r="H449">
        <v>0.49136048106706648</v>
      </c>
      <c r="I449">
        <v>9827.2096213413297</v>
      </c>
      <c r="J449">
        <v>9.8272096213413302</v>
      </c>
      <c r="K449">
        <v>20</v>
      </c>
    </row>
    <row r="450" spans="1:11" x14ac:dyDescent="0.25">
      <c r="A450" t="s">
        <v>145</v>
      </c>
      <c r="B450" t="s">
        <v>211</v>
      </c>
      <c r="C450" t="s">
        <v>265</v>
      </c>
      <c r="D450" t="s">
        <v>192</v>
      </c>
      <c r="E450">
        <v>1113.4833411074401</v>
      </c>
      <c r="F450">
        <v>9.1614518257600003E-2</v>
      </c>
      <c r="G450">
        <v>102.01123988342103</v>
      </c>
      <c r="H450">
        <v>0.10201123988342102</v>
      </c>
      <c r="I450">
        <v>2040.2247976684205</v>
      </c>
      <c r="J450">
        <v>2.0402247976684205</v>
      </c>
      <c r="K450">
        <v>20</v>
      </c>
    </row>
    <row r="451" spans="1:11" x14ac:dyDescent="0.25">
      <c r="A451" t="s">
        <v>146</v>
      </c>
      <c r="B451" t="s">
        <v>191</v>
      </c>
      <c r="C451" t="s">
        <v>266</v>
      </c>
      <c r="D451" t="s">
        <v>192</v>
      </c>
      <c r="E451">
        <v>7863.8123490211301</v>
      </c>
      <c r="F451">
        <v>1.3986580000000002E-2</v>
      </c>
      <c r="G451">
        <v>109.98784052457198</v>
      </c>
      <c r="H451">
        <v>0.10998784052457197</v>
      </c>
      <c r="I451">
        <v>2199.7568104914394</v>
      </c>
      <c r="J451">
        <v>2.1997568104914396</v>
      </c>
      <c r="K451">
        <v>20</v>
      </c>
    </row>
    <row r="452" spans="1:11" x14ac:dyDescent="0.25">
      <c r="A452" t="s">
        <v>146</v>
      </c>
      <c r="B452" t="s">
        <v>193</v>
      </c>
      <c r="C452" t="s">
        <v>266</v>
      </c>
      <c r="D452" t="s">
        <v>192</v>
      </c>
      <c r="E452">
        <v>3145.52493960845</v>
      </c>
      <c r="F452">
        <v>1.8492350877649999</v>
      </c>
      <c r="G452">
        <v>5816.8150877638282</v>
      </c>
      <c r="H452">
        <v>5.8168150877638283</v>
      </c>
      <c r="I452">
        <v>116336.30175527657</v>
      </c>
      <c r="J452">
        <v>116.33630175527657</v>
      </c>
      <c r="K452">
        <v>20</v>
      </c>
    </row>
    <row r="453" spans="1:11" x14ac:dyDescent="0.25">
      <c r="A453" t="s">
        <v>146</v>
      </c>
      <c r="B453" t="s">
        <v>172</v>
      </c>
      <c r="C453" t="s">
        <v>266</v>
      </c>
      <c r="D453" t="s">
        <v>281</v>
      </c>
      <c r="E453">
        <v>607.83090620453197</v>
      </c>
      <c r="F453">
        <v>1.0851719682265859</v>
      </c>
      <c r="G453">
        <v>659.60106083492133</v>
      </c>
      <c r="H453">
        <v>0.65960106083492132</v>
      </c>
      <c r="I453">
        <v>13192.021216698427</v>
      </c>
      <c r="J453">
        <v>13.192021216698427</v>
      </c>
      <c r="K453">
        <v>20</v>
      </c>
    </row>
    <row r="454" spans="1:11" x14ac:dyDescent="0.25">
      <c r="A454" t="s">
        <v>146</v>
      </c>
      <c r="B454" t="s">
        <v>157</v>
      </c>
      <c r="C454" t="s">
        <v>266</v>
      </c>
      <c r="D454" t="s">
        <v>282</v>
      </c>
      <c r="E454">
        <v>12.465282256147599</v>
      </c>
      <c r="F454">
        <v>134.28356637678962</v>
      </c>
      <c r="G454">
        <v>1673.882557248814</v>
      </c>
      <c r="H454">
        <v>1.6738825572488141</v>
      </c>
      <c r="I454">
        <v>33477.651144976277</v>
      </c>
      <c r="J454">
        <v>33.477651144976278</v>
      </c>
      <c r="K454">
        <v>20</v>
      </c>
    </row>
    <row r="455" spans="1:11" x14ac:dyDescent="0.25">
      <c r="A455" t="s">
        <v>146</v>
      </c>
      <c r="B455" t="s">
        <v>194</v>
      </c>
      <c r="C455" t="s">
        <v>266</v>
      </c>
      <c r="D455" t="s">
        <v>192</v>
      </c>
      <c r="E455">
        <v>4718.2874094126801</v>
      </c>
      <c r="F455">
        <v>1.2488260000000001E-2</v>
      </c>
      <c r="G455">
        <v>58.923199923471998</v>
      </c>
      <c r="H455">
        <v>5.8923199923471996E-2</v>
      </c>
      <c r="I455">
        <v>1178.46399846944</v>
      </c>
      <c r="J455">
        <v>1.1784639984694401</v>
      </c>
      <c r="K455">
        <v>20</v>
      </c>
    </row>
    <row r="456" spans="1:11" x14ac:dyDescent="0.25">
      <c r="A456" t="s">
        <v>146</v>
      </c>
      <c r="B456" t="s">
        <v>195</v>
      </c>
      <c r="C456" t="s">
        <v>266</v>
      </c>
      <c r="D456" t="s">
        <v>192</v>
      </c>
      <c r="E456">
        <v>71298.565297791603</v>
      </c>
      <c r="F456">
        <v>1.6221207600000002E-2</v>
      </c>
      <c r="G456">
        <v>1156.5488292776336</v>
      </c>
      <c r="H456">
        <v>1.1565488292776336</v>
      </c>
      <c r="I456">
        <v>23130.976585552671</v>
      </c>
      <c r="J456">
        <v>23.13097658555267</v>
      </c>
      <c r="K456">
        <v>20</v>
      </c>
    </row>
    <row r="457" spans="1:11" x14ac:dyDescent="0.25">
      <c r="A457" t="s">
        <v>146</v>
      </c>
      <c r="B457" t="s">
        <v>196</v>
      </c>
      <c r="C457" t="s">
        <v>266</v>
      </c>
      <c r="D457" t="s">
        <v>197</v>
      </c>
      <c r="E457">
        <v>9436.5748188253601</v>
      </c>
      <c r="F457">
        <v>0.15273626363331205</v>
      </c>
      <c r="G457">
        <v>1441.307179323584</v>
      </c>
      <c r="H457">
        <v>1.4413071793235841</v>
      </c>
      <c r="I457">
        <v>28826.14358647168</v>
      </c>
      <c r="J457">
        <v>28.82614358647168</v>
      </c>
      <c r="K457">
        <v>20</v>
      </c>
    </row>
    <row r="458" spans="1:11" x14ac:dyDescent="0.25">
      <c r="A458" t="s">
        <v>146</v>
      </c>
      <c r="B458" t="s">
        <v>173</v>
      </c>
      <c r="C458" t="s">
        <v>266</v>
      </c>
      <c r="D458" t="s">
        <v>285</v>
      </c>
      <c r="E458">
        <v>1322.0322209948599</v>
      </c>
      <c r="F458">
        <v>0.44132942955593907</v>
      </c>
      <c r="G458">
        <v>583.45172594623273</v>
      </c>
      <c r="H458">
        <v>0.58345172594623274</v>
      </c>
      <c r="I458">
        <v>11669.034518924655</v>
      </c>
      <c r="J458">
        <v>11.669034518924654</v>
      </c>
      <c r="K458">
        <v>20</v>
      </c>
    </row>
    <row r="459" spans="1:11" x14ac:dyDescent="0.25">
      <c r="A459" t="s">
        <v>146</v>
      </c>
      <c r="B459" t="s">
        <v>170</v>
      </c>
      <c r="C459" t="s">
        <v>266</v>
      </c>
      <c r="D459" t="s">
        <v>283</v>
      </c>
      <c r="E459">
        <v>182.34927186135999</v>
      </c>
      <c r="F459">
        <v>5.4586001809720273</v>
      </c>
      <c r="G459">
        <v>995.37176838253708</v>
      </c>
      <c r="H459">
        <v>0.99537176838253705</v>
      </c>
      <c r="I459">
        <v>19907.435367650742</v>
      </c>
      <c r="J459">
        <v>19.907435367650741</v>
      </c>
      <c r="K459">
        <v>20</v>
      </c>
    </row>
    <row r="460" spans="1:11" x14ac:dyDescent="0.25">
      <c r="A460" t="s">
        <v>146</v>
      </c>
      <c r="B460" t="s">
        <v>167</v>
      </c>
      <c r="C460" t="s">
        <v>266</v>
      </c>
      <c r="D460" t="s">
        <v>284</v>
      </c>
      <c r="E460">
        <v>2963.1756677470898</v>
      </c>
      <c r="F460">
        <v>1.3546579544999582</v>
      </c>
      <c r="G460">
        <v>4014.0894888943203</v>
      </c>
      <c r="H460">
        <v>4.0140894888943199</v>
      </c>
      <c r="I460">
        <v>80281.789777886414</v>
      </c>
      <c r="J460">
        <v>80.281789777886416</v>
      </c>
      <c r="K460">
        <v>20</v>
      </c>
    </row>
    <row r="461" spans="1:11" x14ac:dyDescent="0.25">
      <c r="A461" t="s">
        <v>146</v>
      </c>
      <c r="B461" t="s">
        <v>166</v>
      </c>
      <c r="C461" t="s">
        <v>266</v>
      </c>
      <c r="D461" t="s">
        <v>285</v>
      </c>
      <c r="E461">
        <v>334.30699841249299</v>
      </c>
      <c r="F461">
        <v>4.5916660269167622</v>
      </c>
      <c r="G461">
        <v>1535.02608717116</v>
      </c>
      <c r="H461">
        <v>1.5350260871711601</v>
      </c>
      <c r="I461">
        <v>30700.5217434232</v>
      </c>
      <c r="J461">
        <v>30.700521743423199</v>
      </c>
      <c r="K461">
        <v>20</v>
      </c>
    </row>
    <row r="462" spans="1:11" x14ac:dyDescent="0.25">
      <c r="A462" t="s">
        <v>146</v>
      </c>
      <c r="B462" t="s">
        <v>198</v>
      </c>
      <c r="C462" t="s">
        <v>266</v>
      </c>
      <c r="D462" t="s">
        <v>290</v>
      </c>
      <c r="E462">
        <v>42988.840841315498</v>
      </c>
      <c r="F462">
        <v>0.22344748189347374</v>
      </c>
      <c r="G462">
        <v>9605.7482355112697</v>
      </c>
      <c r="H462">
        <v>9.6057482355112693</v>
      </c>
      <c r="I462">
        <v>192114.96471022541</v>
      </c>
      <c r="J462">
        <v>192.11496471022542</v>
      </c>
      <c r="K462">
        <v>20</v>
      </c>
    </row>
    <row r="463" spans="1:11" x14ac:dyDescent="0.25">
      <c r="A463" t="s">
        <v>146</v>
      </c>
      <c r="B463" t="s">
        <v>175</v>
      </c>
      <c r="C463" t="s">
        <v>266</v>
      </c>
      <c r="D463" t="s">
        <v>284</v>
      </c>
      <c r="E463">
        <v>258.32813513692599</v>
      </c>
      <c r="F463">
        <v>2.7837974925809057</v>
      </c>
      <c r="G463">
        <v>719.1332148572759</v>
      </c>
      <c r="H463">
        <v>0.71913321485727588</v>
      </c>
      <c r="I463">
        <v>14382.664297145519</v>
      </c>
      <c r="J463">
        <v>14.382664297145519</v>
      </c>
      <c r="K463">
        <v>20</v>
      </c>
    </row>
    <row r="464" spans="1:11" x14ac:dyDescent="0.25">
      <c r="A464" t="s">
        <v>146</v>
      </c>
      <c r="B464" t="s">
        <v>160</v>
      </c>
      <c r="C464" t="s">
        <v>266</v>
      </c>
      <c r="D464" t="s">
        <v>284</v>
      </c>
      <c r="E464">
        <v>26.049895980194201</v>
      </c>
      <c r="F464">
        <v>14.618168760830827</v>
      </c>
      <c r="G464">
        <v>380.80177564056737</v>
      </c>
      <c r="H464">
        <v>0.38080177564056739</v>
      </c>
      <c r="I464">
        <v>7616.0355128113479</v>
      </c>
      <c r="J464">
        <v>7.6160355128113482</v>
      </c>
      <c r="K464">
        <v>20</v>
      </c>
    </row>
    <row r="465" spans="1:11" x14ac:dyDescent="0.25">
      <c r="A465" t="s">
        <v>146</v>
      </c>
      <c r="B465" t="s">
        <v>200</v>
      </c>
      <c r="C465" t="s">
        <v>266</v>
      </c>
      <c r="D465" t="s">
        <v>192</v>
      </c>
      <c r="E465">
        <v>5242.5415660140898</v>
      </c>
      <c r="F465">
        <v>2.2153041999999998E-2</v>
      </c>
      <c r="G465">
        <v>116.1382434986559</v>
      </c>
      <c r="H465">
        <v>0.1161382434986559</v>
      </c>
      <c r="I465">
        <v>2322.764869973118</v>
      </c>
      <c r="J465">
        <v>2.3227648699731178</v>
      </c>
      <c r="K465">
        <v>20</v>
      </c>
    </row>
    <row r="466" spans="1:11" x14ac:dyDescent="0.25">
      <c r="A466" t="s">
        <v>146</v>
      </c>
      <c r="B466" t="s">
        <v>201</v>
      </c>
      <c r="C466" t="s">
        <v>266</v>
      </c>
      <c r="D466" t="s">
        <v>192</v>
      </c>
      <c r="E466">
        <v>4194.0332528112704</v>
      </c>
      <c r="F466">
        <v>6.3636202743749988E-3</v>
      </c>
      <c r="G466">
        <v>26.689235038992724</v>
      </c>
      <c r="H466">
        <v>2.6689235038992724E-2</v>
      </c>
      <c r="I466">
        <v>533.78470077985446</v>
      </c>
      <c r="J466">
        <v>0.53378470077985452</v>
      </c>
      <c r="K466">
        <v>20</v>
      </c>
    </row>
    <row r="467" spans="1:11" x14ac:dyDescent="0.25">
      <c r="A467" t="s">
        <v>146</v>
      </c>
      <c r="B467" t="s">
        <v>202</v>
      </c>
      <c r="C467" t="s">
        <v>266</v>
      </c>
      <c r="D467" t="s">
        <v>192</v>
      </c>
      <c r="E467">
        <v>22542.928733860601</v>
      </c>
      <c r="F467">
        <v>1.8357885000000005E-3</v>
      </c>
      <c r="G467">
        <v>41.384049325940865</v>
      </c>
      <c r="H467">
        <v>4.1384049325940864E-2</v>
      </c>
      <c r="I467">
        <v>827.68098651881724</v>
      </c>
      <c r="J467">
        <v>0.82768098651881727</v>
      </c>
      <c r="K467">
        <v>20</v>
      </c>
    </row>
    <row r="468" spans="1:11" x14ac:dyDescent="0.25">
      <c r="A468" t="s">
        <v>146</v>
      </c>
      <c r="B468" t="s">
        <v>203</v>
      </c>
      <c r="C468" t="s">
        <v>266</v>
      </c>
      <c r="D468" t="s">
        <v>192</v>
      </c>
      <c r="E468">
        <v>524.25415660140902</v>
      </c>
      <c r="F468">
        <v>3.203226E-3</v>
      </c>
      <c r="G468">
        <v>1.679304545033705</v>
      </c>
      <c r="H468">
        <v>1.679304545033705E-3</v>
      </c>
      <c r="I468">
        <v>33.586090900674101</v>
      </c>
      <c r="J468">
        <v>3.3586090900674104E-2</v>
      </c>
      <c r="K468">
        <v>20</v>
      </c>
    </row>
    <row r="469" spans="1:11" x14ac:dyDescent="0.25">
      <c r="A469" t="s">
        <v>146</v>
      </c>
      <c r="B469" t="s">
        <v>204</v>
      </c>
      <c r="C469" t="s">
        <v>266</v>
      </c>
      <c r="D469" t="s">
        <v>192</v>
      </c>
      <c r="E469">
        <v>19397.403794252099</v>
      </c>
      <c r="F469">
        <v>4.1123685999999993E-3</v>
      </c>
      <c r="G469">
        <v>79.769274285003178</v>
      </c>
      <c r="H469">
        <v>7.9769274285003175E-2</v>
      </c>
      <c r="I469">
        <v>1595.3854857000636</v>
      </c>
      <c r="J469">
        <v>1.5953854857000636</v>
      </c>
      <c r="K469">
        <v>20</v>
      </c>
    </row>
    <row r="470" spans="1:11" x14ac:dyDescent="0.25">
      <c r="A470" t="s">
        <v>146</v>
      </c>
      <c r="B470" t="s">
        <v>205</v>
      </c>
      <c r="C470" t="s">
        <v>266</v>
      </c>
      <c r="D470" t="s">
        <v>192</v>
      </c>
      <c r="E470">
        <v>8388.0665056225407</v>
      </c>
      <c r="F470">
        <v>2.017703875E-3</v>
      </c>
      <c r="G470">
        <v>16.924634292152309</v>
      </c>
      <c r="H470">
        <v>1.692463429215231E-2</v>
      </c>
      <c r="I470">
        <v>338.49268584304616</v>
      </c>
      <c r="J470">
        <v>0.33849268584304615</v>
      </c>
      <c r="K470">
        <v>20</v>
      </c>
    </row>
    <row r="471" spans="1:11" x14ac:dyDescent="0.25">
      <c r="A471" t="s">
        <v>146</v>
      </c>
      <c r="B471" t="s">
        <v>161</v>
      </c>
      <c r="C471" t="s">
        <v>266</v>
      </c>
      <c r="D471" t="s">
        <v>284</v>
      </c>
      <c r="E471">
        <v>1367.6195389602001</v>
      </c>
      <c r="F471">
        <v>4.1634956648745689</v>
      </c>
      <c r="G471">
        <v>5694.0780216585499</v>
      </c>
      <c r="H471">
        <v>5.6940780216585498</v>
      </c>
      <c r="I471">
        <v>113881.56043317099</v>
      </c>
      <c r="J471">
        <v>113.88156043317099</v>
      </c>
      <c r="K471">
        <v>20</v>
      </c>
    </row>
    <row r="472" spans="1:11" x14ac:dyDescent="0.25">
      <c r="A472" t="s">
        <v>146</v>
      </c>
      <c r="B472" t="s">
        <v>165</v>
      </c>
      <c r="C472" t="s">
        <v>266</v>
      </c>
      <c r="D472" t="s">
        <v>282</v>
      </c>
      <c r="E472">
        <v>1002.92099523748</v>
      </c>
      <c r="F472">
        <v>9.1239449017993728</v>
      </c>
      <c r="G472">
        <v>9150.5959014045584</v>
      </c>
      <c r="H472">
        <v>9.150595901404559</v>
      </c>
      <c r="I472">
        <v>183011.91802809117</v>
      </c>
      <c r="J472">
        <v>183.01191802809117</v>
      </c>
      <c r="K472">
        <v>20</v>
      </c>
    </row>
    <row r="473" spans="1:11" x14ac:dyDescent="0.25">
      <c r="A473" t="s">
        <v>146</v>
      </c>
      <c r="B473" t="s">
        <v>176</v>
      </c>
      <c r="C473" t="s">
        <v>266</v>
      </c>
      <c r="D473" t="s">
        <v>285</v>
      </c>
      <c r="E473">
        <v>15.1957726551133</v>
      </c>
      <c r="F473">
        <v>0.38031911643132399</v>
      </c>
      <c r="G473">
        <v>5.7792428296839642</v>
      </c>
      <c r="H473">
        <v>5.7792428296839643E-3</v>
      </c>
      <c r="I473">
        <v>115.58485659367929</v>
      </c>
      <c r="J473">
        <v>0.11558485659367929</v>
      </c>
      <c r="K473">
        <v>20</v>
      </c>
    </row>
    <row r="474" spans="1:11" x14ac:dyDescent="0.25">
      <c r="A474" t="s">
        <v>146</v>
      </c>
      <c r="B474" t="s">
        <v>212</v>
      </c>
      <c r="C474" t="s">
        <v>266</v>
      </c>
      <c r="D474" t="s">
        <v>192</v>
      </c>
      <c r="E474">
        <v>1048.5083132028201</v>
      </c>
      <c r="F474">
        <v>5.1860210000000004E-2</v>
      </c>
      <c r="G474">
        <v>54.375861309444026</v>
      </c>
      <c r="H474">
        <v>5.4375861309444024E-2</v>
      </c>
      <c r="I474">
        <v>1087.5172261888806</v>
      </c>
      <c r="J474">
        <v>1.0875172261888806</v>
      </c>
      <c r="K474">
        <v>20</v>
      </c>
    </row>
    <row r="475" spans="1:11" x14ac:dyDescent="0.25">
      <c r="A475" t="s">
        <v>146</v>
      </c>
      <c r="B475" t="s">
        <v>207</v>
      </c>
      <c r="C475" t="s">
        <v>266</v>
      </c>
      <c r="D475" t="s">
        <v>192</v>
      </c>
      <c r="E475">
        <v>11009.3372886296</v>
      </c>
      <c r="F475">
        <v>2.3693007000000006E-2</v>
      </c>
      <c r="G475">
        <v>260.84430544486219</v>
      </c>
      <c r="H475">
        <v>0.2608443054448622</v>
      </c>
      <c r="I475">
        <v>5216.8861088972435</v>
      </c>
      <c r="J475">
        <v>5.2168861088972438</v>
      </c>
      <c r="K475">
        <v>20</v>
      </c>
    </row>
    <row r="476" spans="1:11" x14ac:dyDescent="0.25">
      <c r="A476" t="s">
        <v>146</v>
      </c>
      <c r="B476" t="s">
        <v>208</v>
      </c>
      <c r="C476" t="s">
        <v>266</v>
      </c>
      <c r="D476" t="s">
        <v>192</v>
      </c>
      <c r="E476">
        <v>16251.878854643701</v>
      </c>
      <c r="F476">
        <v>2.9873428199999996E-2</v>
      </c>
      <c r="G476">
        <v>485.49933607929677</v>
      </c>
      <c r="H476">
        <v>0.48549933607929679</v>
      </c>
      <c r="I476">
        <v>9709.9867215859358</v>
      </c>
      <c r="J476">
        <v>9.7099867215859366</v>
      </c>
      <c r="K476">
        <v>20</v>
      </c>
    </row>
    <row r="477" spans="1:11" x14ac:dyDescent="0.25">
      <c r="A477" t="s">
        <v>146</v>
      </c>
      <c r="B477" t="s">
        <v>209</v>
      </c>
      <c r="C477" t="s">
        <v>266</v>
      </c>
      <c r="D477" t="s">
        <v>192</v>
      </c>
      <c r="E477">
        <v>20970.166264056399</v>
      </c>
      <c r="F477">
        <v>3.4026771240000003E-2</v>
      </c>
      <c r="G477">
        <v>713.54705033181256</v>
      </c>
      <c r="H477">
        <v>0.71354705033181254</v>
      </c>
      <c r="I477">
        <v>14270.941006636251</v>
      </c>
      <c r="J477">
        <v>14.270941006636251</v>
      </c>
      <c r="K477">
        <v>20</v>
      </c>
    </row>
    <row r="478" spans="1:11" x14ac:dyDescent="0.25">
      <c r="A478" t="s">
        <v>146</v>
      </c>
      <c r="B478" t="s">
        <v>153</v>
      </c>
      <c r="C478" t="s">
        <v>266</v>
      </c>
      <c r="D478" t="s">
        <v>284</v>
      </c>
      <c r="E478">
        <v>197.54504451647301</v>
      </c>
      <c r="F478">
        <v>6.5680988584684616</v>
      </c>
      <c r="G478">
        <v>1297.4953813847478</v>
      </c>
      <c r="H478">
        <v>1.2974953813847478</v>
      </c>
      <c r="I478">
        <v>25949.907627694956</v>
      </c>
      <c r="J478">
        <v>25.949907627694955</v>
      </c>
      <c r="K478">
        <v>20</v>
      </c>
    </row>
    <row r="479" spans="1:11" x14ac:dyDescent="0.25">
      <c r="A479" t="s">
        <v>146</v>
      </c>
      <c r="B479" t="s">
        <v>210</v>
      </c>
      <c r="C479" t="s">
        <v>266</v>
      </c>
      <c r="D479" t="s">
        <v>192</v>
      </c>
      <c r="E479">
        <v>2621.2707830070399</v>
      </c>
      <c r="F479">
        <v>3.6161214000000004E-2</v>
      </c>
      <c r="G479">
        <v>94.788333736265145</v>
      </c>
      <c r="H479">
        <v>9.4788333736265148E-2</v>
      </c>
      <c r="I479">
        <v>1895.7666747253029</v>
      </c>
      <c r="J479">
        <v>1.8957666747253028</v>
      </c>
      <c r="K479">
        <v>20</v>
      </c>
    </row>
    <row r="480" spans="1:11" x14ac:dyDescent="0.25">
      <c r="A480" t="s">
        <v>146</v>
      </c>
      <c r="B480" t="s">
        <v>215</v>
      </c>
      <c r="C480" t="s">
        <v>266</v>
      </c>
      <c r="D480" t="s">
        <v>192</v>
      </c>
      <c r="E480">
        <v>2097.0166264056402</v>
      </c>
      <c r="F480">
        <v>0.101049560274</v>
      </c>
      <c r="G480">
        <v>211.90260798555687</v>
      </c>
      <c r="H480">
        <v>0.21190260798555688</v>
      </c>
      <c r="I480">
        <v>4238.0521597111374</v>
      </c>
      <c r="J480">
        <v>4.2380521597111374</v>
      </c>
      <c r="K480">
        <v>20</v>
      </c>
    </row>
    <row r="481" spans="1:11" x14ac:dyDescent="0.25">
      <c r="A481" t="s">
        <v>146</v>
      </c>
      <c r="B481" t="s">
        <v>211</v>
      </c>
      <c r="C481" t="s">
        <v>266</v>
      </c>
      <c r="D481" t="s">
        <v>192</v>
      </c>
      <c r="E481">
        <v>7863.8123490211301</v>
      </c>
      <c r="F481">
        <v>7.8692989213664993E-2</v>
      </c>
      <c r="G481">
        <v>618.82690035980534</v>
      </c>
      <c r="H481">
        <v>0.61882690035980537</v>
      </c>
      <c r="I481">
        <v>12376.538007196106</v>
      </c>
      <c r="J481">
        <v>12.376538007196107</v>
      </c>
      <c r="K481">
        <v>20</v>
      </c>
    </row>
    <row r="482" spans="1:11" x14ac:dyDescent="0.25">
      <c r="A482" t="s">
        <v>146</v>
      </c>
      <c r="B482" t="s">
        <v>182</v>
      </c>
      <c r="C482" t="s">
        <v>266</v>
      </c>
      <c r="D482" t="s">
        <v>285</v>
      </c>
      <c r="E482">
        <v>30.391545310226601</v>
      </c>
      <c r="F482">
        <v>0.19346229890598499</v>
      </c>
      <c r="G482">
        <v>5.8796182230218452</v>
      </c>
      <c r="H482">
        <v>5.8796182230218454E-3</v>
      </c>
      <c r="I482">
        <v>117.5923644604369</v>
      </c>
      <c r="J482">
        <v>0.1175923644604369</v>
      </c>
      <c r="K482">
        <v>20</v>
      </c>
    </row>
    <row r="483" spans="1:11" x14ac:dyDescent="0.25">
      <c r="A483" t="s">
        <v>148</v>
      </c>
      <c r="B483" t="s">
        <v>191</v>
      </c>
      <c r="C483" t="s">
        <v>267</v>
      </c>
      <c r="D483" t="s">
        <v>192</v>
      </c>
      <c r="E483">
        <v>4131.3506906089297</v>
      </c>
      <c r="F483">
        <v>1.6682482285714284E-2</v>
      </c>
      <c r="G483">
        <v>68.921184712156943</v>
      </c>
      <c r="H483">
        <v>6.8921184712156941E-2</v>
      </c>
      <c r="I483">
        <v>1378.4236942431389</v>
      </c>
      <c r="J483">
        <v>1.3784236942431389</v>
      </c>
      <c r="K483">
        <v>20</v>
      </c>
    </row>
    <row r="484" spans="1:11" x14ac:dyDescent="0.25">
      <c r="A484" t="s">
        <v>148</v>
      </c>
      <c r="B484" t="s">
        <v>193</v>
      </c>
      <c r="C484" t="s">
        <v>267</v>
      </c>
      <c r="D484" t="s">
        <v>192</v>
      </c>
      <c r="E484">
        <v>590.19295580127505</v>
      </c>
      <c r="F484">
        <v>2.53223473152</v>
      </c>
      <c r="G484">
        <v>1494.5071009784369</v>
      </c>
      <c r="H484">
        <v>1.494507100978437</v>
      </c>
      <c r="I484">
        <v>29890.142019568739</v>
      </c>
      <c r="J484">
        <v>29.890142019568739</v>
      </c>
      <c r="K484">
        <v>20</v>
      </c>
    </row>
    <row r="485" spans="1:11" x14ac:dyDescent="0.25">
      <c r="A485" t="s">
        <v>148</v>
      </c>
      <c r="B485" t="s">
        <v>172</v>
      </c>
      <c r="C485" t="s">
        <v>267</v>
      </c>
      <c r="D485" t="s">
        <v>281</v>
      </c>
      <c r="E485">
        <v>14327.442789106801</v>
      </c>
      <c r="F485">
        <v>1.6989732785975815</v>
      </c>
      <c r="G485">
        <v>24341.94244932806</v>
      </c>
      <c r="H485">
        <v>24.341942449328059</v>
      </c>
      <c r="I485">
        <v>486838.84898656118</v>
      </c>
      <c r="J485">
        <v>486.83884898656117</v>
      </c>
      <c r="K485">
        <v>20</v>
      </c>
    </row>
    <row r="486" spans="1:11" x14ac:dyDescent="0.25">
      <c r="A486" t="s">
        <v>148</v>
      </c>
      <c r="B486" t="s">
        <v>157</v>
      </c>
      <c r="C486" t="s">
        <v>267</v>
      </c>
      <c r="D486" t="s">
        <v>282</v>
      </c>
      <c r="E486">
        <v>0.31799189428947999</v>
      </c>
      <c r="F486">
        <v>44.138847778588001</v>
      </c>
      <c r="G486">
        <v>14.035795816868205</v>
      </c>
      <c r="H486">
        <v>1.4035795816868205E-2</v>
      </c>
      <c r="I486">
        <v>280.71591633736409</v>
      </c>
      <c r="J486">
        <v>0.28071591633736409</v>
      </c>
      <c r="K486">
        <v>20</v>
      </c>
    </row>
    <row r="487" spans="1:11" x14ac:dyDescent="0.25">
      <c r="A487" t="s">
        <v>148</v>
      </c>
      <c r="B487" t="s">
        <v>171</v>
      </c>
      <c r="C487" t="s">
        <v>267</v>
      </c>
      <c r="D487" t="s">
        <v>282</v>
      </c>
      <c r="E487">
        <v>107.481260269844</v>
      </c>
      <c r="F487">
        <v>2.6757106879715407</v>
      </c>
      <c r="G487">
        <v>287.5887568606725</v>
      </c>
      <c r="H487">
        <v>0.28758875686067248</v>
      </c>
      <c r="I487">
        <v>5751.7751372134499</v>
      </c>
      <c r="J487">
        <v>5.7517751372134498</v>
      </c>
      <c r="K487">
        <v>20</v>
      </c>
    </row>
    <row r="488" spans="1:11" x14ac:dyDescent="0.25">
      <c r="A488" t="s">
        <v>148</v>
      </c>
      <c r="B488" t="s">
        <v>183</v>
      </c>
      <c r="C488" t="s">
        <v>267</v>
      </c>
      <c r="D488" t="s">
        <v>281</v>
      </c>
      <c r="E488">
        <v>54.2706166254046</v>
      </c>
      <c r="F488">
        <v>0.865754241582811</v>
      </c>
      <c r="G488">
        <v>46.98501653675865</v>
      </c>
      <c r="H488">
        <v>4.6985016536758649E-2</v>
      </c>
      <c r="I488">
        <v>939.700330735173</v>
      </c>
      <c r="J488">
        <v>0.93970033073517301</v>
      </c>
      <c r="K488">
        <v>20</v>
      </c>
    </row>
    <row r="489" spans="1:11" x14ac:dyDescent="0.25">
      <c r="A489" t="s">
        <v>148</v>
      </c>
      <c r="B489" t="s">
        <v>194</v>
      </c>
      <c r="C489" t="s">
        <v>267</v>
      </c>
      <c r="D489" t="s">
        <v>192</v>
      </c>
      <c r="E489">
        <v>2360.7718232051002</v>
      </c>
      <c r="F489">
        <v>7.0125750000000001E-3</v>
      </c>
      <c r="G489">
        <v>16.555089468112506</v>
      </c>
      <c r="H489">
        <v>1.6555089468112506E-2</v>
      </c>
      <c r="I489">
        <v>331.10178936225009</v>
      </c>
      <c r="J489">
        <v>0.3311017893622501</v>
      </c>
      <c r="K489">
        <v>20</v>
      </c>
    </row>
    <row r="490" spans="1:11" x14ac:dyDescent="0.25">
      <c r="A490" t="s">
        <v>148</v>
      </c>
      <c r="B490" t="s">
        <v>195</v>
      </c>
      <c r="C490" t="s">
        <v>267</v>
      </c>
      <c r="D490" t="s">
        <v>192</v>
      </c>
      <c r="E490">
        <v>14754.823895031899</v>
      </c>
      <c r="F490">
        <v>1.4670451899999996E-2</v>
      </c>
      <c r="G490">
        <v>216.45993424503607</v>
      </c>
      <c r="H490">
        <v>0.21645993424503607</v>
      </c>
      <c r="I490">
        <v>4329.1986849007217</v>
      </c>
      <c r="J490">
        <v>4.3291986849007218</v>
      </c>
      <c r="K490">
        <v>20</v>
      </c>
    </row>
    <row r="491" spans="1:11" x14ac:dyDescent="0.25">
      <c r="A491" t="s">
        <v>148</v>
      </c>
      <c r="B491" t="s">
        <v>196</v>
      </c>
      <c r="C491" t="s">
        <v>267</v>
      </c>
      <c r="D491" t="s">
        <v>197</v>
      </c>
      <c r="E491">
        <v>70823.154696152997</v>
      </c>
      <c r="F491">
        <v>8.760195880778282E-2</v>
      </c>
      <c r="G491">
        <v>6204.2470803296255</v>
      </c>
      <c r="H491">
        <v>6.2042470803296252</v>
      </c>
      <c r="I491">
        <v>124084.9416065925</v>
      </c>
      <c r="J491">
        <v>124.08494160659251</v>
      </c>
      <c r="K491">
        <v>20</v>
      </c>
    </row>
    <row r="492" spans="1:11" x14ac:dyDescent="0.25">
      <c r="A492" t="s">
        <v>148</v>
      </c>
      <c r="B492" t="s">
        <v>173</v>
      </c>
      <c r="C492" t="s">
        <v>267</v>
      </c>
      <c r="D492" t="s">
        <v>285</v>
      </c>
      <c r="E492">
        <v>19211.798285393201</v>
      </c>
      <c r="F492">
        <v>0.73347340781222548</v>
      </c>
      <c r="G492">
        <v>14091.343158588421</v>
      </c>
      <c r="H492">
        <v>14.091343158588421</v>
      </c>
      <c r="I492">
        <v>281826.86317176843</v>
      </c>
      <c r="J492">
        <v>281.82686317176842</v>
      </c>
      <c r="K492">
        <v>20</v>
      </c>
    </row>
    <row r="493" spans="1:11" x14ac:dyDescent="0.25">
      <c r="A493" t="s">
        <v>148</v>
      </c>
      <c r="B493" t="s">
        <v>170</v>
      </c>
      <c r="C493" t="s">
        <v>267</v>
      </c>
      <c r="D493" t="s">
        <v>283</v>
      </c>
      <c r="E493">
        <v>3256.23699752428</v>
      </c>
      <c r="F493">
        <v>2.2982204245754869</v>
      </c>
      <c r="G493">
        <v>7483.5503749686595</v>
      </c>
      <c r="H493">
        <v>7.4835503749686598</v>
      </c>
      <c r="I493">
        <v>149671.0074993732</v>
      </c>
      <c r="J493">
        <v>149.67100749937319</v>
      </c>
      <c r="K493">
        <v>20</v>
      </c>
    </row>
    <row r="494" spans="1:11" x14ac:dyDescent="0.25">
      <c r="A494" t="s">
        <v>148</v>
      </c>
      <c r="B494" t="s">
        <v>179</v>
      </c>
      <c r="C494" t="s">
        <v>267</v>
      </c>
      <c r="D494" t="s">
        <v>283</v>
      </c>
      <c r="E494">
        <v>3256.23699752428</v>
      </c>
      <c r="F494">
        <v>2.5215812312365649</v>
      </c>
      <c r="G494">
        <v>8210.8660974153299</v>
      </c>
      <c r="H494">
        <v>8.2108660974153302</v>
      </c>
      <c r="I494">
        <v>164217.32194830661</v>
      </c>
      <c r="J494">
        <v>164.21732194830662</v>
      </c>
      <c r="K494">
        <v>20</v>
      </c>
    </row>
    <row r="495" spans="1:11" x14ac:dyDescent="0.25">
      <c r="A495" t="s">
        <v>148</v>
      </c>
      <c r="B495" t="s">
        <v>167</v>
      </c>
      <c r="C495" t="s">
        <v>267</v>
      </c>
      <c r="D495" t="s">
        <v>284</v>
      </c>
      <c r="E495">
        <v>2008.0128151399699</v>
      </c>
      <c r="F495">
        <v>2.0909278485508471</v>
      </c>
      <c r="G495">
        <v>4198.609915423147</v>
      </c>
      <c r="H495">
        <v>4.1986099154231473</v>
      </c>
      <c r="I495">
        <v>83972.198308462946</v>
      </c>
      <c r="J495">
        <v>83.97219830846295</v>
      </c>
      <c r="K495">
        <v>20</v>
      </c>
    </row>
    <row r="496" spans="1:11" x14ac:dyDescent="0.25">
      <c r="A496" t="s">
        <v>148</v>
      </c>
      <c r="B496" t="s">
        <v>166</v>
      </c>
      <c r="C496" t="s">
        <v>267</v>
      </c>
      <c r="D496" t="s">
        <v>285</v>
      </c>
      <c r="E496">
        <v>4721.5436464102004</v>
      </c>
      <c r="F496">
        <v>2.9869060251336603</v>
      </c>
      <c r="G496">
        <v>14102.807165394181</v>
      </c>
      <c r="H496">
        <v>14.10280716539418</v>
      </c>
      <c r="I496">
        <v>282056.14330788364</v>
      </c>
      <c r="J496">
        <v>282.05614330788364</v>
      </c>
      <c r="K496">
        <v>20</v>
      </c>
    </row>
    <row r="497" spans="1:11" x14ac:dyDescent="0.25">
      <c r="A497" t="s">
        <v>148</v>
      </c>
      <c r="B497" t="s">
        <v>198</v>
      </c>
      <c r="C497" t="s">
        <v>267</v>
      </c>
      <c r="D497" t="s">
        <v>290</v>
      </c>
      <c r="E497">
        <v>72593.733563556903</v>
      </c>
      <c r="F497">
        <v>0.16062870523494416</v>
      </c>
      <c r="G497">
        <v>11660.637430484654</v>
      </c>
      <c r="H497">
        <v>11.660637430484654</v>
      </c>
      <c r="I497">
        <v>233212.74860969308</v>
      </c>
      <c r="J497">
        <v>233.21274860969308</v>
      </c>
      <c r="K497">
        <v>20</v>
      </c>
    </row>
    <row r="498" spans="1:11" x14ac:dyDescent="0.25">
      <c r="A498" t="s">
        <v>148</v>
      </c>
      <c r="B498" t="s">
        <v>200</v>
      </c>
      <c r="C498" t="s">
        <v>267</v>
      </c>
      <c r="D498" t="s">
        <v>192</v>
      </c>
      <c r="E498">
        <v>590.19295580127505</v>
      </c>
      <c r="F498">
        <v>2.1854539999999999E-2</v>
      </c>
      <c r="G498">
        <v>12.898395560277196</v>
      </c>
      <c r="H498">
        <v>1.2898395560277196E-2</v>
      </c>
      <c r="I498">
        <v>257.96791120554394</v>
      </c>
      <c r="J498">
        <v>0.25796791120554396</v>
      </c>
      <c r="K498">
        <v>20</v>
      </c>
    </row>
    <row r="499" spans="1:11" x14ac:dyDescent="0.25">
      <c r="A499" t="s">
        <v>148</v>
      </c>
      <c r="B499" t="s">
        <v>163</v>
      </c>
      <c r="C499" t="s">
        <v>267</v>
      </c>
      <c r="D499" t="s">
        <v>281</v>
      </c>
      <c r="E499">
        <v>3256.23699752428</v>
      </c>
      <c r="F499">
        <v>1.2295119145157867</v>
      </c>
      <c r="G499">
        <v>4003.5821849432145</v>
      </c>
      <c r="H499">
        <v>4.0035821849432143</v>
      </c>
      <c r="I499">
        <v>80071.643698864296</v>
      </c>
      <c r="J499">
        <v>80.071643698864293</v>
      </c>
      <c r="K499">
        <v>20</v>
      </c>
    </row>
    <row r="500" spans="1:11" x14ac:dyDescent="0.25">
      <c r="A500" t="s">
        <v>148</v>
      </c>
      <c r="B500" t="s">
        <v>201</v>
      </c>
      <c r="C500" t="s">
        <v>267</v>
      </c>
      <c r="D500" t="s">
        <v>192</v>
      </c>
      <c r="E500">
        <v>15935.209806634401</v>
      </c>
      <c r="F500">
        <v>8.8343459872499992E-3</v>
      </c>
      <c r="G500">
        <v>140.77715681122746</v>
      </c>
      <c r="H500">
        <v>0.14077715681122746</v>
      </c>
      <c r="I500">
        <v>2815.543136224549</v>
      </c>
      <c r="J500">
        <v>2.8155431362245489</v>
      </c>
      <c r="K500">
        <v>20</v>
      </c>
    </row>
    <row r="501" spans="1:11" x14ac:dyDescent="0.25">
      <c r="A501" t="s">
        <v>148</v>
      </c>
      <c r="B501" t="s">
        <v>202</v>
      </c>
      <c r="C501" t="s">
        <v>267</v>
      </c>
      <c r="D501" t="s">
        <v>192</v>
      </c>
      <c r="E501">
        <v>61380.067403332599</v>
      </c>
      <c r="F501">
        <v>1.6652588999999998E-3</v>
      </c>
      <c r="G501">
        <v>102.21370352599949</v>
      </c>
      <c r="H501">
        <v>0.1022137035259995</v>
      </c>
      <c r="I501">
        <v>2044.2740705199899</v>
      </c>
      <c r="J501">
        <v>2.04427407051999</v>
      </c>
      <c r="K501">
        <v>20</v>
      </c>
    </row>
    <row r="502" spans="1:11" x14ac:dyDescent="0.25">
      <c r="A502" t="s">
        <v>148</v>
      </c>
      <c r="B502" t="s">
        <v>203</v>
      </c>
      <c r="C502" t="s">
        <v>267</v>
      </c>
      <c r="D502" t="s">
        <v>192</v>
      </c>
      <c r="E502">
        <v>8852.89433701913</v>
      </c>
      <c r="F502">
        <v>2.0344952000000004E-3</v>
      </c>
      <c r="G502">
        <v>18.011171034772605</v>
      </c>
      <c r="H502">
        <v>1.8011171034772604E-2</v>
      </c>
      <c r="I502">
        <v>360.22342069545209</v>
      </c>
      <c r="J502">
        <v>0.3602234206954521</v>
      </c>
      <c r="K502">
        <v>20</v>
      </c>
    </row>
    <row r="503" spans="1:11" x14ac:dyDescent="0.25">
      <c r="A503" t="s">
        <v>148</v>
      </c>
      <c r="B503" t="s">
        <v>204</v>
      </c>
      <c r="C503" t="s">
        <v>267</v>
      </c>
      <c r="D503" t="s">
        <v>192</v>
      </c>
      <c r="E503">
        <v>7082.3154696152997</v>
      </c>
      <c r="F503">
        <v>3.4540979999999992E-3</v>
      </c>
      <c r="G503">
        <v>24.463011698967261</v>
      </c>
      <c r="H503">
        <v>2.4463011698967262E-2</v>
      </c>
      <c r="I503">
        <v>489.26023397934523</v>
      </c>
      <c r="J503">
        <v>0.4892602339793452</v>
      </c>
      <c r="K503">
        <v>20</v>
      </c>
    </row>
    <row r="504" spans="1:11" x14ac:dyDescent="0.25">
      <c r="A504" t="s">
        <v>148</v>
      </c>
      <c r="B504" t="s">
        <v>216</v>
      </c>
      <c r="C504" t="s">
        <v>267</v>
      </c>
      <c r="D504" t="s">
        <v>192</v>
      </c>
      <c r="E504">
        <v>590.19295580127505</v>
      </c>
      <c r="F504">
        <v>9.1113607200000002E-2</v>
      </c>
      <c r="G504">
        <v>53.774609147084334</v>
      </c>
      <c r="H504">
        <v>5.3774609147084332E-2</v>
      </c>
      <c r="I504">
        <v>1075.4921829416867</v>
      </c>
      <c r="J504">
        <v>1.0754921829416866</v>
      </c>
      <c r="K504">
        <v>20</v>
      </c>
    </row>
    <row r="505" spans="1:11" x14ac:dyDescent="0.25">
      <c r="A505" t="s">
        <v>148</v>
      </c>
      <c r="B505" t="s">
        <v>161</v>
      </c>
      <c r="C505" t="s">
        <v>267</v>
      </c>
      <c r="D505" t="s">
        <v>284</v>
      </c>
      <c r="E505">
        <v>217.082466501619</v>
      </c>
      <c r="F505">
        <v>3.9370107385283974</v>
      </c>
      <c r="G505">
        <v>854.65600176310511</v>
      </c>
      <c r="H505">
        <v>0.85465600176310508</v>
      </c>
      <c r="I505">
        <v>17093.120035262102</v>
      </c>
      <c r="J505">
        <v>17.093120035262103</v>
      </c>
      <c r="K505">
        <v>20</v>
      </c>
    </row>
    <row r="506" spans="1:11" x14ac:dyDescent="0.25">
      <c r="A506" t="s">
        <v>148</v>
      </c>
      <c r="B506" t="s">
        <v>165</v>
      </c>
      <c r="C506" t="s">
        <v>267</v>
      </c>
      <c r="D506" t="s">
        <v>282</v>
      </c>
      <c r="E506">
        <v>93.035342786407895</v>
      </c>
      <c r="F506">
        <v>7.2845399337771806</v>
      </c>
      <c r="G506">
        <v>677.71966978023704</v>
      </c>
      <c r="H506">
        <v>0.67771966978023701</v>
      </c>
      <c r="I506">
        <v>13554.39339560474</v>
      </c>
      <c r="J506">
        <v>13.554393395604741</v>
      </c>
      <c r="K506">
        <v>20</v>
      </c>
    </row>
    <row r="507" spans="1:11" x14ac:dyDescent="0.25">
      <c r="A507" t="s">
        <v>148</v>
      </c>
      <c r="B507" t="s">
        <v>212</v>
      </c>
      <c r="C507" t="s">
        <v>267</v>
      </c>
      <c r="D507" t="s">
        <v>192</v>
      </c>
      <c r="E507">
        <v>590.19295580127505</v>
      </c>
      <c r="F507">
        <v>0.25672374999999997</v>
      </c>
      <c r="G507">
        <v>151.51654883688758</v>
      </c>
      <c r="H507">
        <v>0.15151654883688759</v>
      </c>
      <c r="I507">
        <v>3030.3309767377514</v>
      </c>
      <c r="J507">
        <v>3.0303309767377513</v>
      </c>
      <c r="K507">
        <v>20</v>
      </c>
    </row>
    <row r="508" spans="1:11" x14ac:dyDescent="0.25">
      <c r="A508" t="s">
        <v>148</v>
      </c>
      <c r="B508" t="s">
        <v>207</v>
      </c>
      <c r="C508" t="s">
        <v>267</v>
      </c>
      <c r="D508" t="s">
        <v>192</v>
      </c>
      <c r="E508">
        <v>590.19295580127505</v>
      </c>
      <c r="F508">
        <v>1.1248640000000001E-2</v>
      </c>
      <c r="G508">
        <v>6.638868090344455</v>
      </c>
      <c r="H508">
        <v>6.638868090344455E-3</v>
      </c>
      <c r="I508">
        <v>132.7773618068891</v>
      </c>
      <c r="J508">
        <v>0.13277736180688909</v>
      </c>
      <c r="K508">
        <v>20</v>
      </c>
    </row>
    <row r="509" spans="1:11" x14ac:dyDescent="0.25">
      <c r="A509" t="s">
        <v>148</v>
      </c>
      <c r="B509" t="s">
        <v>209</v>
      </c>
      <c r="C509" t="s">
        <v>267</v>
      </c>
      <c r="D509" t="s">
        <v>192</v>
      </c>
      <c r="E509">
        <v>590.19295580127505</v>
      </c>
      <c r="F509">
        <v>6.0156250000000001E-2</v>
      </c>
      <c r="G509">
        <v>35.503794997420449</v>
      </c>
      <c r="H509">
        <v>3.550379499742045E-2</v>
      </c>
      <c r="I509">
        <v>710.07589994840896</v>
      </c>
      <c r="J509">
        <v>0.71007589994840892</v>
      </c>
      <c r="K509">
        <v>20</v>
      </c>
    </row>
    <row r="510" spans="1:11" x14ac:dyDescent="0.25">
      <c r="A510" t="s">
        <v>148</v>
      </c>
      <c r="B510" t="s">
        <v>178</v>
      </c>
      <c r="C510" t="s">
        <v>267</v>
      </c>
      <c r="D510" t="s">
        <v>282</v>
      </c>
      <c r="E510">
        <v>325.62369975242802</v>
      </c>
      <c r="F510">
        <v>5.224138898011323</v>
      </c>
      <c r="G510">
        <v>1701.1034359910193</v>
      </c>
      <c r="H510">
        <v>1.7011034359910193</v>
      </c>
      <c r="I510">
        <v>34022.068719820389</v>
      </c>
      <c r="J510">
        <v>34.022068719820389</v>
      </c>
      <c r="K510">
        <v>20</v>
      </c>
    </row>
    <row r="511" spans="1:11" x14ac:dyDescent="0.25">
      <c r="A511" t="s">
        <v>148</v>
      </c>
      <c r="B511" t="s">
        <v>153</v>
      </c>
      <c r="C511" t="s">
        <v>267</v>
      </c>
      <c r="D511" t="s">
        <v>284</v>
      </c>
      <c r="E511">
        <v>108.541233250809</v>
      </c>
      <c r="F511">
        <v>7.9455561940196704</v>
      </c>
      <c r="G511">
        <v>862.42046816249922</v>
      </c>
      <c r="H511">
        <v>0.86242046816249918</v>
      </c>
      <c r="I511">
        <v>17248.409363249986</v>
      </c>
      <c r="J511">
        <v>17.248409363249987</v>
      </c>
      <c r="K511">
        <v>20</v>
      </c>
    </row>
    <row r="512" spans="1:11" x14ac:dyDescent="0.25">
      <c r="A512" t="s">
        <v>148</v>
      </c>
      <c r="B512" t="s">
        <v>210</v>
      </c>
      <c r="C512" t="s">
        <v>267</v>
      </c>
      <c r="D512" t="s">
        <v>192</v>
      </c>
      <c r="E512">
        <v>590.19295580127505</v>
      </c>
      <c r="F512">
        <v>4.2515280000000003E-2</v>
      </c>
      <c r="G512">
        <v>25.092218769918833</v>
      </c>
      <c r="H512">
        <v>2.5092218769918833E-2</v>
      </c>
      <c r="I512">
        <v>501.84437539837666</v>
      </c>
      <c r="J512">
        <v>0.50184437539837667</v>
      </c>
      <c r="K512">
        <v>20</v>
      </c>
    </row>
    <row r="513" spans="1:11" x14ac:dyDescent="0.25">
      <c r="A513" t="s">
        <v>148</v>
      </c>
      <c r="B513" t="s">
        <v>214</v>
      </c>
      <c r="C513" t="s">
        <v>267</v>
      </c>
      <c r="D513" t="s">
        <v>192</v>
      </c>
      <c r="E513">
        <v>2950.96477900638</v>
      </c>
      <c r="F513">
        <v>2.0911891244705862E-2</v>
      </c>
      <c r="G513">
        <v>61.710254525538886</v>
      </c>
      <c r="H513">
        <v>6.1710254525538889E-2</v>
      </c>
      <c r="I513">
        <v>1234.2050905107776</v>
      </c>
      <c r="J513">
        <v>1.2342050905107775</v>
      </c>
      <c r="K513">
        <v>20</v>
      </c>
    </row>
    <row r="514" spans="1:11" x14ac:dyDescent="0.25">
      <c r="A514" t="s">
        <v>150</v>
      </c>
      <c r="B514" t="s">
        <v>191</v>
      </c>
      <c r="C514" t="s">
        <v>268</v>
      </c>
      <c r="D514" t="s">
        <v>192</v>
      </c>
      <c r="E514">
        <v>387.49220270538899</v>
      </c>
      <c r="F514">
        <v>1.0616832E-2</v>
      </c>
      <c r="G514">
        <v>4.1139396174330605</v>
      </c>
      <c r="H514">
        <v>4.1139396174330609E-3</v>
      </c>
      <c r="I514">
        <v>82.278792348661213</v>
      </c>
      <c r="J514">
        <v>8.2278792348661214E-2</v>
      </c>
      <c r="K514">
        <v>20</v>
      </c>
    </row>
    <row r="515" spans="1:11" x14ac:dyDescent="0.25">
      <c r="A515" t="s">
        <v>150</v>
      </c>
      <c r="B515" t="s">
        <v>193</v>
      </c>
      <c r="C515" t="s">
        <v>268</v>
      </c>
      <c r="D515" t="s">
        <v>192</v>
      </c>
      <c r="E515">
        <v>387.49220270538899</v>
      </c>
      <c r="F515">
        <v>3.9798067968750002</v>
      </c>
      <c r="G515">
        <v>1542.1441020629725</v>
      </c>
      <c r="H515">
        <v>1.5421441020629725</v>
      </c>
      <c r="I515">
        <v>30842.88204125945</v>
      </c>
      <c r="J515">
        <v>30.84288204125945</v>
      </c>
      <c r="K515">
        <v>20</v>
      </c>
    </row>
    <row r="516" spans="1:11" x14ac:dyDescent="0.25">
      <c r="A516" t="s">
        <v>150</v>
      </c>
      <c r="B516" t="s">
        <v>172</v>
      </c>
      <c r="C516" t="s">
        <v>268</v>
      </c>
      <c r="D516" t="s">
        <v>281</v>
      </c>
      <c r="E516">
        <v>2005.8419904749601</v>
      </c>
      <c r="F516">
        <v>0.9526311346128532</v>
      </c>
      <c r="G516">
        <v>1910.8275312402652</v>
      </c>
      <c r="H516">
        <v>1.9108275312402652</v>
      </c>
      <c r="I516">
        <v>38216.550624805306</v>
      </c>
      <c r="J516">
        <v>38.216550624805308</v>
      </c>
      <c r="K516">
        <v>20</v>
      </c>
    </row>
    <row r="517" spans="1:11" x14ac:dyDescent="0.25">
      <c r="A517" t="s">
        <v>150</v>
      </c>
      <c r="B517" t="s">
        <v>157</v>
      </c>
      <c r="C517" t="s">
        <v>268</v>
      </c>
      <c r="D517" t="s">
        <v>282</v>
      </c>
      <c r="E517">
        <v>13.5337350209603</v>
      </c>
      <c r="F517">
        <v>116.64744861071844</v>
      </c>
      <c r="G517">
        <v>1578.6756603685471</v>
      </c>
      <c r="H517">
        <v>1.5786756603685472</v>
      </c>
      <c r="I517">
        <v>31573.513207370943</v>
      </c>
      <c r="J517">
        <v>31.573513207370944</v>
      </c>
      <c r="K517">
        <v>20</v>
      </c>
    </row>
    <row r="518" spans="1:11" x14ac:dyDescent="0.25">
      <c r="A518" t="s">
        <v>150</v>
      </c>
      <c r="B518" t="s">
        <v>171</v>
      </c>
      <c r="C518" t="s">
        <v>268</v>
      </c>
      <c r="D518" t="s">
        <v>282</v>
      </c>
      <c r="E518">
        <v>3.9176601376464002</v>
      </c>
      <c r="F518">
        <v>3.6884913138328206</v>
      </c>
      <c r="G518">
        <v>14.450255388257839</v>
      </c>
      <c r="H518">
        <v>1.4450255388257839E-2</v>
      </c>
      <c r="I518">
        <v>289.00510776515677</v>
      </c>
      <c r="J518">
        <v>0.28900510776515675</v>
      </c>
      <c r="K518">
        <v>20</v>
      </c>
    </row>
    <row r="519" spans="1:11" x14ac:dyDescent="0.25">
      <c r="A519" t="s">
        <v>150</v>
      </c>
      <c r="B519" t="s">
        <v>183</v>
      </c>
      <c r="C519" t="s">
        <v>268</v>
      </c>
      <c r="D519" t="s">
        <v>281</v>
      </c>
      <c r="E519">
        <v>30.391545310226601</v>
      </c>
      <c r="F519">
        <v>1.0295682059997999</v>
      </c>
      <c r="G519">
        <v>31.290168782611634</v>
      </c>
      <c r="H519">
        <v>3.1290168782611635E-2</v>
      </c>
      <c r="I519">
        <v>625.80337565223272</v>
      </c>
      <c r="J519">
        <v>0.62580337565223276</v>
      </c>
      <c r="K519">
        <v>20</v>
      </c>
    </row>
    <row r="520" spans="1:11" x14ac:dyDescent="0.25">
      <c r="A520" t="s">
        <v>150</v>
      </c>
      <c r="B520" t="s">
        <v>194</v>
      </c>
      <c r="C520" t="s">
        <v>268</v>
      </c>
      <c r="D520" t="s">
        <v>192</v>
      </c>
      <c r="E520">
        <v>2324.9532162323299</v>
      </c>
      <c r="F520">
        <v>9.1814850000000014E-3</v>
      </c>
      <c r="G520">
        <v>21.346523080538898</v>
      </c>
      <c r="H520">
        <v>2.1346523080538898E-2</v>
      </c>
      <c r="I520">
        <v>426.93046161077797</v>
      </c>
      <c r="J520">
        <v>0.42693046161077797</v>
      </c>
      <c r="K520">
        <v>20</v>
      </c>
    </row>
    <row r="521" spans="1:11" x14ac:dyDescent="0.25">
      <c r="A521" t="s">
        <v>150</v>
      </c>
      <c r="B521" t="s">
        <v>195</v>
      </c>
      <c r="C521" t="s">
        <v>268</v>
      </c>
      <c r="D521" t="s">
        <v>192</v>
      </c>
      <c r="E521">
        <v>24993.247074497602</v>
      </c>
      <c r="F521">
        <v>1.7791277400000003E-2</v>
      </c>
      <c r="G521">
        <v>444.66179182912538</v>
      </c>
      <c r="H521">
        <v>0.44466179182912535</v>
      </c>
      <c r="I521">
        <v>8893.2358365825075</v>
      </c>
      <c r="J521">
        <v>8.893235836582507</v>
      </c>
      <c r="K521">
        <v>20</v>
      </c>
    </row>
    <row r="522" spans="1:11" x14ac:dyDescent="0.25">
      <c r="A522" t="s">
        <v>150</v>
      </c>
      <c r="B522" t="s">
        <v>196</v>
      </c>
      <c r="C522" t="s">
        <v>268</v>
      </c>
      <c r="D522" t="s">
        <v>197</v>
      </c>
      <c r="E522">
        <v>6199.8752432862302</v>
      </c>
      <c r="F522">
        <v>0.15798214854539833</v>
      </c>
      <c r="G522">
        <v>979.46961164778281</v>
      </c>
      <c r="H522">
        <v>0.97946961164778279</v>
      </c>
      <c r="I522">
        <v>19589.392232955655</v>
      </c>
      <c r="J522">
        <v>19.589392232955657</v>
      </c>
      <c r="K522">
        <v>20</v>
      </c>
    </row>
    <row r="523" spans="1:11" x14ac:dyDescent="0.25">
      <c r="A523" t="s">
        <v>150</v>
      </c>
      <c r="B523" t="s">
        <v>173</v>
      </c>
      <c r="C523" t="s">
        <v>268</v>
      </c>
      <c r="D523" t="s">
        <v>285</v>
      </c>
      <c r="E523">
        <v>3829.33470908855</v>
      </c>
      <c r="F523">
        <v>0.61623222935721145</v>
      </c>
      <c r="G523">
        <v>2359.7594647365859</v>
      </c>
      <c r="H523">
        <v>2.359759464736586</v>
      </c>
      <c r="I523">
        <v>47195.189294731717</v>
      </c>
      <c r="J523">
        <v>47.195189294731719</v>
      </c>
      <c r="K523">
        <v>20</v>
      </c>
    </row>
    <row r="524" spans="1:11" x14ac:dyDescent="0.25">
      <c r="A524" t="s">
        <v>150</v>
      </c>
      <c r="B524" t="s">
        <v>170</v>
      </c>
      <c r="C524" t="s">
        <v>268</v>
      </c>
      <c r="D524" t="s">
        <v>283</v>
      </c>
      <c r="E524">
        <v>1853.8842639238201</v>
      </c>
      <c r="F524">
        <v>4.2437957651678788</v>
      </c>
      <c r="G524">
        <v>7867.5061883512781</v>
      </c>
      <c r="H524">
        <v>7.8675061883512782</v>
      </c>
      <c r="I524">
        <v>157350.12376702557</v>
      </c>
      <c r="J524">
        <v>157.35012376702556</v>
      </c>
      <c r="K524">
        <v>20</v>
      </c>
    </row>
    <row r="525" spans="1:11" x14ac:dyDescent="0.25">
      <c r="A525" t="s">
        <v>150</v>
      </c>
      <c r="B525" t="s">
        <v>167</v>
      </c>
      <c r="C525" t="s">
        <v>268</v>
      </c>
      <c r="D525" t="s">
        <v>284</v>
      </c>
      <c r="E525">
        <v>4741.0810683953496</v>
      </c>
      <c r="F525">
        <v>1.1925955386713953</v>
      </c>
      <c r="G525">
        <v>5654.1921306477061</v>
      </c>
      <c r="H525">
        <v>5.6541921306477061</v>
      </c>
      <c r="I525">
        <v>113083.84261295412</v>
      </c>
      <c r="J525">
        <v>113.08384261295411</v>
      </c>
      <c r="K525">
        <v>20</v>
      </c>
    </row>
    <row r="526" spans="1:11" x14ac:dyDescent="0.25">
      <c r="A526" t="s">
        <v>150</v>
      </c>
      <c r="B526" t="s">
        <v>174</v>
      </c>
      <c r="C526" t="s">
        <v>268</v>
      </c>
      <c r="D526" t="s">
        <v>281</v>
      </c>
      <c r="E526">
        <v>30.391545310226601</v>
      </c>
      <c r="F526">
        <v>1.6138421231075599</v>
      </c>
      <c r="G526">
        <v>49.047156007975701</v>
      </c>
      <c r="H526">
        <v>4.9047156007975698E-2</v>
      </c>
      <c r="I526">
        <v>980.94312015951402</v>
      </c>
      <c r="J526">
        <v>0.98094312015951401</v>
      </c>
      <c r="K526">
        <v>20</v>
      </c>
    </row>
    <row r="527" spans="1:11" x14ac:dyDescent="0.25">
      <c r="A527" t="s">
        <v>150</v>
      </c>
      <c r="B527" t="s">
        <v>166</v>
      </c>
      <c r="C527" t="s">
        <v>268</v>
      </c>
      <c r="D527" t="s">
        <v>285</v>
      </c>
      <c r="E527">
        <v>911.74635930679801</v>
      </c>
      <c r="F527">
        <v>3.1648568335641878</v>
      </c>
      <c r="G527">
        <v>2885.5466957293888</v>
      </c>
      <c r="H527">
        <v>2.8855466957293889</v>
      </c>
      <c r="I527">
        <v>57710.933914587775</v>
      </c>
      <c r="J527">
        <v>57.710933914587777</v>
      </c>
      <c r="K527">
        <v>20</v>
      </c>
    </row>
    <row r="528" spans="1:11" x14ac:dyDescent="0.25">
      <c r="A528" t="s">
        <v>150</v>
      </c>
      <c r="B528" t="s">
        <v>198</v>
      </c>
      <c r="C528" t="s">
        <v>268</v>
      </c>
      <c r="D528" t="s">
        <v>290</v>
      </c>
      <c r="E528">
        <v>37005.505358364702</v>
      </c>
      <c r="F528">
        <v>0.14169849299560594</v>
      </c>
      <c r="G528">
        <v>5243.6243418210988</v>
      </c>
      <c r="H528">
        <v>5.243624341821099</v>
      </c>
      <c r="I528">
        <v>104872.48683642197</v>
      </c>
      <c r="J528">
        <v>104.87248683642197</v>
      </c>
      <c r="K528">
        <v>20</v>
      </c>
    </row>
    <row r="529" spans="1:11" x14ac:dyDescent="0.25">
      <c r="A529" t="s">
        <v>150</v>
      </c>
      <c r="B529" t="s">
        <v>175</v>
      </c>
      <c r="C529" t="s">
        <v>268</v>
      </c>
      <c r="D529" t="s">
        <v>284</v>
      </c>
      <c r="E529">
        <v>151.95772655113299</v>
      </c>
      <c r="F529">
        <v>3.8097154954878123</v>
      </c>
      <c r="G529">
        <v>578.91570550095116</v>
      </c>
      <c r="H529">
        <v>0.57891570550095117</v>
      </c>
      <c r="I529">
        <v>11578.314110019022</v>
      </c>
      <c r="J529">
        <v>11.578314110019022</v>
      </c>
      <c r="K529">
        <v>20</v>
      </c>
    </row>
    <row r="530" spans="1:11" x14ac:dyDescent="0.25">
      <c r="A530" t="s">
        <v>150</v>
      </c>
      <c r="B530" t="s">
        <v>160</v>
      </c>
      <c r="C530" t="s">
        <v>268</v>
      </c>
      <c r="D530" t="s">
        <v>284</v>
      </c>
      <c r="E530">
        <v>65.124739950485605</v>
      </c>
      <c r="F530">
        <v>13.928754444071066</v>
      </c>
      <c r="G530">
        <v>907.1065110042988</v>
      </c>
      <c r="H530">
        <v>0.90710651100429884</v>
      </c>
      <c r="I530">
        <v>18142.130220085975</v>
      </c>
      <c r="J530">
        <v>18.142130220085974</v>
      </c>
      <c r="K530">
        <v>20</v>
      </c>
    </row>
    <row r="531" spans="1:11" x14ac:dyDescent="0.25">
      <c r="A531" t="s">
        <v>150</v>
      </c>
      <c r="B531" t="s">
        <v>200</v>
      </c>
      <c r="C531" t="s">
        <v>268</v>
      </c>
      <c r="D531" t="s">
        <v>192</v>
      </c>
      <c r="E531">
        <v>2131.2071148796399</v>
      </c>
      <c r="F531">
        <v>1.5166707272727275E-2</v>
      </c>
      <c r="G531">
        <v>32.323394448933144</v>
      </c>
      <c r="H531">
        <v>3.2323394448933146E-2</v>
      </c>
      <c r="I531">
        <v>646.46788897866281</v>
      </c>
      <c r="J531">
        <v>0.64646788897866281</v>
      </c>
      <c r="K531">
        <v>20</v>
      </c>
    </row>
    <row r="532" spans="1:11" x14ac:dyDescent="0.25">
      <c r="A532" t="s">
        <v>150</v>
      </c>
      <c r="B532" t="s">
        <v>163</v>
      </c>
      <c r="C532" t="s">
        <v>268</v>
      </c>
      <c r="D532" t="s">
        <v>281</v>
      </c>
      <c r="E532">
        <v>60.783090620453201</v>
      </c>
      <c r="F532">
        <v>1.6522097591244644</v>
      </c>
      <c r="G532">
        <v>100.42641551285948</v>
      </c>
      <c r="H532">
        <v>0.10042641551285948</v>
      </c>
      <c r="I532">
        <v>2008.5283102571896</v>
      </c>
      <c r="J532">
        <v>2.0085283102571894</v>
      </c>
      <c r="K532">
        <v>20</v>
      </c>
    </row>
    <row r="533" spans="1:11" x14ac:dyDescent="0.25">
      <c r="A533" t="s">
        <v>150</v>
      </c>
      <c r="B533" t="s">
        <v>201</v>
      </c>
      <c r="C533" t="s">
        <v>268</v>
      </c>
      <c r="D533" t="s">
        <v>192</v>
      </c>
      <c r="E533">
        <v>2518.6993175850298</v>
      </c>
      <c r="F533">
        <v>9.1020374065384612E-3</v>
      </c>
      <c r="G533">
        <v>22.925295404481837</v>
      </c>
      <c r="H533">
        <v>2.2925295404481835E-2</v>
      </c>
      <c r="I533">
        <v>458.5059080896367</v>
      </c>
      <c r="J533">
        <v>0.4585059080896367</v>
      </c>
      <c r="K533">
        <v>20</v>
      </c>
    </row>
    <row r="534" spans="1:11" x14ac:dyDescent="0.25">
      <c r="A534" t="s">
        <v>150</v>
      </c>
      <c r="B534" t="s">
        <v>202</v>
      </c>
      <c r="C534" t="s">
        <v>268</v>
      </c>
      <c r="D534" t="s">
        <v>192</v>
      </c>
      <c r="E534">
        <v>15112.1959055102</v>
      </c>
      <c r="F534">
        <v>1.4911893999999999E-3</v>
      </c>
      <c r="G534">
        <v>22.535146345020209</v>
      </c>
      <c r="H534">
        <v>2.2535146345020209E-2</v>
      </c>
      <c r="I534">
        <v>450.70292690040418</v>
      </c>
      <c r="J534">
        <v>0.4507029269004042</v>
      </c>
      <c r="K534">
        <v>20</v>
      </c>
    </row>
    <row r="535" spans="1:11" x14ac:dyDescent="0.25">
      <c r="A535" t="s">
        <v>150</v>
      </c>
      <c r="B535" t="s">
        <v>204</v>
      </c>
      <c r="C535" t="s">
        <v>268</v>
      </c>
      <c r="D535" t="s">
        <v>192</v>
      </c>
      <c r="E535">
        <v>4649.9064324646697</v>
      </c>
      <c r="F535">
        <v>4.2734065000000002E-3</v>
      </c>
      <c r="G535">
        <v>19.870940372886331</v>
      </c>
      <c r="H535">
        <v>1.987094037288633E-2</v>
      </c>
      <c r="I535">
        <v>397.41880745772664</v>
      </c>
      <c r="J535">
        <v>0.39741880745772662</v>
      </c>
      <c r="K535">
        <v>20</v>
      </c>
    </row>
    <row r="536" spans="1:11" x14ac:dyDescent="0.25">
      <c r="A536" t="s">
        <v>150</v>
      </c>
      <c r="B536" t="s">
        <v>161</v>
      </c>
      <c r="C536" t="s">
        <v>268</v>
      </c>
      <c r="D536" t="s">
        <v>284</v>
      </c>
      <c r="E536">
        <v>2097.0166264056402</v>
      </c>
      <c r="F536">
        <v>3.4065955971286583</v>
      </c>
      <c r="G536">
        <v>7143.6876066190462</v>
      </c>
      <c r="H536">
        <v>7.1436876066190464</v>
      </c>
      <c r="I536">
        <v>142873.75213238093</v>
      </c>
      <c r="J536">
        <v>142.87375213238093</v>
      </c>
      <c r="K536">
        <v>20</v>
      </c>
    </row>
    <row r="537" spans="1:11" x14ac:dyDescent="0.25">
      <c r="A537" t="s">
        <v>150</v>
      </c>
      <c r="B537" t="s">
        <v>165</v>
      </c>
      <c r="C537" t="s">
        <v>268</v>
      </c>
      <c r="D537" t="s">
        <v>282</v>
      </c>
      <c r="E537">
        <v>729.39708744543805</v>
      </c>
      <c r="F537">
        <v>2.5936556339498424</v>
      </c>
      <c r="G537">
        <v>1891.8048652394664</v>
      </c>
      <c r="H537">
        <v>1.8918048652394663</v>
      </c>
      <c r="I537">
        <v>37836.097304789328</v>
      </c>
      <c r="J537">
        <v>37.836097304789327</v>
      </c>
      <c r="K537">
        <v>20</v>
      </c>
    </row>
    <row r="538" spans="1:11" x14ac:dyDescent="0.25">
      <c r="A538" t="s">
        <v>150</v>
      </c>
      <c r="B538" t="s">
        <v>212</v>
      </c>
      <c r="C538" t="s">
        <v>268</v>
      </c>
      <c r="D538" t="s">
        <v>192</v>
      </c>
      <c r="E538">
        <v>193.74610135269501</v>
      </c>
      <c r="F538">
        <v>0.13997520999999999</v>
      </c>
      <c r="G538">
        <v>27.119651223524766</v>
      </c>
      <c r="H538">
        <v>2.7119651223524766E-2</v>
      </c>
      <c r="I538">
        <v>542.39302447049533</v>
      </c>
      <c r="J538">
        <v>0.54239302447049531</v>
      </c>
      <c r="K538">
        <v>20</v>
      </c>
    </row>
    <row r="539" spans="1:11" x14ac:dyDescent="0.25">
      <c r="A539" t="s">
        <v>150</v>
      </c>
      <c r="B539" t="s">
        <v>207</v>
      </c>
      <c r="C539" t="s">
        <v>268</v>
      </c>
      <c r="D539" t="s">
        <v>192</v>
      </c>
      <c r="E539">
        <v>387.49220270538899</v>
      </c>
      <c r="F539">
        <v>3.6866875E-2</v>
      </c>
      <c r="G539">
        <v>14.285626600614238</v>
      </c>
      <c r="H539">
        <v>1.4285626600614238E-2</v>
      </c>
      <c r="I539">
        <v>285.71253201228478</v>
      </c>
      <c r="J539">
        <v>0.2857125320122848</v>
      </c>
      <c r="K539">
        <v>20</v>
      </c>
    </row>
    <row r="540" spans="1:11" x14ac:dyDescent="0.25">
      <c r="A540" t="s">
        <v>150</v>
      </c>
      <c r="B540" t="s">
        <v>209</v>
      </c>
      <c r="C540" t="s">
        <v>268</v>
      </c>
      <c r="D540" t="s">
        <v>192</v>
      </c>
      <c r="E540">
        <v>22668.293858265301</v>
      </c>
      <c r="F540">
        <v>3.6815050580000008E-2</v>
      </c>
      <c r="G540">
        <v>834.53438495434057</v>
      </c>
      <c r="H540">
        <v>0.83453438495434051</v>
      </c>
      <c r="I540">
        <v>16690.687699086811</v>
      </c>
      <c r="J540">
        <v>16.690687699086812</v>
      </c>
      <c r="K540">
        <v>20</v>
      </c>
    </row>
    <row r="541" spans="1:11" x14ac:dyDescent="0.25">
      <c r="A541" t="s">
        <v>150</v>
      </c>
      <c r="B541" t="s">
        <v>153</v>
      </c>
      <c r="C541" t="s">
        <v>268</v>
      </c>
      <c r="D541" t="s">
        <v>284</v>
      </c>
      <c r="E541">
        <v>182.34927186135999</v>
      </c>
      <c r="F541">
        <v>6.5829339001693192</v>
      </c>
      <c r="G541">
        <v>1200.393203407338</v>
      </c>
      <c r="H541">
        <v>1.2003932034073379</v>
      </c>
      <c r="I541">
        <v>24007.864068146759</v>
      </c>
      <c r="J541">
        <v>24.007864068146759</v>
      </c>
      <c r="K541">
        <v>20</v>
      </c>
    </row>
    <row r="542" spans="1:11" x14ac:dyDescent="0.25">
      <c r="A542" t="s">
        <v>150</v>
      </c>
      <c r="B542" t="s">
        <v>210</v>
      </c>
      <c r="C542" t="s">
        <v>268</v>
      </c>
      <c r="D542" t="s">
        <v>192</v>
      </c>
      <c r="E542">
        <v>1549.9688108215601</v>
      </c>
      <c r="F542">
        <v>3.4433351250000001E-2</v>
      </c>
      <c r="G542">
        <v>53.370620489563578</v>
      </c>
      <c r="H542">
        <v>5.3370620489563578E-2</v>
      </c>
      <c r="I542">
        <v>1067.4124097912716</v>
      </c>
      <c r="J542">
        <v>1.0674124097912716</v>
      </c>
      <c r="K542">
        <v>20</v>
      </c>
    </row>
    <row r="543" spans="1:11" x14ac:dyDescent="0.25">
      <c r="A543" t="s">
        <v>150</v>
      </c>
      <c r="B543" t="s">
        <v>215</v>
      </c>
      <c r="C543" t="s">
        <v>268</v>
      </c>
      <c r="D543" t="s">
        <v>192</v>
      </c>
      <c r="E543">
        <v>193.74610135269501</v>
      </c>
      <c r="F543">
        <v>0.13398963526153901</v>
      </c>
      <c r="G543">
        <v>25.959969453592773</v>
      </c>
      <c r="H543">
        <v>2.5959969453592774E-2</v>
      </c>
      <c r="I543">
        <v>519.19938907185542</v>
      </c>
      <c r="J543">
        <v>0.51919938907185537</v>
      </c>
      <c r="K543">
        <v>20</v>
      </c>
    </row>
    <row r="544" spans="1:11" x14ac:dyDescent="0.25">
      <c r="A544" t="s">
        <v>150</v>
      </c>
      <c r="B544" t="s">
        <v>214</v>
      </c>
      <c r="C544" t="s">
        <v>268</v>
      </c>
      <c r="D544" t="s">
        <v>192</v>
      </c>
      <c r="E544">
        <v>1743.71491217425</v>
      </c>
      <c r="F544">
        <v>2.2888109986774326E-2</v>
      </c>
      <c r="G544">
        <v>39.910338695422766</v>
      </c>
      <c r="H544">
        <v>3.9910338695422765E-2</v>
      </c>
      <c r="I544">
        <v>798.20677390845526</v>
      </c>
      <c r="J544">
        <v>0.79820677390845529</v>
      </c>
      <c r="K544">
        <v>20</v>
      </c>
    </row>
    <row r="545" spans="1:11" x14ac:dyDescent="0.25">
      <c r="A545" t="s">
        <v>151</v>
      </c>
      <c r="B545" t="s">
        <v>191</v>
      </c>
      <c r="C545" t="s">
        <v>269</v>
      </c>
      <c r="D545" t="s">
        <v>192</v>
      </c>
      <c r="E545">
        <v>3367.2450769853299</v>
      </c>
      <c r="F545">
        <v>1.73653665E-2</v>
      </c>
      <c r="G545">
        <v>58.473444857170968</v>
      </c>
      <c r="H545">
        <v>5.8473444857170966E-2</v>
      </c>
      <c r="I545">
        <v>1169.4688971434193</v>
      </c>
      <c r="J545">
        <v>1.1694688971434193</v>
      </c>
      <c r="K545">
        <v>16</v>
      </c>
    </row>
    <row r="546" spans="1:11" x14ac:dyDescent="0.25">
      <c r="A546" t="s">
        <v>151</v>
      </c>
      <c r="B546" t="s">
        <v>193</v>
      </c>
      <c r="C546" t="s">
        <v>269</v>
      </c>
      <c r="D546" t="s">
        <v>192</v>
      </c>
      <c r="E546">
        <v>420.90563462316697</v>
      </c>
      <c r="F546">
        <v>1.35823234989</v>
      </c>
      <c r="G546">
        <v>571.68764919616581</v>
      </c>
      <c r="H546">
        <v>0.57168764919616577</v>
      </c>
      <c r="I546">
        <v>11433.752983923316</v>
      </c>
      <c r="J546">
        <v>11.433752983923316</v>
      </c>
      <c r="K546">
        <v>16</v>
      </c>
    </row>
    <row r="547" spans="1:11" x14ac:dyDescent="0.25">
      <c r="A547" t="s">
        <v>151</v>
      </c>
      <c r="B547" t="s">
        <v>172</v>
      </c>
      <c r="C547" t="s">
        <v>269</v>
      </c>
      <c r="D547" t="s">
        <v>281</v>
      </c>
      <c r="E547">
        <v>8910.2485114073406</v>
      </c>
      <c r="F547">
        <v>1.358929632751692</v>
      </c>
      <c r="G547">
        <v>12108.400737333088</v>
      </c>
      <c r="H547">
        <v>12.108400737333088</v>
      </c>
      <c r="I547">
        <v>242168.01474666176</v>
      </c>
      <c r="J547">
        <v>242.16801474666175</v>
      </c>
      <c r="K547">
        <v>16</v>
      </c>
    </row>
    <row r="548" spans="1:11" x14ac:dyDescent="0.25">
      <c r="A548" t="s">
        <v>151</v>
      </c>
      <c r="B548" t="s">
        <v>171</v>
      </c>
      <c r="C548" t="s">
        <v>269</v>
      </c>
      <c r="D548" t="s">
        <v>282</v>
      </c>
      <c r="E548">
        <v>142.05565168531899</v>
      </c>
      <c r="F548">
        <v>2.5447407290129584</v>
      </c>
      <c r="G548">
        <v>361.49480263010958</v>
      </c>
      <c r="H548">
        <v>0.36149480263010958</v>
      </c>
      <c r="I548">
        <v>7229.896052602191</v>
      </c>
      <c r="J548">
        <v>7.2298960526021911</v>
      </c>
      <c r="K548">
        <v>16</v>
      </c>
    </row>
    <row r="549" spans="1:11" x14ac:dyDescent="0.25">
      <c r="A549" t="s">
        <v>151</v>
      </c>
      <c r="B549" t="s">
        <v>183</v>
      </c>
      <c r="C549" t="s">
        <v>269</v>
      </c>
      <c r="D549" t="s">
        <v>281</v>
      </c>
      <c r="E549">
        <v>69.071693886878606</v>
      </c>
      <c r="F549">
        <v>0.44827254079329049</v>
      </c>
      <c r="G549">
        <v>30.962943715567462</v>
      </c>
      <c r="H549">
        <v>3.0962943715567463E-2</v>
      </c>
      <c r="I549">
        <v>619.25887431134925</v>
      </c>
      <c r="J549">
        <v>0.61925887431134929</v>
      </c>
      <c r="K549">
        <v>16</v>
      </c>
    </row>
    <row r="550" spans="1:11" x14ac:dyDescent="0.25">
      <c r="A550" t="s">
        <v>151</v>
      </c>
      <c r="B550" t="s">
        <v>194</v>
      </c>
      <c r="C550" t="s">
        <v>269</v>
      </c>
      <c r="D550" t="s">
        <v>192</v>
      </c>
      <c r="E550">
        <v>1262.7169038694999</v>
      </c>
      <c r="F550">
        <v>1.2479520000000001E-2</v>
      </c>
      <c r="G550">
        <v>15.758100856177503</v>
      </c>
      <c r="H550">
        <v>1.5758100856177504E-2</v>
      </c>
      <c r="I550">
        <v>315.16201712355007</v>
      </c>
      <c r="J550">
        <v>0.31516201712355008</v>
      </c>
      <c r="K550">
        <v>16</v>
      </c>
    </row>
    <row r="551" spans="1:11" x14ac:dyDescent="0.25">
      <c r="A551" t="s">
        <v>151</v>
      </c>
      <c r="B551" t="s">
        <v>195</v>
      </c>
      <c r="C551" t="s">
        <v>269</v>
      </c>
      <c r="D551" t="s">
        <v>192</v>
      </c>
      <c r="E551">
        <v>14731.697211810801</v>
      </c>
      <c r="F551">
        <v>2.0535095099999998E-2</v>
      </c>
      <c r="G551">
        <v>302.51680322893958</v>
      </c>
      <c r="H551">
        <v>0.30251680322893959</v>
      </c>
      <c r="I551">
        <v>6050.3360645787916</v>
      </c>
      <c r="J551">
        <v>6.0503360645787918</v>
      </c>
      <c r="K551">
        <v>16</v>
      </c>
    </row>
    <row r="552" spans="1:11" x14ac:dyDescent="0.25">
      <c r="A552" t="s">
        <v>151</v>
      </c>
      <c r="B552" t="s">
        <v>196</v>
      </c>
      <c r="C552" t="s">
        <v>269</v>
      </c>
      <c r="D552" t="s">
        <v>197</v>
      </c>
      <c r="E552">
        <v>34935.167673722797</v>
      </c>
      <c r="F552">
        <v>6.0343868815147653E-2</v>
      </c>
      <c r="G552">
        <v>2108.1231751383157</v>
      </c>
      <c r="H552">
        <v>2.1081231751383158</v>
      </c>
      <c r="I552">
        <v>42162.463502766317</v>
      </c>
      <c r="J552">
        <v>42.162463502766315</v>
      </c>
      <c r="K552">
        <v>16</v>
      </c>
    </row>
    <row r="553" spans="1:11" x14ac:dyDescent="0.25">
      <c r="A553" t="s">
        <v>151</v>
      </c>
      <c r="B553" t="s">
        <v>173</v>
      </c>
      <c r="C553" t="s">
        <v>269</v>
      </c>
      <c r="D553" t="s">
        <v>285</v>
      </c>
      <c r="E553">
        <v>4144.3016332127199</v>
      </c>
      <c r="F553">
        <v>0.55499954058394374</v>
      </c>
      <c r="G553">
        <v>2300.0855024743473</v>
      </c>
      <c r="H553">
        <v>2.3000855024743472</v>
      </c>
      <c r="I553">
        <v>46001.710049486945</v>
      </c>
      <c r="J553">
        <v>46.001710049486945</v>
      </c>
      <c r="K553">
        <v>16</v>
      </c>
    </row>
    <row r="554" spans="1:11" x14ac:dyDescent="0.25">
      <c r="A554" t="s">
        <v>151</v>
      </c>
      <c r="B554" t="s">
        <v>170</v>
      </c>
      <c r="C554" t="s">
        <v>269</v>
      </c>
      <c r="D554" t="s">
        <v>283</v>
      </c>
      <c r="E554">
        <v>2901.0111432489002</v>
      </c>
      <c r="F554">
        <v>3.4399175692238471</v>
      </c>
      <c r="G554">
        <v>9979.2392001760509</v>
      </c>
      <c r="H554">
        <v>9.9792392001760515</v>
      </c>
      <c r="I554">
        <v>199584.78400352102</v>
      </c>
      <c r="J554">
        <v>199.58478400352104</v>
      </c>
      <c r="K554">
        <v>16</v>
      </c>
    </row>
    <row r="555" spans="1:11" x14ac:dyDescent="0.25">
      <c r="A555" t="s">
        <v>151</v>
      </c>
      <c r="B555" t="s">
        <v>167</v>
      </c>
      <c r="C555" t="s">
        <v>269</v>
      </c>
      <c r="D555" t="s">
        <v>284</v>
      </c>
      <c r="E555">
        <v>2382.9734390973099</v>
      </c>
      <c r="F555">
        <v>2.7591166879467552</v>
      </c>
      <c r="G555">
        <v>6574.9017827472589</v>
      </c>
      <c r="H555">
        <v>6.5749017827472587</v>
      </c>
      <c r="I555">
        <v>131498.03565494518</v>
      </c>
      <c r="J555">
        <v>131.49803565494517</v>
      </c>
      <c r="K555">
        <v>16</v>
      </c>
    </row>
    <row r="556" spans="1:11" x14ac:dyDescent="0.25">
      <c r="A556" t="s">
        <v>151</v>
      </c>
      <c r="B556" t="s">
        <v>166</v>
      </c>
      <c r="C556" t="s">
        <v>269</v>
      </c>
      <c r="D556" t="s">
        <v>285</v>
      </c>
      <c r="E556">
        <v>967.00371441630102</v>
      </c>
      <c r="F556">
        <v>3.6170650670263074</v>
      </c>
      <c r="G556">
        <v>3497.715355099886</v>
      </c>
      <c r="H556">
        <v>3.4977153550998858</v>
      </c>
      <c r="I556">
        <v>69954.307101997721</v>
      </c>
      <c r="J556">
        <v>69.954307101997728</v>
      </c>
      <c r="K556">
        <v>16</v>
      </c>
    </row>
    <row r="557" spans="1:11" x14ac:dyDescent="0.25">
      <c r="A557" t="s">
        <v>151</v>
      </c>
      <c r="B557" t="s">
        <v>198</v>
      </c>
      <c r="C557" t="s">
        <v>269</v>
      </c>
      <c r="D557" t="s">
        <v>290</v>
      </c>
      <c r="E557">
        <v>77446.636770662706</v>
      </c>
      <c r="F557">
        <v>0.18255700623495158</v>
      </c>
      <c r="G557">
        <v>14138.426151817903</v>
      </c>
      <c r="H557">
        <v>14.138426151817903</v>
      </c>
      <c r="I557">
        <v>282768.52303635806</v>
      </c>
      <c r="J557">
        <v>282.76852303635809</v>
      </c>
      <c r="K557">
        <v>16</v>
      </c>
    </row>
    <row r="558" spans="1:11" x14ac:dyDescent="0.25">
      <c r="A558" t="s">
        <v>151</v>
      </c>
      <c r="B558" t="s">
        <v>175</v>
      </c>
      <c r="C558" t="s">
        <v>269</v>
      </c>
      <c r="D558" t="s">
        <v>284</v>
      </c>
      <c r="E558">
        <v>103.607540830318</v>
      </c>
      <c r="F558">
        <v>3.4497316286305932</v>
      </c>
      <c r="G558">
        <v>357.41821056698359</v>
      </c>
      <c r="H558">
        <v>0.35741821056698359</v>
      </c>
      <c r="I558">
        <v>7148.3642113396718</v>
      </c>
      <c r="J558">
        <v>7.1483642113396719</v>
      </c>
      <c r="K558">
        <v>16</v>
      </c>
    </row>
    <row r="559" spans="1:11" x14ac:dyDescent="0.25">
      <c r="A559" t="s">
        <v>151</v>
      </c>
      <c r="B559" t="s">
        <v>160</v>
      </c>
      <c r="C559" t="s">
        <v>269</v>
      </c>
      <c r="D559" t="s">
        <v>284</v>
      </c>
      <c r="E559">
        <v>14.801077261473999</v>
      </c>
      <c r="F559">
        <v>19.000117649578002</v>
      </c>
      <c r="G559">
        <v>281.22220930849977</v>
      </c>
      <c r="H559">
        <v>0.28122220930849978</v>
      </c>
      <c r="I559">
        <v>5624.4441861699952</v>
      </c>
      <c r="J559">
        <v>5.6244441861699954</v>
      </c>
      <c r="K559">
        <v>16</v>
      </c>
    </row>
    <row r="560" spans="1:11" x14ac:dyDescent="0.25">
      <c r="A560" t="s">
        <v>151</v>
      </c>
      <c r="B560" t="s">
        <v>164</v>
      </c>
      <c r="C560" t="s">
        <v>269</v>
      </c>
      <c r="D560" t="s">
        <v>281</v>
      </c>
      <c r="E560">
        <v>207.215081660636</v>
      </c>
      <c r="F560">
        <v>2.1538507275073862</v>
      </c>
      <c r="G560">
        <v>446.31035438526328</v>
      </c>
      <c r="H560">
        <v>0.44631035438526329</v>
      </c>
      <c r="I560">
        <v>8926.2070877052647</v>
      </c>
      <c r="J560">
        <v>8.9262070877052651</v>
      </c>
      <c r="K560">
        <v>16</v>
      </c>
    </row>
    <row r="561" spans="1:11" x14ac:dyDescent="0.25">
      <c r="A561" t="s">
        <v>151</v>
      </c>
      <c r="B561" t="s">
        <v>200</v>
      </c>
      <c r="C561" t="s">
        <v>269</v>
      </c>
      <c r="D561" t="s">
        <v>192</v>
      </c>
      <c r="E561">
        <v>2104.5281731158302</v>
      </c>
      <c r="F561">
        <v>1.9752260000000001E-2</v>
      </c>
      <c r="G561">
        <v>41.569187652708891</v>
      </c>
      <c r="H561">
        <v>4.1569187652708887E-2</v>
      </c>
      <c r="I561">
        <v>831.38375305417776</v>
      </c>
      <c r="J561">
        <v>0.83138375305417778</v>
      </c>
      <c r="K561">
        <v>16</v>
      </c>
    </row>
    <row r="562" spans="1:11" x14ac:dyDescent="0.25">
      <c r="A562" t="s">
        <v>151</v>
      </c>
      <c r="B562" t="s">
        <v>201</v>
      </c>
      <c r="C562" t="s">
        <v>269</v>
      </c>
      <c r="D562" t="s">
        <v>192</v>
      </c>
      <c r="E562">
        <v>20203.470461911998</v>
      </c>
      <c r="F562">
        <v>1.1886867593999997E-2</v>
      </c>
      <c r="G562">
        <v>240.15597832003789</v>
      </c>
      <c r="H562">
        <v>0.24015597832003788</v>
      </c>
      <c r="I562">
        <v>4803.1195664007573</v>
      </c>
      <c r="J562">
        <v>4.8031195664007571</v>
      </c>
      <c r="K562">
        <v>16</v>
      </c>
    </row>
    <row r="563" spans="1:11" x14ac:dyDescent="0.25">
      <c r="A563" t="s">
        <v>151</v>
      </c>
      <c r="B563" t="s">
        <v>202</v>
      </c>
      <c r="C563" t="s">
        <v>269</v>
      </c>
      <c r="D563" t="s">
        <v>192</v>
      </c>
      <c r="E563">
        <v>40827.8465584472</v>
      </c>
      <c r="F563">
        <v>2.4829778000000002E-3</v>
      </c>
      <c r="G563">
        <v>101.37463662643081</v>
      </c>
      <c r="H563">
        <v>0.10137463662643081</v>
      </c>
      <c r="I563">
        <v>2027.4927325286162</v>
      </c>
      <c r="J563">
        <v>2.0274927325286161</v>
      </c>
      <c r="K563">
        <v>16</v>
      </c>
    </row>
    <row r="564" spans="1:11" x14ac:dyDescent="0.25">
      <c r="A564" t="s">
        <v>151</v>
      </c>
      <c r="B564" t="s">
        <v>203</v>
      </c>
      <c r="C564" t="s">
        <v>269</v>
      </c>
      <c r="D564" t="s">
        <v>192</v>
      </c>
      <c r="E564">
        <v>11785.357769448699</v>
      </c>
      <c r="F564">
        <v>2.5439171000000002E-3</v>
      </c>
      <c r="G564">
        <v>29.980973159318406</v>
      </c>
      <c r="H564">
        <v>2.9980973159318407E-2</v>
      </c>
      <c r="I564">
        <v>599.61946318636808</v>
      </c>
      <c r="J564">
        <v>0.59961946318636805</v>
      </c>
      <c r="K564">
        <v>16</v>
      </c>
    </row>
    <row r="565" spans="1:11" x14ac:dyDescent="0.25">
      <c r="A565" t="s">
        <v>151</v>
      </c>
      <c r="B565" t="s">
        <v>204</v>
      </c>
      <c r="C565" t="s">
        <v>269</v>
      </c>
      <c r="D565" t="s">
        <v>192</v>
      </c>
      <c r="E565">
        <v>8418.1126924633299</v>
      </c>
      <c r="F565">
        <v>4.1193736999999998E-3</v>
      </c>
      <c r="G565">
        <v>34.677352028969629</v>
      </c>
      <c r="H565">
        <v>3.4677352028969627E-2</v>
      </c>
      <c r="I565">
        <v>693.54704057939261</v>
      </c>
      <c r="J565">
        <v>0.69354704057939265</v>
      </c>
      <c r="K565">
        <v>16</v>
      </c>
    </row>
    <row r="566" spans="1:11" x14ac:dyDescent="0.25">
      <c r="A566" t="s">
        <v>151</v>
      </c>
      <c r="B566" t="s">
        <v>205</v>
      </c>
      <c r="C566" t="s">
        <v>269</v>
      </c>
      <c r="D566" t="s">
        <v>192</v>
      </c>
      <c r="E566">
        <v>3788.1507116084999</v>
      </c>
      <c r="F566">
        <v>2.2064795555555555E-3</v>
      </c>
      <c r="G566">
        <v>8.3584770985273842</v>
      </c>
      <c r="H566">
        <v>8.3584770985273837E-3</v>
      </c>
      <c r="I566">
        <v>167.1695419705477</v>
      </c>
      <c r="J566">
        <v>0.1671695419705477</v>
      </c>
      <c r="K566">
        <v>16</v>
      </c>
    </row>
    <row r="567" spans="1:11" x14ac:dyDescent="0.25">
      <c r="A567" t="s">
        <v>151</v>
      </c>
      <c r="B567" t="s">
        <v>161</v>
      </c>
      <c r="C567" t="s">
        <v>269</v>
      </c>
      <c r="D567" t="s">
        <v>284</v>
      </c>
      <c r="E567">
        <v>690.71693886878597</v>
      </c>
      <c r="F567">
        <v>4.419593400950224</v>
      </c>
      <c r="G567">
        <v>3052.6880249490259</v>
      </c>
      <c r="H567">
        <v>3.0526880249490258</v>
      </c>
      <c r="I567">
        <v>61053.760498980519</v>
      </c>
      <c r="J567">
        <v>61.053760498980516</v>
      </c>
      <c r="K567">
        <v>16</v>
      </c>
    </row>
    <row r="568" spans="1:11" x14ac:dyDescent="0.25">
      <c r="A568" t="s">
        <v>151</v>
      </c>
      <c r="B568" t="s">
        <v>165</v>
      </c>
      <c r="C568" t="s">
        <v>269</v>
      </c>
      <c r="D568" t="s">
        <v>282</v>
      </c>
      <c r="E568">
        <v>44.403231784421997</v>
      </c>
      <c r="F568">
        <v>2.0981256535768784</v>
      </c>
      <c r="G568">
        <v>93.16355970861602</v>
      </c>
      <c r="H568">
        <v>9.316355970861602E-2</v>
      </c>
      <c r="I568">
        <v>1863.2711941723205</v>
      </c>
      <c r="J568">
        <v>1.8632711941723206</v>
      </c>
      <c r="K568">
        <v>16</v>
      </c>
    </row>
    <row r="569" spans="1:11" x14ac:dyDescent="0.25">
      <c r="A569" t="s">
        <v>151</v>
      </c>
      <c r="B569" t="s">
        <v>206</v>
      </c>
      <c r="C569" t="s">
        <v>269</v>
      </c>
      <c r="D569" t="s">
        <v>192</v>
      </c>
      <c r="E569">
        <v>841.81126924633304</v>
      </c>
      <c r="F569">
        <v>2.5434044999999999E-2</v>
      </c>
      <c r="G569">
        <v>21.410665703518351</v>
      </c>
      <c r="H569">
        <v>2.141066570351835E-2</v>
      </c>
      <c r="I569">
        <v>428.21331407036701</v>
      </c>
      <c r="J569">
        <v>0.428213314070367</v>
      </c>
      <c r="K569">
        <v>16</v>
      </c>
    </row>
    <row r="570" spans="1:11" x14ac:dyDescent="0.25">
      <c r="A570" t="s">
        <v>151</v>
      </c>
      <c r="B570" t="s">
        <v>207</v>
      </c>
      <c r="C570" t="s">
        <v>269</v>
      </c>
      <c r="D570" t="s">
        <v>192</v>
      </c>
      <c r="E570">
        <v>7997.2070578401699</v>
      </c>
      <c r="F570">
        <v>2.4981571052631574E-2</v>
      </c>
      <c r="G570">
        <v>199.7827963380409</v>
      </c>
      <c r="H570">
        <v>0.19978279633804089</v>
      </c>
      <c r="I570">
        <v>3995.6559267608181</v>
      </c>
      <c r="J570">
        <v>3.995655926760818</v>
      </c>
      <c r="K570">
        <v>16</v>
      </c>
    </row>
    <row r="571" spans="1:11" x14ac:dyDescent="0.25">
      <c r="A571" t="s">
        <v>151</v>
      </c>
      <c r="B571" t="s">
        <v>208</v>
      </c>
      <c r="C571" t="s">
        <v>269</v>
      </c>
      <c r="D571" t="s">
        <v>192</v>
      </c>
      <c r="E571">
        <v>1262.7169038694999</v>
      </c>
      <c r="F571">
        <v>1.8703074133333334E-2</v>
      </c>
      <c r="G571">
        <v>23.616687862484397</v>
      </c>
      <c r="H571">
        <v>2.3616687862484397E-2</v>
      </c>
      <c r="I571">
        <v>472.33375724968795</v>
      </c>
      <c r="J571">
        <v>0.47233375724968796</v>
      </c>
      <c r="K571">
        <v>16</v>
      </c>
    </row>
    <row r="572" spans="1:11" x14ac:dyDescent="0.25">
      <c r="A572" t="s">
        <v>151</v>
      </c>
      <c r="B572" t="s">
        <v>209</v>
      </c>
      <c r="C572" t="s">
        <v>269</v>
      </c>
      <c r="D572" t="s">
        <v>192</v>
      </c>
      <c r="E572">
        <v>3367.2450769853299</v>
      </c>
      <c r="F572">
        <v>2.39046885E-2</v>
      </c>
      <c r="G572">
        <v>80.492944668492825</v>
      </c>
      <c r="H572">
        <v>8.0492944668492827E-2</v>
      </c>
      <c r="I572">
        <v>1609.8588933698566</v>
      </c>
      <c r="J572">
        <v>1.6098588933698565</v>
      </c>
      <c r="K572">
        <v>16</v>
      </c>
    </row>
    <row r="573" spans="1:11" x14ac:dyDescent="0.25">
      <c r="A573" t="s">
        <v>151</v>
      </c>
      <c r="B573" t="s">
        <v>153</v>
      </c>
      <c r="C573" t="s">
        <v>269</v>
      </c>
      <c r="D573" t="s">
        <v>284</v>
      </c>
      <c r="E573">
        <v>69.071693886878606</v>
      </c>
      <c r="F573">
        <v>5.7741021930152252</v>
      </c>
      <c r="G573">
        <v>398.82701914750209</v>
      </c>
      <c r="H573">
        <v>0.39882701914750207</v>
      </c>
      <c r="I573">
        <v>7976.5403829500419</v>
      </c>
      <c r="J573">
        <v>7.9765403829500423</v>
      </c>
      <c r="K573">
        <v>16</v>
      </c>
    </row>
    <row r="574" spans="1:11" x14ac:dyDescent="0.25">
      <c r="A574" t="s">
        <v>151</v>
      </c>
      <c r="B574" t="s">
        <v>210</v>
      </c>
      <c r="C574" t="s">
        <v>269</v>
      </c>
      <c r="D574" t="s">
        <v>192</v>
      </c>
      <c r="E574">
        <v>7997.2070578401699</v>
      </c>
      <c r="F574">
        <v>1.7745948947368424E-2</v>
      </c>
      <c r="G574">
        <v>141.91802816996611</v>
      </c>
      <c r="H574">
        <v>0.1419180281699661</v>
      </c>
      <c r="I574">
        <v>2838.360563399322</v>
      </c>
      <c r="J574">
        <v>2.8383605633993221</v>
      </c>
      <c r="K574">
        <v>16</v>
      </c>
    </row>
    <row r="575" spans="1:11" x14ac:dyDescent="0.25">
      <c r="A575" t="s">
        <v>151</v>
      </c>
      <c r="B575" t="s">
        <v>211</v>
      </c>
      <c r="C575" t="s">
        <v>269</v>
      </c>
      <c r="D575" t="s">
        <v>192</v>
      </c>
      <c r="E575">
        <v>420.90563462316697</v>
      </c>
      <c r="F575">
        <v>2.1415892117954801E-2</v>
      </c>
      <c r="G575">
        <v>9.0140696629290442</v>
      </c>
      <c r="H575">
        <v>9.0140696629290445E-3</v>
      </c>
      <c r="I575">
        <v>180.28139325858089</v>
      </c>
      <c r="J575">
        <v>0.18028139325858089</v>
      </c>
      <c r="K575">
        <v>16</v>
      </c>
    </row>
    <row r="576" spans="1:11" x14ac:dyDescent="0.25">
      <c r="A576" t="s">
        <v>152</v>
      </c>
      <c r="B576" t="s">
        <v>191</v>
      </c>
      <c r="C576" t="s">
        <v>270</v>
      </c>
      <c r="D576" t="s">
        <v>192</v>
      </c>
      <c r="E576">
        <v>714.42811736726696</v>
      </c>
      <c r="F576">
        <v>1.1385277499999999E-2</v>
      </c>
      <c r="G576">
        <v>8.1339623700289039</v>
      </c>
      <c r="H576">
        <v>8.1339623700289031E-3</v>
      </c>
      <c r="I576">
        <v>162.67924740057808</v>
      </c>
      <c r="J576">
        <v>0.16267924740057807</v>
      </c>
      <c r="K576">
        <v>11</v>
      </c>
    </row>
    <row r="577" spans="1:11" x14ac:dyDescent="0.25">
      <c r="A577" t="s">
        <v>152</v>
      </c>
      <c r="B577" t="s">
        <v>193</v>
      </c>
      <c r="C577" t="s">
        <v>270</v>
      </c>
      <c r="D577" t="s">
        <v>192</v>
      </c>
      <c r="E577">
        <v>267.91054401272498</v>
      </c>
      <c r="F577">
        <v>2.3523970613</v>
      </c>
      <c r="G577">
        <v>630.23197642681862</v>
      </c>
      <c r="H577">
        <v>0.63023197642681861</v>
      </c>
      <c r="I577">
        <v>12604.639528536372</v>
      </c>
      <c r="J577">
        <v>12.604639528536373</v>
      </c>
      <c r="K577">
        <v>11</v>
      </c>
    </row>
    <row r="578" spans="1:11" x14ac:dyDescent="0.25">
      <c r="A578" t="s">
        <v>152</v>
      </c>
      <c r="B578" t="s">
        <v>172</v>
      </c>
      <c r="C578" t="s">
        <v>270</v>
      </c>
      <c r="D578" t="s">
        <v>281</v>
      </c>
      <c r="E578">
        <v>1598.9581674410299</v>
      </c>
      <c r="F578">
        <v>0.92063424082422285</v>
      </c>
      <c r="G578">
        <v>1472.0556385917632</v>
      </c>
      <c r="H578">
        <v>1.4720556385917631</v>
      </c>
      <c r="I578">
        <v>29441.112771835265</v>
      </c>
      <c r="J578">
        <v>29.441112771835265</v>
      </c>
      <c r="K578">
        <v>11</v>
      </c>
    </row>
    <row r="579" spans="1:11" x14ac:dyDescent="0.25">
      <c r="A579" t="s">
        <v>152</v>
      </c>
      <c r="B579" t="s">
        <v>157</v>
      </c>
      <c r="C579" t="s">
        <v>270</v>
      </c>
      <c r="D579" t="s">
        <v>282</v>
      </c>
      <c r="E579">
        <v>0.53156853970778795</v>
      </c>
      <c r="F579">
        <v>70.050110863607202</v>
      </c>
      <c r="G579">
        <v>37.236435138136329</v>
      </c>
      <c r="H579">
        <v>3.7236435138136327E-2</v>
      </c>
      <c r="I579">
        <v>744.72870276272658</v>
      </c>
      <c r="J579">
        <v>0.74472870276272662</v>
      </c>
      <c r="K579">
        <v>11</v>
      </c>
    </row>
    <row r="580" spans="1:11" x14ac:dyDescent="0.25">
      <c r="A580" t="s">
        <v>152</v>
      </c>
      <c r="B580" t="s">
        <v>171</v>
      </c>
      <c r="C580" t="s">
        <v>270</v>
      </c>
      <c r="D580" t="s">
        <v>282</v>
      </c>
      <c r="E580">
        <v>87.708809051784996</v>
      </c>
      <c r="F580">
        <v>2.4803311648951794</v>
      </c>
      <c r="G580">
        <v>217.54689252698273</v>
      </c>
      <c r="H580">
        <v>0.21754689252698273</v>
      </c>
      <c r="I580">
        <v>4350.9378505396544</v>
      </c>
      <c r="J580">
        <v>4.3509378505396548</v>
      </c>
      <c r="K580">
        <v>11</v>
      </c>
    </row>
    <row r="581" spans="1:11" x14ac:dyDescent="0.25">
      <c r="A581" t="s">
        <v>152</v>
      </c>
      <c r="B581" t="s">
        <v>194</v>
      </c>
      <c r="C581" t="s">
        <v>270</v>
      </c>
      <c r="D581" t="s">
        <v>192</v>
      </c>
      <c r="E581">
        <v>714.42811736726696</v>
      </c>
      <c r="F581">
        <v>1.3593217500000001E-2</v>
      </c>
      <c r="G581">
        <v>9.7113767874887884</v>
      </c>
      <c r="H581">
        <v>9.7113767874887885E-3</v>
      </c>
      <c r="I581">
        <v>194.22753574977577</v>
      </c>
      <c r="J581">
        <v>0.19422753574977578</v>
      </c>
      <c r="K581">
        <v>11</v>
      </c>
    </row>
    <row r="582" spans="1:11" x14ac:dyDescent="0.25">
      <c r="A582" t="s">
        <v>152</v>
      </c>
      <c r="B582" t="s">
        <v>195</v>
      </c>
      <c r="C582" t="s">
        <v>270</v>
      </c>
      <c r="D582" t="s">
        <v>192</v>
      </c>
      <c r="E582">
        <v>24915.680593183399</v>
      </c>
      <c r="F582">
        <v>1.99328766E-2</v>
      </c>
      <c r="G582">
        <v>496.6411866689395</v>
      </c>
      <c r="H582">
        <v>0.49664118666893947</v>
      </c>
      <c r="I582">
        <v>9932.8237333787893</v>
      </c>
      <c r="J582">
        <v>9.9328237333787897</v>
      </c>
      <c r="K582">
        <v>11</v>
      </c>
    </row>
    <row r="583" spans="1:11" x14ac:dyDescent="0.25">
      <c r="A583" t="s">
        <v>152</v>
      </c>
      <c r="B583" t="s">
        <v>196</v>
      </c>
      <c r="C583" t="s">
        <v>270</v>
      </c>
      <c r="D583" t="s">
        <v>197</v>
      </c>
      <c r="E583">
        <v>535.82108802544997</v>
      </c>
      <c r="F583">
        <v>8.9234171616680416E-2</v>
      </c>
      <c r="G583">
        <v>47.813550924699427</v>
      </c>
      <c r="H583">
        <v>4.7813550924699424E-2</v>
      </c>
      <c r="I583">
        <v>956.27101849398855</v>
      </c>
      <c r="J583">
        <v>0.95627101849398854</v>
      </c>
      <c r="K583">
        <v>11</v>
      </c>
    </row>
    <row r="584" spans="1:11" x14ac:dyDescent="0.25">
      <c r="A584" t="s">
        <v>152</v>
      </c>
      <c r="B584" t="s">
        <v>173</v>
      </c>
      <c r="C584" t="s">
        <v>270</v>
      </c>
      <c r="D584" t="s">
        <v>285</v>
      </c>
      <c r="E584">
        <v>181.442061553592</v>
      </c>
      <c r="F584">
        <v>0.66568845445389746</v>
      </c>
      <c r="G584">
        <v>120.78388552853959</v>
      </c>
      <c r="H584">
        <v>0.12078388552853958</v>
      </c>
      <c r="I584">
        <v>2415.6777105707915</v>
      </c>
      <c r="J584">
        <v>2.4156777105707916</v>
      </c>
      <c r="K584">
        <v>11</v>
      </c>
    </row>
    <row r="585" spans="1:11" x14ac:dyDescent="0.25">
      <c r="A585" t="s">
        <v>152</v>
      </c>
      <c r="B585" t="s">
        <v>170</v>
      </c>
      <c r="C585" t="s">
        <v>270</v>
      </c>
      <c r="D585" t="s">
        <v>283</v>
      </c>
      <c r="E585">
        <v>340.20386541298399</v>
      </c>
      <c r="F585">
        <v>2.5268476683632146</v>
      </c>
      <c r="G585">
        <v>859.64334408695152</v>
      </c>
      <c r="H585">
        <v>0.85964334408695153</v>
      </c>
      <c r="I585">
        <v>17192.866881739032</v>
      </c>
      <c r="J585">
        <v>17.192866881739032</v>
      </c>
      <c r="K585">
        <v>11</v>
      </c>
    </row>
    <row r="586" spans="1:11" x14ac:dyDescent="0.25">
      <c r="A586" t="s">
        <v>152</v>
      </c>
      <c r="B586" t="s">
        <v>167</v>
      </c>
      <c r="C586" t="s">
        <v>270</v>
      </c>
      <c r="D586" t="s">
        <v>284</v>
      </c>
      <c r="E586">
        <v>45.3605153883979</v>
      </c>
      <c r="F586">
        <v>3.0095337103059161</v>
      </c>
      <c r="G586">
        <v>136.51400017823374</v>
      </c>
      <c r="H586">
        <v>0.13651400017823373</v>
      </c>
      <c r="I586">
        <v>2730.2800035646751</v>
      </c>
      <c r="J586">
        <v>2.7302800035646753</v>
      </c>
      <c r="K586">
        <v>11</v>
      </c>
    </row>
    <row r="587" spans="1:11" x14ac:dyDescent="0.25">
      <c r="A587" t="s">
        <v>152</v>
      </c>
      <c r="B587" t="s">
        <v>174</v>
      </c>
      <c r="C587" t="s">
        <v>270</v>
      </c>
      <c r="D587" t="s">
        <v>281</v>
      </c>
      <c r="E587">
        <v>5.6700644235497402</v>
      </c>
      <c r="F587">
        <v>0.47141687387345099</v>
      </c>
      <c r="G587">
        <v>2.6729640452108896</v>
      </c>
      <c r="H587">
        <v>2.6729640452108896E-3</v>
      </c>
      <c r="I587">
        <v>53.459280904217792</v>
      </c>
      <c r="J587">
        <v>5.3459280904217789E-2</v>
      </c>
      <c r="K587">
        <v>11</v>
      </c>
    </row>
    <row r="588" spans="1:11" x14ac:dyDescent="0.25">
      <c r="A588" t="s">
        <v>152</v>
      </c>
      <c r="B588" t="s">
        <v>166</v>
      </c>
      <c r="C588" t="s">
        <v>270</v>
      </c>
      <c r="D588" t="s">
        <v>285</v>
      </c>
      <c r="E588">
        <v>79.380901929696293</v>
      </c>
      <c r="F588">
        <v>3.2873576511449465</v>
      </c>
      <c r="G588">
        <v>260.95341531337374</v>
      </c>
      <c r="H588">
        <v>0.26095341531337374</v>
      </c>
      <c r="I588">
        <v>5219.0683062674743</v>
      </c>
      <c r="J588">
        <v>5.2190683062674745</v>
      </c>
      <c r="K588">
        <v>11</v>
      </c>
    </row>
    <row r="589" spans="1:11" x14ac:dyDescent="0.25">
      <c r="A589" t="s">
        <v>152</v>
      </c>
      <c r="B589" t="s">
        <v>198</v>
      </c>
      <c r="C589" t="s">
        <v>270</v>
      </c>
      <c r="D589" t="s">
        <v>290</v>
      </c>
      <c r="E589">
        <v>8305.2268643944808</v>
      </c>
      <c r="F589">
        <v>0.17119940700552502</v>
      </c>
      <c r="G589">
        <v>1421.8499142306912</v>
      </c>
      <c r="H589">
        <v>1.4218499142306913</v>
      </c>
      <c r="I589">
        <v>28436.998284613823</v>
      </c>
      <c r="J589">
        <v>28.436998284613821</v>
      </c>
      <c r="K589">
        <v>11</v>
      </c>
    </row>
    <row r="590" spans="1:11" x14ac:dyDescent="0.25">
      <c r="A590" t="s">
        <v>152</v>
      </c>
      <c r="B590" t="s">
        <v>175</v>
      </c>
      <c r="C590" t="s">
        <v>270</v>
      </c>
      <c r="D590" t="s">
        <v>284</v>
      </c>
      <c r="E590">
        <v>5.6700644235497402</v>
      </c>
      <c r="F590">
        <v>4.1546417175615202</v>
      </c>
      <c r="G590">
        <v>23.557086195341164</v>
      </c>
      <c r="H590">
        <v>2.3557086195341165E-2</v>
      </c>
      <c r="I590">
        <v>471.14172390682324</v>
      </c>
      <c r="J590">
        <v>0.47114172390682324</v>
      </c>
      <c r="K590">
        <v>11</v>
      </c>
    </row>
    <row r="591" spans="1:11" x14ac:dyDescent="0.25">
      <c r="A591" t="s">
        <v>152</v>
      </c>
      <c r="B591" t="s">
        <v>164</v>
      </c>
      <c r="C591" t="s">
        <v>270</v>
      </c>
      <c r="D591" t="s">
        <v>281</v>
      </c>
      <c r="E591">
        <v>73.710837506146603</v>
      </c>
      <c r="F591">
        <v>1.5368142788840173</v>
      </c>
      <c r="G591">
        <v>113.27986758794567</v>
      </c>
      <c r="H591">
        <v>0.11327986758794567</v>
      </c>
      <c r="I591">
        <v>2265.5973517589136</v>
      </c>
      <c r="J591">
        <v>2.2655973517589136</v>
      </c>
      <c r="K591">
        <v>11</v>
      </c>
    </row>
    <row r="592" spans="1:11" x14ac:dyDescent="0.25">
      <c r="A592" t="s">
        <v>152</v>
      </c>
      <c r="B592" t="s">
        <v>200</v>
      </c>
      <c r="C592" t="s">
        <v>270</v>
      </c>
      <c r="D592" t="s">
        <v>192</v>
      </c>
      <c r="E592">
        <v>4554.4792482163302</v>
      </c>
      <c r="F592">
        <v>1.5125725000000001E-2</v>
      </c>
      <c r="G592">
        <v>68.889800626726952</v>
      </c>
      <c r="H592">
        <v>6.8889800626726949E-2</v>
      </c>
      <c r="I592">
        <v>1377.7960125345389</v>
      </c>
      <c r="J592">
        <v>1.377796012534539</v>
      </c>
      <c r="K592">
        <v>11</v>
      </c>
    </row>
    <row r="593" spans="1:11" x14ac:dyDescent="0.25">
      <c r="A593" t="s">
        <v>152</v>
      </c>
      <c r="B593" t="s">
        <v>177</v>
      </c>
      <c r="C593" t="s">
        <v>270</v>
      </c>
      <c r="D593" t="s">
        <v>285</v>
      </c>
      <c r="E593">
        <v>22.6802576941989</v>
      </c>
      <c r="F593">
        <v>0.1993257050934005</v>
      </c>
      <c r="G593">
        <v>4.5207583565962173</v>
      </c>
      <c r="H593">
        <v>4.5207583565962176E-3</v>
      </c>
      <c r="I593">
        <v>90.415167131924349</v>
      </c>
      <c r="J593">
        <v>9.0415167131924351E-2</v>
      </c>
      <c r="K593">
        <v>11</v>
      </c>
    </row>
    <row r="594" spans="1:11" x14ac:dyDescent="0.25">
      <c r="A594" t="s">
        <v>152</v>
      </c>
      <c r="B594" t="s">
        <v>184</v>
      </c>
      <c r="C594" t="s">
        <v>270</v>
      </c>
      <c r="D594" t="s">
        <v>285</v>
      </c>
      <c r="E594">
        <v>22.6802576941989</v>
      </c>
      <c r="F594">
        <v>1.148718971204397</v>
      </c>
      <c r="G594">
        <v>26.053242285130771</v>
      </c>
      <c r="H594">
        <v>2.605324228513077E-2</v>
      </c>
      <c r="I594">
        <v>521.06484570261546</v>
      </c>
      <c r="J594">
        <v>0.52106484570261546</v>
      </c>
      <c r="K594">
        <v>11</v>
      </c>
    </row>
    <row r="595" spans="1:11" x14ac:dyDescent="0.25">
      <c r="A595" t="s">
        <v>152</v>
      </c>
      <c r="B595" t="s">
        <v>163</v>
      </c>
      <c r="C595" t="s">
        <v>270</v>
      </c>
      <c r="D595" t="s">
        <v>281</v>
      </c>
      <c r="E595">
        <v>1224.73391548674</v>
      </c>
      <c r="F595">
        <v>1.5874181420088982</v>
      </c>
      <c r="G595">
        <v>1944.1648365772437</v>
      </c>
      <c r="H595">
        <v>1.9441648365772437</v>
      </c>
      <c r="I595">
        <v>38883.296731544877</v>
      </c>
      <c r="J595">
        <v>38.883296731544874</v>
      </c>
      <c r="K595">
        <v>11</v>
      </c>
    </row>
    <row r="596" spans="1:11" x14ac:dyDescent="0.25">
      <c r="A596" t="s">
        <v>152</v>
      </c>
      <c r="B596" t="s">
        <v>201</v>
      </c>
      <c r="C596" t="s">
        <v>270</v>
      </c>
      <c r="D596" t="s">
        <v>192</v>
      </c>
      <c r="E596">
        <v>4733.08627755814</v>
      </c>
      <c r="F596">
        <v>1.0675521527999996E-2</v>
      </c>
      <c r="G596">
        <v>50.528164449953287</v>
      </c>
      <c r="H596">
        <v>5.052816444995329E-2</v>
      </c>
      <c r="I596">
        <v>1010.5632889990658</v>
      </c>
      <c r="J596">
        <v>1.0105632889990657</v>
      </c>
      <c r="K596">
        <v>11</v>
      </c>
    </row>
    <row r="597" spans="1:11" x14ac:dyDescent="0.25">
      <c r="A597" t="s">
        <v>152</v>
      </c>
      <c r="B597" t="s">
        <v>202</v>
      </c>
      <c r="C597" t="s">
        <v>270</v>
      </c>
      <c r="D597" t="s">
        <v>192</v>
      </c>
      <c r="E597">
        <v>3304.2300428236099</v>
      </c>
      <c r="F597">
        <v>2.1713995999999998E-3</v>
      </c>
      <c r="G597">
        <v>7.1748037932951689</v>
      </c>
      <c r="H597">
        <v>7.1748037932951687E-3</v>
      </c>
      <c r="I597">
        <v>143.49607586590338</v>
      </c>
      <c r="J597">
        <v>0.14349607586590338</v>
      </c>
      <c r="K597">
        <v>11</v>
      </c>
    </row>
    <row r="598" spans="1:11" x14ac:dyDescent="0.25">
      <c r="A598" t="s">
        <v>152</v>
      </c>
      <c r="B598" t="s">
        <v>204</v>
      </c>
      <c r="C598" t="s">
        <v>270</v>
      </c>
      <c r="D598" t="s">
        <v>192</v>
      </c>
      <c r="E598">
        <v>1160.94569072181</v>
      </c>
      <c r="F598">
        <v>4.4043144615384614E-3</v>
      </c>
      <c r="G598">
        <v>5.113169894706826</v>
      </c>
      <c r="H598">
        <v>5.1131698947068259E-3</v>
      </c>
      <c r="I598">
        <v>102.26339789413652</v>
      </c>
      <c r="J598">
        <v>0.10226339789413652</v>
      </c>
      <c r="K598">
        <v>11</v>
      </c>
    </row>
    <row r="599" spans="1:11" x14ac:dyDescent="0.25">
      <c r="A599" t="s">
        <v>152</v>
      </c>
      <c r="B599" t="s">
        <v>161</v>
      </c>
      <c r="C599" t="s">
        <v>270</v>
      </c>
      <c r="D599" t="s">
        <v>284</v>
      </c>
      <c r="E599">
        <v>56.7006442354974</v>
      </c>
      <c r="F599">
        <v>5.3394104401772022</v>
      </c>
      <c r="G599">
        <v>302.7480117957881</v>
      </c>
      <c r="H599">
        <v>0.30274801179578809</v>
      </c>
      <c r="I599">
        <v>6054.9602359157616</v>
      </c>
      <c r="J599">
        <v>6.0549602359157619</v>
      </c>
      <c r="K599">
        <v>11</v>
      </c>
    </row>
    <row r="600" spans="1:11" x14ac:dyDescent="0.25">
      <c r="A600" t="s">
        <v>152</v>
      </c>
      <c r="B600" t="s">
        <v>165</v>
      </c>
      <c r="C600" t="s">
        <v>270</v>
      </c>
      <c r="D600" t="s">
        <v>282</v>
      </c>
      <c r="E600">
        <v>24.300276100927402</v>
      </c>
      <c r="F600">
        <v>8.5107870722954129</v>
      </c>
      <c r="G600">
        <v>206.81447569298211</v>
      </c>
      <c r="H600">
        <v>0.20681447569298211</v>
      </c>
      <c r="I600">
        <v>4136.2895138596423</v>
      </c>
      <c r="J600">
        <v>4.1362895138596425</v>
      </c>
      <c r="K600">
        <v>11</v>
      </c>
    </row>
    <row r="601" spans="1:11" x14ac:dyDescent="0.25">
      <c r="A601" t="s">
        <v>152</v>
      </c>
      <c r="B601" t="s">
        <v>212</v>
      </c>
      <c r="C601" t="s">
        <v>270</v>
      </c>
      <c r="D601" t="s">
        <v>192</v>
      </c>
      <c r="E601">
        <v>357.21405868363303</v>
      </c>
      <c r="F601">
        <v>0.39776791750000001</v>
      </c>
      <c r="G601">
        <v>142.08829222431152</v>
      </c>
      <c r="H601">
        <v>0.14208829222431152</v>
      </c>
      <c r="I601">
        <v>2841.7658444862304</v>
      </c>
      <c r="J601">
        <v>2.8417658444862304</v>
      </c>
      <c r="K601">
        <v>11</v>
      </c>
    </row>
    <row r="602" spans="1:11" x14ac:dyDescent="0.25">
      <c r="A602" t="s">
        <v>152</v>
      </c>
      <c r="B602" t="s">
        <v>207</v>
      </c>
      <c r="C602" t="s">
        <v>270</v>
      </c>
      <c r="D602" t="s">
        <v>192</v>
      </c>
      <c r="E602">
        <v>357.21405868363303</v>
      </c>
      <c r="F602">
        <v>4.3184677499999997E-2</v>
      </c>
      <c r="G602">
        <v>15.426173922718766</v>
      </c>
      <c r="H602">
        <v>1.5426173922718766E-2</v>
      </c>
      <c r="I602">
        <v>308.52347845437532</v>
      </c>
      <c r="J602">
        <v>0.30852347845437533</v>
      </c>
      <c r="K602">
        <v>11</v>
      </c>
    </row>
    <row r="603" spans="1:11" x14ac:dyDescent="0.25">
      <c r="A603" t="s">
        <v>152</v>
      </c>
      <c r="B603" t="s">
        <v>209</v>
      </c>
      <c r="C603" t="s">
        <v>270</v>
      </c>
      <c r="D603" t="s">
        <v>192</v>
      </c>
      <c r="E603">
        <v>2143.2843521017999</v>
      </c>
      <c r="F603">
        <v>3.0161078639999998E-2</v>
      </c>
      <c r="G603">
        <v>64.643767891623838</v>
      </c>
      <c r="H603">
        <v>6.4643767891623835E-2</v>
      </c>
      <c r="I603">
        <v>1292.8753578324768</v>
      </c>
      <c r="J603">
        <v>1.2928753578324768</v>
      </c>
      <c r="K603">
        <v>11</v>
      </c>
    </row>
    <row r="604" spans="1:11" x14ac:dyDescent="0.25">
      <c r="A604" t="s">
        <v>152</v>
      </c>
      <c r="B604" t="s">
        <v>213</v>
      </c>
      <c r="C604" t="s">
        <v>270</v>
      </c>
      <c r="D604" t="s">
        <v>192</v>
      </c>
      <c r="E604">
        <v>89.303514670908399</v>
      </c>
      <c r="F604">
        <v>1.40612164E-2</v>
      </c>
      <c r="G604">
        <v>1.2557160450682177</v>
      </c>
      <c r="H604">
        <v>1.2557160450682176E-3</v>
      </c>
      <c r="I604">
        <v>25.114320901364351</v>
      </c>
      <c r="J604">
        <v>2.511432090136435E-2</v>
      </c>
      <c r="K604">
        <v>11</v>
      </c>
    </row>
    <row r="605" spans="1:11" x14ac:dyDescent="0.25">
      <c r="A605" t="s">
        <v>152</v>
      </c>
      <c r="B605" t="s">
        <v>178</v>
      </c>
      <c r="C605" t="s">
        <v>270</v>
      </c>
      <c r="D605" t="s">
        <v>282</v>
      </c>
      <c r="E605">
        <v>799.47908372051302</v>
      </c>
      <c r="F605">
        <v>3.9142739955386938</v>
      </c>
      <c r="G605">
        <v>3129.3801873843063</v>
      </c>
      <c r="H605">
        <v>3.1293801873843061</v>
      </c>
      <c r="I605">
        <v>62587.603747686124</v>
      </c>
      <c r="J605">
        <v>62.587603747686124</v>
      </c>
      <c r="K605">
        <v>11</v>
      </c>
    </row>
    <row r="606" spans="1:11" x14ac:dyDescent="0.25">
      <c r="A606" t="s">
        <v>152</v>
      </c>
      <c r="B606" t="s">
        <v>153</v>
      </c>
      <c r="C606" t="s">
        <v>270</v>
      </c>
      <c r="D606" t="s">
        <v>284</v>
      </c>
      <c r="E606">
        <v>22.6802576941989</v>
      </c>
      <c r="F606">
        <v>6.98840977594128</v>
      </c>
      <c r="G606">
        <v>158.49893459100701</v>
      </c>
      <c r="H606">
        <v>0.158498934591007</v>
      </c>
      <c r="I606">
        <v>3169.9786918201403</v>
      </c>
      <c r="J606">
        <v>3.1699786918201402</v>
      </c>
      <c r="K606">
        <v>11</v>
      </c>
    </row>
    <row r="607" spans="1:11" x14ac:dyDescent="0.25">
      <c r="A607" t="s">
        <v>152</v>
      </c>
      <c r="B607" t="s">
        <v>185</v>
      </c>
      <c r="C607" t="s">
        <v>270</v>
      </c>
      <c r="D607" t="s">
        <v>284</v>
      </c>
      <c r="E607">
        <v>5.6700644235497402</v>
      </c>
      <c r="F607">
        <v>5.8429505449105203</v>
      </c>
      <c r="G607">
        <v>33.12990601325771</v>
      </c>
      <c r="H607">
        <v>3.3129906013257708E-2</v>
      </c>
      <c r="I607">
        <v>662.59812026515419</v>
      </c>
      <c r="J607">
        <v>0.66259812026515419</v>
      </c>
      <c r="K607">
        <v>11</v>
      </c>
    </row>
    <row r="608" spans="1:11" x14ac:dyDescent="0.25">
      <c r="A608" t="s">
        <v>152</v>
      </c>
      <c r="B608" t="s">
        <v>210</v>
      </c>
      <c r="C608" t="s">
        <v>270</v>
      </c>
      <c r="D608" t="s">
        <v>192</v>
      </c>
      <c r="E608">
        <v>3572.1405868363299</v>
      </c>
      <c r="F608">
        <v>2.1077907E-2</v>
      </c>
      <c r="G608">
        <v>75.29324708026158</v>
      </c>
      <c r="H608">
        <v>7.5293247080261583E-2</v>
      </c>
      <c r="I608">
        <v>1505.8649416052317</v>
      </c>
      <c r="J608">
        <v>1.5058649416052317</v>
      </c>
      <c r="K608">
        <v>11</v>
      </c>
    </row>
    <row r="609" spans="1:11" x14ac:dyDescent="0.25">
      <c r="A609" t="s">
        <v>152</v>
      </c>
      <c r="B609" t="s">
        <v>211</v>
      </c>
      <c r="C609" t="s">
        <v>270</v>
      </c>
      <c r="D609" t="s">
        <v>192</v>
      </c>
      <c r="E609">
        <v>89.303514670908399</v>
      </c>
      <c r="F609">
        <v>0.27828537800237801</v>
      </c>
      <c r="G609">
        <v>24.851862337134655</v>
      </c>
      <c r="H609">
        <v>2.4851862337134656E-2</v>
      </c>
      <c r="I609">
        <v>497.03724674269313</v>
      </c>
      <c r="J609">
        <v>0.49703724674269312</v>
      </c>
      <c r="K609">
        <v>11</v>
      </c>
    </row>
    <row r="610" spans="1:11" x14ac:dyDescent="0.25">
      <c r="A610" t="s">
        <v>152</v>
      </c>
      <c r="B610" t="s">
        <v>214</v>
      </c>
      <c r="C610" t="s">
        <v>270</v>
      </c>
      <c r="D610" t="s">
        <v>192</v>
      </c>
      <c r="E610">
        <v>178.607029341817</v>
      </c>
      <c r="F610">
        <v>7.2859101477162805E-2</v>
      </c>
      <c r="G610">
        <v>13.013147675350039</v>
      </c>
      <c r="H610">
        <v>1.3013147675350039E-2</v>
      </c>
      <c r="I610">
        <v>260.26295350700076</v>
      </c>
      <c r="J610">
        <v>0.26026295350700074</v>
      </c>
      <c r="K610">
        <v>11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598C-03EE-4E6C-A427-4EDB0ECD5A8A}">
  <dimension ref="A1:U26"/>
  <sheetViews>
    <sheetView workbookViewId="0">
      <selection activeCell="F7" sqref="F7"/>
    </sheetView>
  </sheetViews>
  <sheetFormatPr defaultRowHeight="15.75" x14ac:dyDescent="0.25"/>
  <cols>
    <col min="1" max="1" width="10.5" customWidth="1"/>
    <col min="2" max="2" width="12.25" customWidth="1"/>
    <col min="7" max="7" width="11.625" customWidth="1"/>
    <col min="8" max="8" width="14" customWidth="1"/>
  </cols>
  <sheetData>
    <row r="1" spans="1:21" x14ac:dyDescent="0.25">
      <c r="A1" s="1" t="s">
        <v>314</v>
      </c>
      <c r="B1" s="1" t="s">
        <v>244</v>
      </c>
      <c r="C1" s="1" t="s">
        <v>280</v>
      </c>
      <c r="D1" s="1" t="s">
        <v>273</v>
      </c>
      <c r="E1" s="1" t="s">
        <v>335</v>
      </c>
      <c r="F1" s="1" t="s">
        <v>279</v>
      </c>
      <c r="G1" s="1" t="s">
        <v>315</v>
      </c>
      <c r="H1" s="1" t="s">
        <v>316</v>
      </c>
      <c r="I1" s="1" t="s">
        <v>252</v>
      </c>
      <c r="J1" s="1" t="s">
        <v>253</v>
      </c>
      <c r="K1" s="1" t="s">
        <v>311</v>
      </c>
      <c r="L1" s="1" t="s">
        <v>310</v>
      </c>
      <c r="M1" s="1" t="s">
        <v>313</v>
      </c>
      <c r="N1" s="2" t="s">
        <v>312</v>
      </c>
      <c r="O1" s="19" t="s">
        <v>254</v>
      </c>
      <c r="P1" s="2" t="s">
        <v>255</v>
      </c>
      <c r="Q1" s="2" t="s">
        <v>256</v>
      </c>
      <c r="R1" s="2" t="s">
        <v>257</v>
      </c>
      <c r="S1" s="1" t="s">
        <v>317</v>
      </c>
      <c r="T1" s="2"/>
      <c r="U1" s="1"/>
    </row>
    <row r="2" spans="1:21" x14ac:dyDescent="0.25">
      <c r="A2" t="s">
        <v>131</v>
      </c>
      <c r="B2" t="s">
        <v>293</v>
      </c>
      <c r="C2" t="s">
        <v>294</v>
      </c>
      <c r="D2" s="25" t="s">
        <v>271</v>
      </c>
      <c r="E2" t="s">
        <v>248</v>
      </c>
      <c r="F2">
        <v>20</v>
      </c>
      <c r="G2">
        <v>85</v>
      </c>
      <c r="H2">
        <v>0.14299999999999999</v>
      </c>
      <c r="I2" s="26">
        <f>G2*H2*PI()*(0.25)^2</f>
        <v>2.3866286690239957</v>
      </c>
      <c r="J2" s="26">
        <v>0.60775000000000001</v>
      </c>
      <c r="K2" s="25">
        <v>85</v>
      </c>
      <c r="L2">
        <v>8</v>
      </c>
      <c r="M2" s="4">
        <v>45153</v>
      </c>
      <c r="N2" s="5">
        <v>0.72291666666666698</v>
      </c>
      <c r="O2" s="25" t="s">
        <v>277</v>
      </c>
      <c r="P2" s="25">
        <v>51.5</v>
      </c>
      <c r="Q2" s="25">
        <v>43.77256666666667</v>
      </c>
      <c r="R2" s="25">
        <v>-77.441699999999997</v>
      </c>
      <c r="S2" t="s">
        <v>114</v>
      </c>
    </row>
    <row r="3" spans="1:21" x14ac:dyDescent="0.25">
      <c r="A3" t="s">
        <v>131</v>
      </c>
      <c r="B3" t="s">
        <v>295</v>
      </c>
      <c r="C3" t="s">
        <v>296</v>
      </c>
      <c r="D3" s="25" t="s">
        <v>271</v>
      </c>
      <c r="E3" t="s">
        <v>248</v>
      </c>
      <c r="F3">
        <v>20</v>
      </c>
      <c r="G3">
        <v>109</v>
      </c>
      <c r="H3">
        <v>0.14299999999999999</v>
      </c>
      <c r="I3" s="26">
        <f t="shared" ref="I3:I9" si="0">G3*H3*PI()*(0.25)^2</f>
        <v>3.0605002932190062</v>
      </c>
      <c r="J3" s="26">
        <v>0.77934999999999988</v>
      </c>
      <c r="K3" s="25">
        <v>98.5</v>
      </c>
      <c r="L3">
        <v>32</v>
      </c>
      <c r="M3" s="4">
        <v>45153</v>
      </c>
      <c r="N3" s="5">
        <v>0.56666666666666698</v>
      </c>
      <c r="O3" s="25" t="s">
        <v>277</v>
      </c>
      <c r="P3" s="25">
        <v>198</v>
      </c>
      <c r="Q3" s="25">
        <v>43.440100000000001</v>
      </c>
      <c r="R3" s="25">
        <v>-77.439800000000005</v>
      </c>
      <c r="S3" t="s">
        <v>114</v>
      </c>
    </row>
    <row r="4" spans="1:21" x14ac:dyDescent="0.25">
      <c r="A4" t="s">
        <v>131</v>
      </c>
      <c r="B4" t="s">
        <v>297</v>
      </c>
      <c r="C4" t="s">
        <v>298</v>
      </c>
      <c r="D4" s="25" t="s">
        <v>271</v>
      </c>
      <c r="E4" t="s">
        <v>248</v>
      </c>
      <c r="F4">
        <v>20</v>
      </c>
      <c r="G4">
        <v>80</v>
      </c>
      <c r="H4">
        <v>0.14299999999999999</v>
      </c>
      <c r="I4" s="26">
        <f t="shared" si="0"/>
        <v>2.2462387473167018</v>
      </c>
      <c r="J4" s="26">
        <v>0.57199999999999995</v>
      </c>
      <c r="K4" s="25">
        <v>53.5</v>
      </c>
      <c r="L4">
        <v>32</v>
      </c>
      <c r="M4" s="4">
        <v>45153</v>
      </c>
      <c r="N4" s="5">
        <v>0.81666666666666698</v>
      </c>
      <c r="O4" s="25" t="s">
        <v>277</v>
      </c>
      <c r="P4" s="27">
        <v>150</v>
      </c>
      <c r="Q4" s="25">
        <v>43.580416666666665</v>
      </c>
      <c r="R4" s="25">
        <v>-77.199866666666665</v>
      </c>
      <c r="S4" t="s">
        <v>114</v>
      </c>
    </row>
    <row r="5" spans="1:21" x14ac:dyDescent="0.25">
      <c r="A5" t="s">
        <v>131</v>
      </c>
      <c r="B5" t="s">
        <v>299</v>
      </c>
      <c r="C5" t="s">
        <v>300</v>
      </c>
      <c r="D5" s="25" t="s">
        <v>271</v>
      </c>
      <c r="E5" t="s">
        <v>248</v>
      </c>
      <c r="F5">
        <v>20</v>
      </c>
      <c r="G5">
        <v>73</v>
      </c>
      <c r="H5">
        <v>0.14299999999999999</v>
      </c>
      <c r="I5" s="26">
        <f t="shared" si="0"/>
        <v>2.0496928569264905</v>
      </c>
      <c r="J5" s="26">
        <v>0.52194999999999991</v>
      </c>
      <c r="K5" s="25">
        <v>95</v>
      </c>
      <c r="L5">
        <v>32</v>
      </c>
      <c r="M5" s="4">
        <v>45153</v>
      </c>
      <c r="N5" s="5">
        <v>0.99722222222222201</v>
      </c>
      <c r="O5" s="25" t="s">
        <v>276</v>
      </c>
      <c r="P5" s="25">
        <v>88</v>
      </c>
      <c r="Q5" s="25">
        <v>43.731549999999999</v>
      </c>
      <c r="R5" s="25">
        <v>-77.017183333333335</v>
      </c>
      <c r="S5" t="s">
        <v>114</v>
      </c>
    </row>
    <row r="6" spans="1:21" x14ac:dyDescent="0.25">
      <c r="A6" t="s">
        <v>131</v>
      </c>
      <c r="B6" t="s">
        <v>301</v>
      </c>
      <c r="C6" t="s">
        <v>302</v>
      </c>
      <c r="D6" s="25" t="s">
        <v>272</v>
      </c>
      <c r="E6" t="s">
        <v>248</v>
      </c>
      <c r="F6">
        <v>20</v>
      </c>
      <c r="G6">
        <v>66</v>
      </c>
      <c r="H6">
        <v>0.14299999999999999</v>
      </c>
      <c r="I6" s="26">
        <f t="shared" si="0"/>
        <v>1.853146966536279</v>
      </c>
      <c r="J6" s="26">
        <v>0.47189999999999993</v>
      </c>
      <c r="K6" s="25">
        <v>140</v>
      </c>
      <c r="L6">
        <v>32</v>
      </c>
      <c r="M6" s="4">
        <v>45152</v>
      </c>
      <c r="N6" s="5">
        <v>0.33611111111111103</v>
      </c>
      <c r="O6" s="25" t="s">
        <v>276</v>
      </c>
      <c r="P6" s="27">
        <v>106.8</v>
      </c>
      <c r="Q6" s="25">
        <v>43.503983333333331</v>
      </c>
      <c r="R6" s="25">
        <v>-79.353449999999995</v>
      </c>
      <c r="S6" t="s">
        <v>114</v>
      </c>
    </row>
    <row r="7" spans="1:21" x14ac:dyDescent="0.25">
      <c r="A7" t="s">
        <v>131</v>
      </c>
      <c r="B7" t="s">
        <v>303</v>
      </c>
      <c r="C7" t="s">
        <v>304</v>
      </c>
      <c r="D7" s="25" t="s">
        <v>272</v>
      </c>
      <c r="E7" t="s">
        <v>248</v>
      </c>
      <c r="F7">
        <v>20</v>
      </c>
      <c r="G7">
        <v>71</v>
      </c>
      <c r="H7">
        <v>0.14299999999999999</v>
      </c>
      <c r="I7" s="26">
        <f t="shared" si="0"/>
        <v>1.9935368882435729</v>
      </c>
      <c r="J7" s="26">
        <v>0.50764999999999993</v>
      </c>
      <c r="K7" s="25">
        <v>207</v>
      </c>
      <c r="L7">
        <v>32</v>
      </c>
      <c r="M7" s="4">
        <v>45152</v>
      </c>
      <c r="N7" s="5">
        <v>0.54513888888888895</v>
      </c>
      <c r="O7" s="25" t="s">
        <v>277</v>
      </c>
      <c r="P7" s="27">
        <v>137</v>
      </c>
      <c r="Q7" s="25">
        <v>43.516233333333332</v>
      </c>
      <c r="R7" s="25">
        <v>-79.080416666666665</v>
      </c>
      <c r="S7" t="s">
        <v>114</v>
      </c>
    </row>
    <row r="8" spans="1:21" x14ac:dyDescent="0.25">
      <c r="A8" t="s">
        <v>131</v>
      </c>
      <c r="B8" t="s">
        <v>305</v>
      </c>
      <c r="C8" t="s">
        <v>306</v>
      </c>
      <c r="D8" s="25" t="s">
        <v>272</v>
      </c>
      <c r="E8" t="s">
        <v>248</v>
      </c>
      <c r="F8">
        <v>20</v>
      </c>
      <c r="G8">
        <v>65</v>
      </c>
      <c r="H8">
        <v>0.14299999999999999</v>
      </c>
      <c r="I8" s="26">
        <f t="shared" si="0"/>
        <v>1.8250689821948205</v>
      </c>
      <c r="J8" s="26">
        <v>0.46475</v>
      </c>
      <c r="K8" s="25">
        <v>136</v>
      </c>
      <c r="L8">
        <v>32</v>
      </c>
      <c r="M8" s="4">
        <v>45152</v>
      </c>
      <c r="N8" s="5">
        <v>0.843055555555556</v>
      </c>
      <c r="O8" s="25" t="s">
        <v>277</v>
      </c>
      <c r="P8" s="27">
        <v>140.9</v>
      </c>
      <c r="Q8" s="25">
        <v>43.597116666666665</v>
      </c>
      <c r="R8" s="25">
        <v>-78.801050000000004</v>
      </c>
      <c r="S8" t="s">
        <v>114</v>
      </c>
    </row>
    <row r="9" spans="1:21" x14ac:dyDescent="0.25">
      <c r="A9" t="s">
        <v>131</v>
      </c>
      <c r="B9" t="s">
        <v>307</v>
      </c>
      <c r="C9" t="s">
        <v>308</v>
      </c>
      <c r="D9" s="25" t="s">
        <v>272</v>
      </c>
      <c r="E9" t="s">
        <v>248</v>
      </c>
      <c r="F9">
        <v>20</v>
      </c>
      <c r="G9">
        <v>120</v>
      </c>
      <c r="H9">
        <v>0.14299999999999999</v>
      </c>
      <c r="I9" s="26">
        <f t="shared" si="0"/>
        <v>3.3693581209750532</v>
      </c>
      <c r="J9" s="26">
        <v>0.85799999999999998</v>
      </c>
      <c r="K9" s="25">
        <v>56</v>
      </c>
      <c r="L9">
        <v>32</v>
      </c>
      <c r="M9" s="4">
        <v>45153</v>
      </c>
      <c r="N9" s="5">
        <v>0.21527777777777801</v>
      </c>
      <c r="O9" s="25" t="s">
        <v>276</v>
      </c>
      <c r="P9" s="27">
        <v>132.19999999999999</v>
      </c>
      <c r="Q9" s="25">
        <v>43.716700000000003</v>
      </c>
      <c r="R9" s="25">
        <v>-78.027450000000002</v>
      </c>
      <c r="S9" t="s">
        <v>114</v>
      </c>
    </row>
    <row r="10" spans="1:21" x14ac:dyDescent="0.25">
      <c r="A10" t="s">
        <v>111</v>
      </c>
      <c r="B10" t="s">
        <v>318</v>
      </c>
      <c r="C10" t="s">
        <v>294</v>
      </c>
      <c r="D10" s="25" t="s">
        <v>271</v>
      </c>
      <c r="E10" t="s">
        <v>247</v>
      </c>
      <c r="F10">
        <v>20</v>
      </c>
      <c r="G10">
        <v>98</v>
      </c>
      <c r="H10">
        <v>0.14199999999999999</v>
      </c>
      <c r="I10" s="26">
        <f>G10*H10*PI()*(0.25)^2</f>
        <v>2.7324002104597223</v>
      </c>
      <c r="J10" s="26">
        <f>G10*H10/F10</f>
        <v>0.69579999999999997</v>
      </c>
      <c r="K10">
        <v>43</v>
      </c>
      <c r="L10">
        <v>1</v>
      </c>
      <c r="M10" s="4">
        <v>45036</v>
      </c>
      <c r="N10" s="5">
        <v>0.33055555555555599</v>
      </c>
      <c r="O10" s="25" t="s">
        <v>276</v>
      </c>
      <c r="P10" s="25">
        <v>51.5</v>
      </c>
      <c r="Q10" s="25">
        <v>43.77256666666667</v>
      </c>
      <c r="R10" s="25">
        <v>-77.441699999999997</v>
      </c>
      <c r="S10" t="s">
        <v>140</v>
      </c>
    </row>
    <row r="11" spans="1:21" x14ac:dyDescent="0.25">
      <c r="A11" t="s">
        <v>111</v>
      </c>
      <c r="B11" t="s">
        <v>319</v>
      </c>
      <c r="C11" t="s">
        <v>296</v>
      </c>
      <c r="D11" s="25" t="s">
        <v>271</v>
      </c>
      <c r="E11" t="s">
        <v>247</v>
      </c>
      <c r="F11">
        <v>20</v>
      </c>
      <c r="G11">
        <v>82</v>
      </c>
      <c r="H11">
        <v>0.14199999999999999</v>
      </c>
      <c r="I11" s="26">
        <f t="shared" ref="I11:I17" si="1">G11*H11*PI()*(0.25)^2</f>
        <v>2.2862940536499714</v>
      </c>
      <c r="J11" s="26">
        <f t="shared" ref="J11:J17" si="2">G11*H11/F11</f>
        <v>0.58219999999999994</v>
      </c>
      <c r="K11">
        <v>21.5</v>
      </c>
      <c r="L11">
        <v>1</v>
      </c>
      <c r="M11" s="4">
        <v>45036</v>
      </c>
      <c r="N11" s="5">
        <v>0.875694444444444</v>
      </c>
      <c r="O11" s="25" t="s">
        <v>277</v>
      </c>
      <c r="P11" s="25">
        <v>198</v>
      </c>
      <c r="Q11" s="25">
        <v>43.440100000000001</v>
      </c>
      <c r="R11" s="25">
        <v>-77.439800000000005</v>
      </c>
      <c r="S11" t="s">
        <v>309</v>
      </c>
    </row>
    <row r="12" spans="1:21" x14ac:dyDescent="0.25">
      <c r="A12" t="s">
        <v>111</v>
      </c>
      <c r="B12" t="s">
        <v>320</v>
      </c>
      <c r="C12" t="s">
        <v>298</v>
      </c>
      <c r="D12" s="25" t="s">
        <v>271</v>
      </c>
      <c r="E12" t="s">
        <v>247</v>
      </c>
      <c r="F12">
        <v>20</v>
      </c>
      <c r="G12">
        <v>118</v>
      </c>
      <c r="H12">
        <v>0.14199999999999999</v>
      </c>
      <c r="I12" s="26">
        <f t="shared" si="1"/>
        <v>3.2900329064719109</v>
      </c>
      <c r="J12" s="26">
        <f t="shared" si="2"/>
        <v>0.83779999999999999</v>
      </c>
      <c r="K12">
        <v>20</v>
      </c>
      <c r="L12">
        <v>1</v>
      </c>
      <c r="M12" s="4">
        <v>45036</v>
      </c>
      <c r="N12" s="5">
        <v>0.77430555555555602</v>
      </c>
      <c r="O12" s="25" t="s">
        <v>277</v>
      </c>
      <c r="P12" s="27">
        <v>150</v>
      </c>
      <c r="Q12" s="25">
        <v>43.580416666666665</v>
      </c>
      <c r="R12" s="25">
        <v>-77.199866666666665</v>
      </c>
      <c r="S12" t="s">
        <v>140</v>
      </c>
    </row>
    <row r="13" spans="1:21" x14ac:dyDescent="0.25">
      <c r="A13" t="s">
        <v>111</v>
      </c>
      <c r="B13" t="s">
        <v>321</v>
      </c>
      <c r="C13" t="s">
        <v>300</v>
      </c>
      <c r="D13" s="25" t="s">
        <v>271</v>
      </c>
      <c r="E13" t="s">
        <v>247</v>
      </c>
      <c r="F13">
        <v>20</v>
      </c>
      <c r="G13">
        <v>94</v>
      </c>
      <c r="H13">
        <v>0.14199999999999999</v>
      </c>
      <c r="I13" s="26">
        <f t="shared" si="1"/>
        <v>2.6208736712572849</v>
      </c>
      <c r="J13" s="26">
        <f t="shared" si="2"/>
        <v>0.66739999999999999</v>
      </c>
      <c r="K13">
        <v>32</v>
      </c>
      <c r="L13">
        <v>1</v>
      </c>
      <c r="M13" s="4">
        <v>45036</v>
      </c>
      <c r="N13" s="5">
        <v>0.43541666666666701</v>
      </c>
      <c r="O13" s="25" t="s">
        <v>276</v>
      </c>
      <c r="P13" s="25">
        <v>88</v>
      </c>
      <c r="Q13" s="25">
        <v>43.731549999999999</v>
      </c>
      <c r="R13" s="25">
        <v>-77.017183333333335</v>
      </c>
      <c r="S13" t="s">
        <v>134</v>
      </c>
    </row>
    <row r="14" spans="1:21" x14ac:dyDescent="0.25">
      <c r="A14" t="s">
        <v>111</v>
      </c>
      <c r="B14" t="s">
        <v>322</v>
      </c>
      <c r="C14" t="s">
        <v>302</v>
      </c>
      <c r="D14" s="25" t="s">
        <v>272</v>
      </c>
      <c r="E14" t="s">
        <v>247</v>
      </c>
      <c r="F14">
        <v>20</v>
      </c>
      <c r="G14">
        <v>100</v>
      </c>
      <c r="H14">
        <v>0.14199999999999999</v>
      </c>
      <c r="I14" s="26">
        <f t="shared" si="1"/>
        <v>2.7881634800609412</v>
      </c>
      <c r="J14" s="26">
        <f t="shared" si="2"/>
        <v>0.71</v>
      </c>
      <c r="K14">
        <v>32</v>
      </c>
      <c r="L14">
        <v>1</v>
      </c>
      <c r="M14" s="4">
        <v>45033</v>
      </c>
      <c r="N14" s="5">
        <v>0.45694444444444399</v>
      </c>
      <c r="O14" s="25" t="s">
        <v>277</v>
      </c>
      <c r="P14" s="27">
        <v>106.8</v>
      </c>
      <c r="Q14" s="25">
        <v>43.503983333333331</v>
      </c>
      <c r="R14" s="25">
        <v>-79.353449999999995</v>
      </c>
      <c r="S14" t="s">
        <v>134</v>
      </c>
    </row>
    <row r="15" spans="1:21" x14ac:dyDescent="0.25">
      <c r="A15" t="s">
        <v>111</v>
      </c>
      <c r="B15" t="s">
        <v>323</v>
      </c>
      <c r="C15" t="s">
        <v>304</v>
      </c>
      <c r="D15" s="25" t="s">
        <v>272</v>
      </c>
      <c r="E15" t="s">
        <v>247</v>
      </c>
      <c r="F15">
        <v>20</v>
      </c>
      <c r="G15">
        <v>115</v>
      </c>
      <c r="H15">
        <v>0.14199999999999999</v>
      </c>
      <c r="I15" s="26">
        <f t="shared" si="1"/>
        <v>3.2063880020700823</v>
      </c>
      <c r="J15" s="26">
        <f t="shared" si="2"/>
        <v>0.81649999999999989</v>
      </c>
      <c r="K15">
        <v>34</v>
      </c>
      <c r="L15">
        <v>1</v>
      </c>
      <c r="M15" s="4">
        <v>45033</v>
      </c>
      <c r="N15" s="5">
        <v>0.58125000000000004</v>
      </c>
      <c r="O15" s="25" t="s">
        <v>277</v>
      </c>
      <c r="P15" s="27">
        <v>137</v>
      </c>
      <c r="Q15" s="25">
        <v>43.516233333333332</v>
      </c>
      <c r="R15" s="25">
        <v>-79.080416666666665</v>
      </c>
      <c r="S15" t="s">
        <v>309</v>
      </c>
    </row>
    <row r="16" spans="1:21" x14ac:dyDescent="0.25">
      <c r="A16" t="s">
        <v>111</v>
      </c>
      <c r="B16" t="s">
        <v>324</v>
      </c>
      <c r="C16" t="s">
        <v>306</v>
      </c>
      <c r="D16" s="25" t="s">
        <v>272</v>
      </c>
      <c r="E16" t="s">
        <v>247</v>
      </c>
      <c r="F16">
        <v>20</v>
      </c>
      <c r="G16">
        <v>118</v>
      </c>
      <c r="H16">
        <v>0.14199999999999999</v>
      </c>
      <c r="I16" s="26">
        <f t="shared" si="1"/>
        <v>3.2900329064719109</v>
      </c>
      <c r="J16" s="26">
        <f t="shared" si="2"/>
        <v>0.83779999999999999</v>
      </c>
      <c r="K16">
        <v>19.5</v>
      </c>
      <c r="L16">
        <v>1</v>
      </c>
      <c r="M16" s="4">
        <v>45033</v>
      </c>
      <c r="N16" s="5">
        <v>0.77430555555555602</v>
      </c>
      <c r="O16" s="25" t="s">
        <v>277</v>
      </c>
      <c r="P16" s="27">
        <v>140.9</v>
      </c>
      <c r="Q16" s="25">
        <v>43.597116666666665</v>
      </c>
      <c r="R16" s="25">
        <v>-78.801050000000004</v>
      </c>
      <c r="S16" t="s">
        <v>140</v>
      </c>
    </row>
    <row r="17" spans="1:20" x14ac:dyDescent="0.25">
      <c r="A17" t="s">
        <v>111</v>
      </c>
      <c r="B17" t="s">
        <v>325</v>
      </c>
      <c r="C17" t="s">
        <v>308</v>
      </c>
      <c r="D17" s="25" t="s">
        <v>272</v>
      </c>
      <c r="E17" t="s">
        <v>247</v>
      </c>
      <c r="F17">
        <v>20</v>
      </c>
      <c r="G17">
        <v>94</v>
      </c>
      <c r="H17">
        <v>0.14199999999999999</v>
      </c>
      <c r="I17" s="26">
        <f t="shared" si="1"/>
        <v>2.6208736712572849</v>
      </c>
      <c r="J17" s="26">
        <f t="shared" si="2"/>
        <v>0.66739999999999999</v>
      </c>
      <c r="K17">
        <v>24</v>
      </c>
      <c r="L17">
        <v>1</v>
      </c>
      <c r="M17" s="4">
        <v>45036</v>
      </c>
      <c r="N17" s="5">
        <v>0.43541666666666701</v>
      </c>
      <c r="O17" s="25" t="s">
        <v>276</v>
      </c>
      <c r="P17" s="27">
        <v>132.19999999999999</v>
      </c>
      <c r="Q17" s="25">
        <v>43.716700000000003</v>
      </c>
      <c r="R17" s="25">
        <v>-78.027450000000002</v>
      </c>
      <c r="S17" t="s">
        <v>309</v>
      </c>
    </row>
    <row r="18" spans="1:20" x14ac:dyDescent="0.25">
      <c r="M18" s="4"/>
      <c r="N18" s="5"/>
      <c r="Q18" s="4"/>
    </row>
    <row r="19" spans="1:20" x14ac:dyDescent="0.25">
      <c r="D19" s="25"/>
      <c r="E19" s="25"/>
      <c r="I19" s="25"/>
      <c r="J19" s="25"/>
      <c r="M19" s="25"/>
      <c r="N19" s="25"/>
      <c r="O19" s="4"/>
      <c r="P19" s="5"/>
      <c r="Q19" s="25"/>
      <c r="R19" s="25"/>
      <c r="S19" s="25"/>
      <c r="T19" s="25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M20" s="25"/>
      <c r="N20" s="25"/>
      <c r="O20" s="4"/>
      <c r="P20" s="5"/>
      <c r="Q20" s="25"/>
      <c r="R20" s="27"/>
      <c r="S20" s="25"/>
      <c r="T20" s="25"/>
    </row>
    <row r="21" spans="1:20" x14ac:dyDescent="0.25">
      <c r="I21" s="14"/>
      <c r="J21" s="14"/>
      <c r="M21" s="25"/>
      <c r="N21" s="25"/>
      <c r="O21" s="4"/>
      <c r="P21" s="5"/>
      <c r="Q21" s="25"/>
      <c r="R21" s="25"/>
      <c r="S21" s="25"/>
      <c r="T21" s="25"/>
    </row>
    <row r="22" spans="1:20" x14ac:dyDescent="0.25">
      <c r="I22" s="14"/>
      <c r="J22" s="14"/>
      <c r="M22" s="25"/>
      <c r="N22" s="25"/>
      <c r="O22" s="4"/>
      <c r="P22" s="5"/>
      <c r="Q22" s="25"/>
      <c r="R22" s="27"/>
      <c r="S22" s="25"/>
      <c r="T22" s="25"/>
    </row>
    <row r="23" spans="1:20" x14ac:dyDescent="0.25">
      <c r="I23" s="14"/>
      <c r="J23" s="14"/>
      <c r="M23" s="25"/>
      <c r="N23" s="25"/>
      <c r="O23" s="4"/>
      <c r="P23" s="5"/>
      <c r="Q23" s="25"/>
      <c r="R23" s="27"/>
      <c r="S23" s="25"/>
      <c r="T23" s="25"/>
    </row>
    <row r="24" spans="1:20" x14ac:dyDescent="0.25">
      <c r="I24" s="14"/>
      <c r="J24" s="14"/>
      <c r="M24" s="25"/>
      <c r="N24" s="25"/>
      <c r="O24" s="4"/>
      <c r="P24" s="5"/>
      <c r="Q24" s="25"/>
      <c r="R24" s="27"/>
      <c r="S24" s="25"/>
      <c r="T24" s="25"/>
    </row>
    <row r="25" spans="1:20" x14ac:dyDescent="0.25">
      <c r="I25" s="14"/>
      <c r="J25" s="14"/>
      <c r="M25" s="25"/>
      <c r="N25" s="25"/>
      <c r="O25" s="4"/>
      <c r="P25" s="5"/>
      <c r="Q25" s="25"/>
      <c r="R25" s="27"/>
      <c r="S25" s="25"/>
      <c r="T25" s="25"/>
    </row>
    <row r="26" spans="1:20" x14ac:dyDescent="0.25">
      <c r="I26" s="14"/>
      <c r="J2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54AD-1E33-41D2-997E-96B5EFECB0B2}">
  <dimension ref="A1:K403"/>
  <sheetViews>
    <sheetView zoomScale="110" zoomScaleNormal="110" workbookViewId="0">
      <pane ySplit="1" topLeftCell="A2" activePane="bottomLeft" state="frozen"/>
      <selection pane="bottomLeft" activeCell="I7" sqref="I7"/>
    </sheetView>
  </sheetViews>
  <sheetFormatPr defaultRowHeight="15.75" x14ac:dyDescent="0.25"/>
  <cols>
    <col min="1" max="1" width="10.875" bestFit="1" customWidth="1"/>
    <col min="2" max="2" width="10" bestFit="1" customWidth="1"/>
    <col min="3" max="3" width="14" customWidth="1"/>
    <col min="4" max="4" width="10.125" customWidth="1"/>
    <col min="5" max="6" width="11.875" bestFit="1" customWidth="1"/>
    <col min="7" max="7" width="14" bestFit="1" customWidth="1"/>
    <col min="8" max="8" width="14.625" bestFit="1" customWidth="1"/>
    <col min="9" max="9" width="14.25" bestFit="1" customWidth="1"/>
    <col min="10" max="10" width="14.875" bestFit="1" customWidth="1"/>
    <col min="11" max="11" width="12" customWidth="1"/>
  </cols>
  <sheetData>
    <row r="1" spans="1:11" x14ac:dyDescent="0.25">
      <c r="A1" s="1" t="s">
        <v>244</v>
      </c>
      <c r="B1" s="23" t="s">
        <v>291</v>
      </c>
      <c r="C1" s="24" t="s">
        <v>280</v>
      </c>
      <c r="D1" s="24" t="s">
        <v>238</v>
      </c>
      <c r="E1" s="24" t="s">
        <v>278</v>
      </c>
      <c r="F1" s="22" t="s">
        <v>287</v>
      </c>
      <c r="G1" s="1" t="s">
        <v>286</v>
      </c>
      <c r="H1" s="1" t="s">
        <v>289</v>
      </c>
      <c r="I1" s="1" t="s">
        <v>288</v>
      </c>
      <c r="J1" s="1" t="s">
        <v>292</v>
      </c>
      <c r="K1" s="1" t="s">
        <v>279</v>
      </c>
    </row>
    <row r="2" spans="1:11" x14ac:dyDescent="0.25">
      <c r="A2" t="s">
        <v>318</v>
      </c>
      <c r="B2" t="s">
        <v>172</v>
      </c>
      <c r="C2" t="s">
        <v>294</v>
      </c>
      <c r="D2" t="s">
        <v>281</v>
      </c>
      <c r="E2">
        <v>2.4398573243941302</v>
      </c>
      <c r="F2">
        <v>0.71997075609638439</v>
      </c>
      <c r="G2">
        <v>1.7566259226113432</v>
      </c>
      <c r="H2">
        <v>1.7566259226113432E-3</v>
      </c>
      <c r="I2">
        <v>35.132518452226861</v>
      </c>
      <c r="J2">
        <v>3.5132518452226862E-2</v>
      </c>
      <c r="K2">
        <v>20</v>
      </c>
    </row>
    <row r="3" spans="1:11" x14ac:dyDescent="0.25">
      <c r="A3" t="s">
        <v>318</v>
      </c>
      <c r="B3" t="s">
        <v>173</v>
      </c>
      <c r="C3" t="s">
        <v>294</v>
      </c>
      <c r="D3" t="s">
        <v>285</v>
      </c>
      <c r="E3">
        <v>48.309175023003903</v>
      </c>
      <c r="F3">
        <v>1.676403539962801</v>
      </c>
      <c r="G3">
        <v>80.985672021246273</v>
      </c>
      <c r="H3">
        <v>8.0985672021246277E-2</v>
      </c>
      <c r="I3">
        <v>1619.7134404249255</v>
      </c>
      <c r="J3">
        <v>1.6197134404249254</v>
      </c>
      <c r="K3">
        <v>20</v>
      </c>
    </row>
    <row r="4" spans="1:11" x14ac:dyDescent="0.25">
      <c r="A4" t="s">
        <v>318</v>
      </c>
      <c r="B4" t="s">
        <v>170</v>
      </c>
      <c r="C4" t="s">
        <v>294</v>
      </c>
      <c r="D4" t="s">
        <v>283</v>
      </c>
      <c r="E4">
        <v>1.9518858595153099</v>
      </c>
      <c r="F4">
        <v>0.71560115141450398</v>
      </c>
      <c r="G4">
        <v>1.3967717684988445</v>
      </c>
      <c r="H4">
        <v>1.3967717684988446E-3</v>
      </c>
      <c r="I4">
        <v>27.93543536997689</v>
      </c>
      <c r="J4">
        <v>2.7935435369976891E-2</v>
      </c>
      <c r="K4">
        <v>20</v>
      </c>
    </row>
    <row r="5" spans="1:11" x14ac:dyDescent="0.25">
      <c r="A5" t="s">
        <v>318</v>
      </c>
      <c r="B5" t="s">
        <v>167</v>
      </c>
      <c r="C5" t="s">
        <v>294</v>
      </c>
      <c r="D5" t="s">
        <v>284</v>
      </c>
      <c r="E5">
        <v>0.97594292975765395</v>
      </c>
      <c r="F5">
        <v>4.7004923609740352</v>
      </c>
      <c r="G5">
        <v>4.587412286072472</v>
      </c>
      <c r="H5">
        <v>4.587412286072472E-3</v>
      </c>
      <c r="I5">
        <v>91.748245721449436</v>
      </c>
      <c r="J5">
        <v>9.1748245721449434E-2</v>
      </c>
      <c r="K5">
        <v>20</v>
      </c>
    </row>
    <row r="6" spans="1:11" x14ac:dyDescent="0.25">
      <c r="A6" t="s">
        <v>318</v>
      </c>
      <c r="B6" t="s">
        <v>166</v>
      </c>
      <c r="C6" t="s">
        <v>294</v>
      </c>
      <c r="D6" t="s">
        <v>285</v>
      </c>
      <c r="E6">
        <v>10.247400762455401</v>
      </c>
      <c r="F6">
        <v>3.1240593387634865</v>
      </c>
      <c r="G6">
        <v>32.013488050000866</v>
      </c>
      <c r="H6">
        <v>3.2013488050000864E-2</v>
      </c>
      <c r="I6">
        <v>640.2697610000173</v>
      </c>
      <c r="J6">
        <v>0.64026976100001731</v>
      </c>
      <c r="K6">
        <v>20</v>
      </c>
    </row>
    <row r="7" spans="1:11" x14ac:dyDescent="0.25">
      <c r="A7" t="s">
        <v>318</v>
      </c>
      <c r="B7" t="s">
        <v>184</v>
      </c>
      <c r="C7" t="s">
        <v>294</v>
      </c>
      <c r="D7" t="s">
        <v>285</v>
      </c>
      <c r="E7">
        <v>0.48797146487882698</v>
      </c>
      <c r="F7">
        <v>0.94249361515832797</v>
      </c>
      <c r="G7">
        <v>0.45990999002775068</v>
      </c>
      <c r="H7">
        <v>4.5990999002775069E-4</v>
      </c>
      <c r="I7">
        <v>9.1981998005550132</v>
      </c>
      <c r="J7">
        <v>9.1981998005550136E-3</v>
      </c>
      <c r="K7">
        <v>20</v>
      </c>
    </row>
    <row r="8" spans="1:11" x14ac:dyDescent="0.25">
      <c r="A8" t="s">
        <v>318</v>
      </c>
      <c r="B8" t="s">
        <v>161</v>
      </c>
      <c r="C8" t="s">
        <v>294</v>
      </c>
      <c r="D8" t="s">
        <v>284</v>
      </c>
      <c r="E8">
        <v>9.7594292975765402</v>
      </c>
      <c r="F8">
        <v>5.2487805292214658</v>
      </c>
      <c r="G8">
        <v>51.225102473433267</v>
      </c>
      <c r="H8">
        <v>5.1225102473433266E-2</v>
      </c>
      <c r="I8">
        <v>1024.5020494686653</v>
      </c>
      <c r="J8">
        <v>1.0245020494686652</v>
      </c>
      <c r="K8">
        <v>20</v>
      </c>
    </row>
    <row r="9" spans="1:11" x14ac:dyDescent="0.25">
      <c r="A9" t="s">
        <v>318</v>
      </c>
      <c r="B9" t="s">
        <v>181</v>
      </c>
      <c r="C9" t="s">
        <v>294</v>
      </c>
      <c r="D9" t="s">
        <v>284</v>
      </c>
      <c r="E9">
        <v>289.85505013802299</v>
      </c>
      <c r="F9">
        <v>10.460112587633033</v>
      </c>
      <c r="G9">
        <v>3031.916458537738</v>
      </c>
      <c r="H9">
        <v>3.0319164585377378</v>
      </c>
      <c r="I9">
        <v>60638.329170754761</v>
      </c>
      <c r="J9">
        <v>60.638329170754758</v>
      </c>
      <c r="K9">
        <v>20</v>
      </c>
    </row>
    <row r="10" spans="1:11" x14ac:dyDescent="0.25">
      <c r="A10" t="s">
        <v>318</v>
      </c>
      <c r="B10" t="s">
        <v>331</v>
      </c>
      <c r="C10" t="s">
        <v>294</v>
      </c>
      <c r="D10" t="s">
        <v>284</v>
      </c>
      <c r="E10">
        <v>0.48797146487882698</v>
      </c>
      <c r="F10">
        <v>1.1591741752859099</v>
      </c>
      <c r="G10">
        <v>0.5656439203639716</v>
      </c>
      <c r="H10">
        <v>5.6564392036397156E-4</v>
      </c>
      <c r="I10">
        <v>11.312878407279431</v>
      </c>
      <c r="J10">
        <v>1.1312878407279431E-2</v>
      </c>
      <c r="K10">
        <v>20</v>
      </c>
    </row>
    <row r="11" spans="1:11" x14ac:dyDescent="0.25">
      <c r="A11" t="s">
        <v>318</v>
      </c>
      <c r="B11" t="s">
        <v>186</v>
      </c>
      <c r="C11" t="s">
        <v>294</v>
      </c>
      <c r="D11" t="s">
        <v>284</v>
      </c>
      <c r="E11">
        <v>62.9483189693687</v>
      </c>
      <c r="F11">
        <v>53.36583079933559</v>
      </c>
      <c r="G11">
        <v>3359.2893392219371</v>
      </c>
      <c r="H11">
        <v>3.3592893392219372</v>
      </c>
      <c r="I11">
        <v>67185.786784438737</v>
      </c>
      <c r="J11">
        <v>67.185786784438733</v>
      </c>
      <c r="K11">
        <v>20</v>
      </c>
    </row>
    <row r="12" spans="1:11" x14ac:dyDescent="0.25">
      <c r="A12" s="28" t="s">
        <v>318</v>
      </c>
      <c r="B12" s="28" t="s">
        <v>196</v>
      </c>
      <c r="C12" t="s">
        <v>294</v>
      </c>
      <c r="D12" s="28" t="s">
        <v>197</v>
      </c>
      <c r="E12" s="28">
        <v>1489.7768799999999</v>
      </c>
      <c r="F12" s="28">
        <v>0.12504746</v>
      </c>
      <c r="G12" s="28">
        <v>186.29282000000001</v>
      </c>
      <c r="H12">
        <v>0.18629282</v>
      </c>
      <c r="I12">
        <v>3725.8564000000001</v>
      </c>
      <c r="J12">
        <v>3.7258564000000001</v>
      </c>
      <c r="K12">
        <v>20</v>
      </c>
    </row>
    <row r="13" spans="1:11" x14ac:dyDescent="0.25">
      <c r="A13" s="28" t="s">
        <v>318</v>
      </c>
      <c r="B13" s="28" t="s">
        <v>198</v>
      </c>
      <c r="C13" t="s">
        <v>294</v>
      </c>
      <c r="D13" s="28" t="s">
        <v>290</v>
      </c>
      <c r="E13" s="28">
        <v>2.6228466199999998</v>
      </c>
      <c r="F13" s="28">
        <v>0.14386507000000001</v>
      </c>
      <c r="G13" s="28">
        <v>0.377336</v>
      </c>
      <c r="H13">
        <v>3.7733599999999998E-4</v>
      </c>
      <c r="I13">
        <v>7.5467200000000005</v>
      </c>
      <c r="J13">
        <v>7.5467200000000007E-3</v>
      </c>
      <c r="K13">
        <v>20</v>
      </c>
    </row>
    <row r="14" spans="1:11" x14ac:dyDescent="0.25">
      <c r="A14" s="28" t="s">
        <v>318</v>
      </c>
      <c r="B14" s="28" t="s">
        <v>194</v>
      </c>
      <c r="C14" t="s">
        <v>294</v>
      </c>
      <c r="D14" s="28" t="s">
        <v>192</v>
      </c>
      <c r="E14" s="28">
        <v>2.6228466199999998</v>
      </c>
      <c r="F14" s="28">
        <v>1.067742E-2</v>
      </c>
      <c r="G14" s="28">
        <v>2.8005229999999999E-2</v>
      </c>
      <c r="H14">
        <v>2.800523E-5</v>
      </c>
      <c r="I14">
        <v>0.56010459999999995</v>
      </c>
      <c r="J14">
        <v>5.6010459999999995E-4</v>
      </c>
      <c r="K14">
        <v>20</v>
      </c>
    </row>
    <row r="15" spans="1:11" x14ac:dyDescent="0.25">
      <c r="A15" s="28" t="s">
        <v>318</v>
      </c>
      <c r="B15" s="28" t="s">
        <v>332</v>
      </c>
      <c r="C15" t="s">
        <v>294</v>
      </c>
      <c r="D15" s="28" t="s">
        <v>192</v>
      </c>
      <c r="E15" s="28">
        <v>2.6228466199999998</v>
      </c>
      <c r="F15" s="28">
        <v>3.9191E-3</v>
      </c>
      <c r="G15" s="28">
        <v>1.027921E-2</v>
      </c>
      <c r="H15">
        <v>1.027921E-5</v>
      </c>
      <c r="I15">
        <v>0.20558419999999999</v>
      </c>
      <c r="J15">
        <v>2.0558419999999999E-4</v>
      </c>
      <c r="K15">
        <v>20</v>
      </c>
    </row>
    <row r="16" spans="1:11" x14ac:dyDescent="0.25">
      <c r="A16" s="28" t="s">
        <v>318</v>
      </c>
      <c r="B16" s="28" t="s">
        <v>209</v>
      </c>
      <c r="C16" t="s">
        <v>294</v>
      </c>
      <c r="D16" s="28" t="s">
        <v>192</v>
      </c>
      <c r="E16" s="28">
        <v>10.491386500000001</v>
      </c>
      <c r="F16" s="28">
        <v>9.2707250000000005E-2</v>
      </c>
      <c r="G16" s="28">
        <v>0.97262753999999996</v>
      </c>
      <c r="H16">
        <v>9.7262754000000001E-4</v>
      </c>
      <c r="I16">
        <v>19.452550799999997</v>
      </c>
      <c r="J16">
        <v>1.9452550799999996E-2</v>
      </c>
      <c r="K16">
        <v>20</v>
      </c>
    </row>
    <row r="17" spans="1:11" x14ac:dyDescent="0.25">
      <c r="A17" t="s">
        <v>319</v>
      </c>
      <c r="B17" t="s">
        <v>172</v>
      </c>
      <c r="C17" t="s">
        <v>296</v>
      </c>
      <c r="D17" t="s">
        <v>281</v>
      </c>
      <c r="E17">
        <v>4.66548327396342</v>
      </c>
      <c r="F17">
        <v>4.5854617891484004</v>
      </c>
      <c r="G17">
        <v>21.393395280670241</v>
      </c>
      <c r="H17">
        <v>2.139339528067024E-2</v>
      </c>
      <c r="I17">
        <v>427.86790561340479</v>
      </c>
      <c r="J17">
        <v>0.42786790561340476</v>
      </c>
      <c r="K17">
        <v>20</v>
      </c>
    </row>
    <row r="18" spans="1:11" x14ac:dyDescent="0.25">
      <c r="A18" t="s">
        <v>319</v>
      </c>
      <c r="B18" t="s">
        <v>173</v>
      </c>
      <c r="C18" t="s">
        <v>296</v>
      </c>
      <c r="D18" t="s">
        <v>285</v>
      </c>
      <c r="E18">
        <v>2533.3574177621399</v>
      </c>
      <c r="F18">
        <v>1.3687797851046608</v>
      </c>
      <c r="G18">
        <v>3467.6084218777601</v>
      </c>
      <c r="H18">
        <v>3.4676084218777601</v>
      </c>
      <c r="I18">
        <v>69352.168437555199</v>
      </c>
      <c r="J18">
        <v>69.352168437555193</v>
      </c>
      <c r="K18">
        <v>20</v>
      </c>
    </row>
    <row r="19" spans="1:11" x14ac:dyDescent="0.25">
      <c r="A19" t="s">
        <v>319</v>
      </c>
      <c r="B19" t="s">
        <v>167</v>
      </c>
      <c r="C19" t="s">
        <v>296</v>
      </c>
      <c r="D19" t="s">
        <v>284</v>
      </c>
      <c r="E19">
        <v>242.60513024609801</v>
      </c>
      <c r="F19">
        <v>1.3255528357180046</v>
      </c>
      <c r="G19">
        <v>321.58591835745108</v>
      </c>
      <c r="H19">
        <v>0.32158591835745109</v>
      </c>
      <c r="I19">
        <v>6431.718367149022</v>
      </c>
      <c r="J19">
        <v>6.4317183671490223</v>
      </c>
      <c r="K19">
        <v>20</v>
      </c>
    </row>
    <row r="20" spans="1:11" x14ac:dyDescent="0.25">
      <c r="A20" t="s">
        <v>319</v>
      </c>
      <c r="B20" t="s">
        <v>166</v>
      </c>
      <c r="C20" t="s">
        <v>296</v>
      </c>
      <c r="D20" t="s">
        <v>285</v>
      </c>
      <c r="E20">
        <v>97.975148753231807</v>
      </c>
      <c r="F20">
        <v>2.8132826884541395</v>
      </c>
      <c r="G20">
        <v>275.6317898861862</v>
      </c>
      <c r="H20">
        <v>0.2756317898861862</v>
      </c>
      <c r="I20">
        <v>5512.635797723724</v>
      </c>
      <c r="J20">
        <v>5.5126357977237239</v>
      </c>
      <c r="K20">
        <v>20</v>
      </c>
    </row>
    <row r="21" spans="1:11" x14ac:dyDescent="0.25">
      <c r="A21" t="s">
        <v>319</v>
      </c>
      <c r="B21" t="s">
        <v>161</v>
      </c>
      <c r="C21" t="s">
        <v>296</v>
      </c>
      <c r="D21" t="s">
        <v>284</v>
      </c>
      <c r="E21">
        <v>251.93609679402499</v>
      </c>
      <c r="F21">
        <v>5.224906274099232</v>
      </c>
      <c r="G21">
        <v>1316.3424928111726</v>
      </c>
      <c r="H21">
        <v>1.3163424928111727</v>
      </c>
      <c r="I21">
        <v>26326.849856223453</v>
      </c>
      <c r="J21">
        <v>26.326849856223454</v>
      </c>
      <c r="K21">
        <v>20</v>
      </c>
    </row>
    <row r="22" spans="1:11" x14ac:dyDescent="0.25">
      <c r="A22" t="s">
        <v>319</v>
      </c>
      <c r="B22" t="s">
        <v>181</v>
      </c>
      <c r="C22" t="s">
        <v>296</v>
      </c>
      <c r="D22" t="s">
        <v>284</v>
      </c>
      <c r="E22">
        <v>74.647732383414706</v>
      </c>
      <c r="F22">
        <v>13.045957603616488</v>
      </c>
      <c r="G22">
        <v>973.85115188013776</v>
      </c>
      <c r="H22">
        <v>0.97385115188013771</v>
      </c>
      <c r="I22">
        <v>19477.023037602754</v>
      </c>
      <c r="J22">
        <v>19.477023037602756</v>
      </c>
      <c r="K22">
        <v>20</v>
      </c>
    </row>
    <row r="23" spans="1:11" x14ac:dyDescent="0.25">
      <c r="A23" t="s">
        <v>319</v>
      </c>
      <c r="B23" t="s">
        <v>186</v>
      </c>
      <c r="C23" t="s">
        <v>296</v>
      </c>
      <c r="D23" t="s">
        <v>284</v>
      </c>
      <c r="E23">
        <v>5.9984784950958199</v>
      </c>
      <c r="F23">
        <v>59.143138964851602</v>
      </c>
      <c r="G23">
        <v>354.76884721312598</v>
      </c>
      <c r="H23">
        <v>0.35476884721312596</v>
      </c>
      <c r="I23">
        <v>7095.3769442625198</v>
      </c>
      <c r="J23">
        <v>7.0953769442625196</v>
      </c>
      <c r="K23">
        <v>20</v>
      </c>
    </row>
    <row r="24" spans="1:11" x14ac:dyDescent="0.25">
      <c r="A24" t="s">
        <v>319</v>
      </c>
      <c r="B24" t="s">
        <v>153</v>
      </c>
      <c r="C24" t="s">
        <v>296</v>
      </c>
      <c r="D24" t="s">
        <v>284</v>
      </c>
      <c r="E24">
        <v>97.975148753231807</v>
      </c>
      <c r="F24">
        <v>8.9516762995722985</v>
      </c>
      <c r="G24">
        <v>877.04181704137557</v>
      </c>
      <c r="H24">
        <v>0.87704181704137552</v>
      </c>
      <c r="I24">
        <v>17540.836340827511</v>
      </c>
      <c r="J24">
        <v>17.540836340827511</v>
      </c>
      <c r="K24">
        <v>20</v>
      </c>
    </row>
    <row r="25" spans="1:11" x14ac:dyDescent="0.25">
      <c r="A25" s="28" t="s">
        <v>319</v>
      </c>
      <c r="B25" s="28" t="s">
        <v>196</v>
      </c>
      <c r="C25" t="s">
        <v>296</v>
      </c>
      <c r="D25" s="28" t="s">
        <v>197</v>
      </c>
      <c r="E25" s="28">
        <v>963.89613399999996</v>
      </c>
      <c r="F25" s="28">
        <v>0.1694543</v>
      </c>
      <c r="G25" s="28">
        <v>163.336344</v>
      </c>
      <c r="H25">
        <v>0.16333634399999999</v>
      </c>
      <c r="I25">
        <v>3266.7268800000002</v>
      </c>
      <c r="J25">
        <v>3.2667268800000002</v>
      </c>
      <c r="K25">
        <v>20</v>
      </c>
    </row>
    <row r="26" spans="1:11" x14ac:dyDescent="0.25">
      <c r="A26" s="28" t="s">
        <v>319</v>
      </c>
      <c r="B26" s="28" t="s">
        <v>198</v>
      </c>
      <c r="C26" t="s">
        <v>296</v>
      </c>
      <c r="D26" s="28" t="s">
        <v>290</v>
      </c>
      <c r="E26" s="28">
        <v>362.04879199999999</v>
      </c>
      <c r="F26" s="28">
        <v>0.20501691</v>
      </c>
      <c r="G26" s="28">
        <v>74.226125300000007</v>
      </c>
      <c r="H26">
        <v>7.4226125300000001E-2</v>
      </c>
      <c r="I26">
        <v>1484.5225060000002</v>
      </c>
      <c r="J26">
        <v>1.4845225060000002</v>
      </c>
      <c r="K26">
        <v>20</v>
      </c>
    </row>
    <row r="27" spans="1:11" x14ac:dyDescent="0.25">
      <c r="A27" s="28" t="s">
        <v>319</v>
      </c>
      <c r="B27" s="28" t="s">
        <v>194</v>
      </c>
      <c r="C27" t="s">
        <v>296</v>
      </c>
      <c r="D27" s="28" t="s">
        <v>192</v>
      </c>
      <c r="E27" s="28">
        <v>155.163768</v>
      </c>
      <c r="F27" s="28">
        <v>1.6720829999999999E-2</v>
      </c>
      <c r="G27" s="28">
        <v>2.5944669899999999</v>
      </c>
      <c r="H27">
        <v>2.5944669900000001E-3</v>
      </c>
      <c r="I27">
        <v>51.889339800000002</v>
      </c>
      <c r="J27">
        <v>5.1889339800000003E-2</v>
      </c>
      <c r="K27">
        <v>20</v>
      </c>
    </row>
    <row r="28" spans="1:11" x14ac:dyDescent="0.25">
      <c r="A28" s="28" t="s">
        <v>319</v>
      </c>
      <c r="B28" s="28" t="s">
        <v>201</v>
      </c>
      <c r="C28" t="s">
        <v>296</v>
      </c>
      <c r="D28" s="28" t="s">
        <v>192</v>
      </c>
      <c r="E28" s="28">
        <v>89.336714900000004</v>
      </c>
      <c r="F28" s="28">
        <v>5.9262200000000003E-3</v>
      </c>
      <c r="G28" s="28">
        <v>0.52942918999999999</v>
      </c>
      <c r="H28">
        <v>5.2942918999999999E-4</v>
      </c>
      <c r="I28">
        <v>10.5885838</v>
      </c>
      <c r="J28">
        <v>1.0588583800000001E-2</v>
      </c>
      <c r="K28">
        <v>20</v>
      </c>
    </row>
    <row r="29" spans="1:11" x14ac:dyDescent="0.25">
      <c r="A29" s="28" t="s">
        <v>319</v>
      </c>
      <c r="B29" s="28" t="s">
        <v>202</v>
      </c>
      <c r="C29" t="s">
        <v>296</v>
      </c>
      <c r="D29" s="28" t="s">
        <v>192</v>
      </c>
      <c r="E29" s="28">
        <v>51.721255999999997</v>
      </c>
      <c r="F29" s="28">
        <v>2.173E-3</v>
      </c>
      <c r="G29" s="28">
        <v>0.11239008</v>
      </c>
      <c r="H29">
        <v>1.1239008000000001E-4</v>
      </c>
      <c r="I29">
        <v>2.2478015999999998</v>
      </c>
      <c r="J29">
        <v>2.2478016E-3</v>
      </c>
      <c r="K29">
        <v>20</v>
      </c>
    </row>
    <row r="30" spans="1:11" x14ac:dyDescent="0.25">
      <c r="A30" s="28" t="s">
        <v>319</v>
      </c>
      <c r="B30" s="28" t="s">
        <v>327</v>
      </c>
      <c r="C30" t="s">
        <v>296</v>
      </c>
      <c r="D30" s="28" t="s">
        <v>192</v>
      </c>
      <c r="E30" s="28">
        <v>4.7019323599999998</v>
      </c>
      <c r="F30" s="28">
        <v>0.11248973</v>
      </c>
      <c r="G30" s="28">
        <v>0.52891911000000003</v>
      </c>
      <c r="H30">
        <v>5.2891910999999998E-4</v>
      </c>
      <c r="I30">
        <v>10.5783822</v>
      </c>
      <c r="J30">
        <v>1.05783822E-2</v>
      </c>
      <c r="K30">
        <v>20</v>
      </c>
    </row>
    <row r="31" spans="1:11" x14ac:dyDescent="0.25">
      <c r="A31" s="28" t="s">
        <v>319</v>
      </c>
      <c r="B31" s="28" t="s">
        <v>209</v>
      </c>
      <c r="C31" t="s">
        <v>296</v>
      </c>
      <c r="D31" s="28" t="s">
        <v>192</v>
      </c>
      <c r="E31" s="28">
        <v>23.5096618</v>
      </c>
      <c r="F31" s="28">
        <v>6.3826880000000003E-2</v>
      </c>
      <c r="G31" s="28">
        <v>1.50054844</v>
      </c>
      <c r="H31">
        <v>1.50054844E-3</v>
      </c>
      <c r="I31">
        <v>30.010968800000001</v>
      </c>
      <c r="J31">
        <v>3.0010968799999999E-2</v>
      </c>
      <c r="K31">
        <v>20</v>
      </c>
    </row>
    <row r="32" spans="1:11" x14ac:dyDescent="0.25">
      <c r="A32" s="28" t="s">
        <v>319</v>
      </c>
      <c r="B32" s="28" t="s">
        <v>210</v>
      </c>
      <c r="C32" t="s">
        <v>296</v>
      </c>
      <c r="D32" s="28" t="s">
        <v>192</v>
      </c>
      <c r="E32" s="28">
        <v>282.11594200000002</v>
      </c>
      <c r="F32" s="28">
        <v>5.9941210000000002E-2</v>
      </c>
      <c r="G32" s="28">
        <v>16.9103718</v>
      </c>
      <c r="H32">
        <v>1.6910371800000001E-2</v>
      </c>
      <c r="I32">
        <v>338.20743600000003</v>
      </c>
      <c r="J32">
        <v>0.33820743600000003</v>
      </c>
      <c r="K32">
        <v>20</v>
      </c>
    </row>
    <row r="33" spans="1:11" x14ac:dyDescent="0.25">
      <c r="A33" t="s">
        <v>320</v>
      </c>
      <c r="B33" t="s">
        <v>172</v>
      </c>
      <c r="C33" t="s">
        <v>298</v>
      </c>
      <c r="D33" t="s">
        <v>281</v>
      </c>
      <c r="E33">
        <v>6.4842309909322102</v>
      </c>
      <c r="F33">
        <v>1.9309010471300605</v>
      </c>
      <c r="G33">
        <v>12.520408410224194</v>
      </c>
      <c r="H33">
        <v>1.2520408410224193E-2</v>
      </c>
      <c r="I33">
        <v>250.40816820448387</v>
      </c>
      <c r="J33">
        <v>0.25040816820448386</v>
      </c>
      <c r="K33">
        <v>20</v>
      </c>
    </row>
    <row r="34" spans="1:11" x14ac:dyDescent="0.25">
      <c r="A34" t="s">
        <v>320</v>
      </c>
      <c r="B34" t="s">
        <v>173</v>
      </c>
      <c r="C34" t="s">
        <v>298</v>
      </c>
      <c r="D34" t="s">
        <v>285</v>
      </c>
      <c r="E34">
        <v>710.02329350707703</v>
      </c>
      <c r="F34">
        <v>2.8606043353349224</v>
      </c>
      <c r="G34">
        <v>2031.0957115951246</v>
      </c>
      <c r="H34">
        <v>2.0310957115951247</v>
      </c>
      <c r="I34">
        <v>40621.91423190249</v>
      </c>
      <c r="J34">
        <v>40.621914231902494</v>
      </c>
      <c r="K34">
        <v>20</v>
      </c>
    </row>
    <row r="35" spans="1:11" x14ac:dyDescent="0.25">
      <c r="A35" t="s">
        <v>320</v>
      </c>
      <c r="B35" t="s">
        <v>170</v>
      </c>
      <c r="C35" t="s">
        <v>298</v>
      </c>
      <c r="D35" t="s">
        <v>283</v>
      </c>
      <c r="E35">
        <v>1.6210577477330499</v>
      </c>
      <c r="F35">
        <v>0.80994288464683095</v>
      </c>
      <c r="G35">
        <v>1.3129641883780012</v>
      </c>
      <c r="H35">
        <v>1.3129641883780011E-3</v>
      </c>
      <c r="I35">
        <v>26.259283767560024</v>
      </c>
      <c r="J35">
        <v>2.6259283767560024E-2</v>
      </c>
      <c r="K35">
        <v>20</v>
      </c>
    </row>
    <row r="36" spans="1:11" x14ac:dyDescent="0.25">
      <c r="A36" t="s">
        <v>320</v>
      </c>
      <c r="B36" t="s">
        <v>167</v>
      </c>
      <c r="C36" t="s">
        <v>298</v>
      </c>
      <c r="D36" t="s">
        <v>284</v>
      </c>
      <c r="E36">
        <v>106.989811350381</v>
      </c>
      <c r="F36">
        <v>1.3966599119546521</v>
      </c>
      <c r="G36">
        <v>149.42838050066797</v>
      </c>
      <c r="H36">
        <v>0.14942838050066798</v>
      </c>
      <c r="I36">
        <v>2988.5676100133596</v>
      </c>
      <c r="J36">
        <v>2.9885676100133596</v>
      </c>
      <c r="K36">
        <v>20</v>
      </c>
    </row>
    <row r="37" spans="1:11" x14ac:dyDescent="0.25">
      <c r="A37" t="s">
        <v>320</v>
      </c>
      <c r="B37" t="s">
        <v>166</v>
      </c>
      <c r="C37" t="s">
        <v>298</v>
      </c>
      <c r="D37" t="s">
        <v>285</v>
      </c>
      <c r="E37">
        <v>423.09607215832602</v>
      </c>
      <c r="F37">
        <v>4.0102047211816423</v>
      </c>
      <c r="G37">
        <v>1696.7018660827277</v>
      </c>
      <c r="H37">
        <v>1.6967018660827278</v>
      </c>
      <c r="I37">
        <v>33934.037321654556</v>
      </c>
      <c r="J37">
        <v>33.934037321654557</v>
      </c>
      <c r="K37">
        <v>20</v>
      </c>
    </row>
    <row r="38" spans="1:11" x14ac:dyDescent="0.25">
      <c r="A38" t="s">
        <v>320</v>
      </c>
      <c r="B38" t="s">
        <v>161</v>
      </c>
      <c r="C38" t="s">
        <v>298</v>
      </c>
      <c r="D38" t="s">
        <v>284</v>
      </c>
      <c r="E38">
        <v>42.147501441059298</v>
      </c>
      <c r="F38">
        <v>5.8259346080909538</v>
      </c>
      <c r="G38">
        <v>245.5485872900307</v>
      </c>
      <c r="H38">
        <v>0.24554858729003071</v>
      </c>
      <c r="I38">
        <v>4910.9717458006144</v>
      </c>
      <c r="J38">
        <v>4.9109717458006141</v>
      </c>
      <c r="K38">
        <v>20</v>
      </c>
    </row>
    <row r="39" spans="1:11" x14ac:dyDescent="0.25">
      <c r="A39" t="s">
        <v>320</v>
      </c>
      <c r="B39" t="s">
        <v>181</v>
      </c>
      <c r="C39" t="s">
        <v>298</v>
      </c>
      <c r="D39" t="s">
        <v>284</v>
      </c>
      <c r="E39">
        <v>55.115963422923798</v>
      </c>
      <c r="F39">
        <v>12.000103389142435</v>
      </c>
      <c r="G39">
        <v>661.39725946727833</v>
      </c>
      <c r="H39">
        <v>0.66139725946727834</v>
      </c>
      <c r="I39">
        <v>13227.945189345566</v>
      </c>
      <c r="J39">
        <v>13.227945189345567</v>
      </c>
      <c r="K39">
        <v>20</v>
      </c>
    </row>
    <row r="40" spans="1:11" x14ac:dyDescent="0.25">
      <c r="A40" t="s">
        <v>320</v>
      </c>
      <c r="B40" t="s">
        <v>186</v>
      </c>
      <c r="C40" t="s">
        <v>298</v>
      </c>
      <c r="D40" t="s">
        <v>284</v>
      </c>
      <c r="E40">
        <v>12.5053026253693</v>
      </c>
      <c r="F40">
        <v>55.755628630734442</v>
      </c>
      <c r="G40">
        <v>697.24100909503909</v>
      </c>
      <c r="H40">
        <v>0.69724100909503905</v>
      </c>
      <c r="I40">
        <v>13944.820181900781</v>
      </c>
      <c r="J40">
        <v>13.944820181900781</v>
      </c>
      <c r="K40">
        <v>20</v>
      </c>
    </row>
    <row r="41" spans="1:11" x14ac:dyDescent="0.25">
      <c r="A41" t="s">
        <v>320</v>
      </c>
      <c r="B41" t="s">
        <v>153</v>
      </c>
      <c r="C41" t="s">
        <v>298</v>
      </c>
      <c r="D41" t="s">
        <v>284</v>
      </c>
      <c r="E41">
        <v>11.3474042341314</v>
      </c>
      <c r="F41">
        <v>11.199742581648824</v>
      </c>
      <c r="G41">
        <v>127.0880063921836</v>
      </c>
      <c r="H41">
        <v>0.12708800639218359</v>
      </c>
      <c r="I41">
        <v>2541.7601278436719</v>
      </c>
      <c r="J41">
        <v>2.5417601278436717</v>
      </c>
      <c r="K41">
        <v>20</v>
      </c>
    </row>
    <row r="42" spans="1:11" x14ac:dyDescent="0.25">
      <c r="A42" s="28" t="s">
        <v>320</v>
      </c>
      <c r="B42" s="28" t="s">
        <v>196</v>
      </c>
      <c r="C42" t="s">
        <v>298</v>
      </c>
      <c r="D42" s="28" t="s">
        <v>197</v>
      </c>
      <c r="E42" s="28">
        <v>610.93613900000003</v>
      </c>
      <c r="F42" s="28">
        <v>0.20596238</v>
      </c>
      <c r="G42" s="28">
        <v>125.82986200000001</v>
      </c>
      <c r="H42">
        <v>0.12582986200000001</v>
      </c>
      <c r="I42">
        <v>2516.5972400000001</v>
      </c>
      <c r="J42">
        <v>2.5165972399999998</v>
      </c>
      <c r="K42">
        <v>20</v>
      </c>
    </row>
    <row r="43" spans="1:11" x14ac:dyDescent="0.25">
      <c r="A43" s="28" t="s">
        <v>320</v>
      </c>
      <c r="B43" s="28" t="s">
        <v>198</v>
      </c>
      <c r="C43" t="s">
        <v>298</v>
      </c>
      <c r="D43" s="28" t="s">
        <v>290</v>
      </c>
      <c r="E43" s="28">
        <v>77.506823600000004</v>
      </c>
      <c r="F43" s="28">
        <v>0.36396768000000002</v>
      </c>
      <c r="G43" s="28">
        <v>28.209978499999998</v>
      </c>
      <c r="H43">
        <v>2.82099785E-2</v>
      </c>
      <c r="I43">
        <v>564.19956999999999</v>
      </c>
      <c r="J43">
        <v>0.56419956999999998</v>
      </c>
      <c r="K43">
        <v>20</v>
      </c>
    </row>
    <row r="44" spans="1:11" x14ac:dyDescent="0.25">
      <c r="A44" s="28" t="s">
        <v>320</v>
      </c>
      <c r="B44" s="28" t="s">
        <v>194</v>
      </c>
      <c r="C44" t="s">
        <v>298</v>
      </c>
      <c r="D44" s="28" t="s">
        <v>192</v>
      </c>
      <c r="E44" s="28">
        <v>15.1974164</v>
      </c>
      <c r="F44" s="28">
        <v>2.3797370000000002E-2</v>
      </c>
      <c r="G44" s="28">
        <v>0.36165850999999999</v>
      </c>
      <c r="H44">
        <v>3.6165850999999997E-4</v>
      </c>
      <c r="I44">
        <v>7.2331702</v>
      </c>
      <c r="J44">
        <v>7.2331701999999998E-3</v>
      </c>
      <c r="K44">
        <v>20</v>
      </c>
    </row>
    <row r="45" spans="1:11" x14ac:dyDescent="0.25">
      <c r="A45" s="28" t="s">
        <v>320</v>
      </c>
      <c r="B45" s="28" t="s">
        <v>201</v>
      </c>
      <c r="C45" t="s">
        <v>298</v>
      </c>
      <c r="D45" s="28" t="s">
        <v>192</v>
      </c>
      <c r="E45" s="28">
        <v>7.59870819</v>
      </c>
      <c r="F45" s="28">
        <v>1.3188719999999999E-2</v>
      </c>
      <c r="G45" s="28">
        <v>0.10021722</v>
      </c>
      <c r="H45">
        <v>1.0021721999999999E-4</v>
      </c>
      <c r="I45">
        <v>2.0043443999999999</v>
      </c>
      <c r="J45">
        <v>2.0043444000000001E-3</v>
      </c>
      <c r="K45">
        <v>20</v>
      </c>
    </row>
    <row r="46" spans="1:11" x14ac:dyDescent="0.25">
      <c r="A46" s="28" t="s">
        <v>320</v>
      </c>
      <c r="B46" s="28" t="s">
        <v>202</v>
      </c>
      <c r="C46" t="s">
        <v>298</v>
      </c>
      <c r="D46" s="28" t="s">
        <v>192</v>
      </c>
      <c r="E46" s="28">
        <v>12.157933099999999</v>
      </c>
      <c r="F46" s="28">
        <v>2.9086899999999998E-3</v>
      </c>
      <c r="G46" s="28">
        <v>3.5363680000000002E-2</v>
      </c>
      <c r="H46">
        <v>3.536368E-5</v>
      </c>
      <c r="I46">
        <v>0.70727360000000006</v>
      </c>
      <c r="J46">
        <v>7.072736E-4</v>
      </c>
      <c r="K46">
        <v>20</v>
      </c>
    </row>
    <row r="47" spans="1:11" x14ac:dyDescent="0.25">
      <c r="A47" s="28" t="s">
        <v>320</v>
      </c>
      <c r="B47" s="28" t="s">
        <v>221</v>
      </c>
      <c r="C47" t="s">
        <v>298</v>
      </c>
      <c r="D47" s="28" t="s">
        <v>192</v>
      </c>
      <c r="E47" s="28">
        <v>1.5197416399999999</v>
      </c>
      <c r="F47" s="28">
        <v>3.7268000000000003E-2</v>
      </c>
      <c r="G47" s="28">
        <v>5.6637729999999997E-2</v>
      </c>
      <c r="H47">
        <v>5.6637729999999997E-5</v>
      </c>
      <c r="I47">
        <v>1.1327545999999999</v>
      </c>
      <c r="J47">
        <v>1.1327545999999999E-3</v>
      </c>
      <c r="K47">
        <v>20</v>
      </c>
    </row>
    <row r="48" spans="1:11" x14ac:dyDescent="0.25">
      <c r="A48" s="28" t="s">
        <v>320</v>
      </c>
      <c r="B48" s="28" t="s">
        <v>209</v>
      </c>
      <c r="C48" t="s">
        <v>298</v>
      </c>
      <c r="D48" s="28" t="s">
        <v>192</v>
      </c>
      <c r="E48" s="28">
        <v>19.756641299999998</v>
      </c>
      <c r="F48" s="28">
        <v>7.7738470000000004E-2</v>
      </c>
      <c r="G48" s="28">
        <v>1.53585098</v>
      </c>
      <c r="H48">
        <v>1.53585098E-3</v>
      </c>
      <c r="I48">
        <v>30.7170196</v>
      </c>
      <c r="J48">
        <v>3.0717019599999999E-2</v>
      </c>
      <c r="K48">
        <v>20</v>
      </c>
    </row>
    <row r="49" spans="1:11" x14ac:dyDescent="0.25">
      <c r="A49" s="28" t="s">
        <v>320</v>
      </c>
      <c r="B49" s="28" t="s">
        <v>210</v>
      </c>
      <c r="C49" t="s">
        <v>298</v>
      </c>
      <c r="D49" s="28" t="s">
        <v>192</v>
      </c>
      <c r="E49" s="28">
        <v>126.13855599999999</v>
      </c>
      <c r="F49" s="28">
        <v>4.7555159999999999E-2</v>
      </c>
      <c r="G49" s="28">
        <v>5.9985392800000001</v>
      </c>
      <c r="H49">
        <v>5.9985392800000004E-3</v>
      </c>
      <c r="I49">
        <v>119.9707856</v>
      </c>
      <c r="J49">
        <v>0.1199707856</v>
      </c>
      <c r="K49">
        <v>20</v>
      </c>
    </row>
    <row r="50" spans="1:11" x14ac:dyDescent="0.25">
      <c r="A50" t="s">
        <v>321</v>
      </c>
      <c r="B50" t="s">
        <v>180</v>
      </c>
      <c r="C50" t="s">
        <v>300</v>
      </c>
      <c r="D50" t="s">
        <v>281</v>
      </c>
      <c r="E50">
        <v>1.0174724161303199</v>
      </c>
      <c r="F50">
        <v>0.84865084111921696</v>
      </c>
      <c r="G50">
        <v>0.86347882176459789</v>
      </c>
      <c r="H50">
        <v>8.6347882176459787E-4</v>
      </c>
      <c r="I50">
        <v>17.26957643529196</v>
      </c>
      <c r="J50">
        <v>1.726957643529196E-2</v>
      </c>
      <c r="K50">
        <v>20</v>
      </c>
    </row>
    <row r="51" spans="1:11" x14ac:dyDescent="0.25">
      <c r="A51" t="s">
        <v>321</v>
      </c>
      <c r="B51" t="s">
        <v>172</v>
      </c>
      <c r="C51" t="s">
        <v>300</v>
      </c>
      <c r="D51" t="s">
        <v>281</v>
      </c>
      <c r="E51">
        <v>24.419337987127701</v>
      </c>
      <c r="F51">
        <v>0.98568458706467654</v>
      </c>
      <c r="G51">
        <v>24.069765080234738</v>
      </c>
      <c r="H51">
        <v>2.4069765080234739E-2</v>
      </c>
      <c r="I51">
        <v>481.39530160469474</v>
      </c>
      <c r="J51">
        <v>0.48139530160469474</v>
      </c>
      <c r="K51">
        <v>20</v>
      </c>
    </row>
    <row r="52" spans="1:11" x14ac:dyDescent="0.25">
      <c r="A52" t="s">
        <v>321</v>
      </c>
      <c r="B52" t="s">
        <v>173</v>
      </c>
      <c r="C52" t="s">
        <v>300</v>
      </c>
      <c r="D52" t="s">
        <v>285</v>
      </c>
      <c r="E52">
        <v>271.66513510679499</v>
      </c>
      <c r="F52">
        <v>2.5321801116143132</v>
      </c>
      <c r="G52">
        <v>687.90505213644167</v>
      </c>
      <c r="H52">
        <v>0.68790505213644171</v>
      </c>
      <c r="I52">
        <v>13758.101042728833</v>
      </c>
      <c r="J52">
        <v>13.758101042728834</v>
      </c>
      <c r="K52">
        <v>20</v>
      </c>
    </row>
    <row r="53" spans="1:11" x14ac:dyDescent="0.25">
      <c r="A53" t="s">
        <v>321</v>
      </c>
      <c r="B53" t="s">
        <v>333</v>
      </c>
      <c r="C53" t="s">
        <v>300</v>
      </c>
      <c r="D53" t="s">
        <v>283</v>
      </c>
      <c r="E53">
        <v>4.0698896645212796</v>
      </c>
      <c r="F53">
        <v>0.99478700705633549</v>
      </c>
      <c r="G53">
        <v>4.048673358418637</v>
      </c>
      <c r="H53">
        <v>4.0486733584186368E-3</v>
      </c>
      <c r="I53">
        <v>80.973467168372736</v>
      </c>
      <c r="J53">
        <v>8.097346716837274E-2</v>
      </c>
      <c r="K53">
        <v>20</v>
      </c>
    </row>
    <row r="54" spans="1:11" x14ac:dyDescent="0.25">
      <c r="A54" t="s">
        <v>321</v>
      </c>
      <c r="B54" t="s">
        <v>167</v>
      </c>
      <c r="C54" t="s">
        <v>300</v>
      </c>
      <c r="D54" t="s">
        <v>284</v>
      </c>
      <c r="E54">
        <v>27.4717552355186</v>
      </c>
      <c r="F54">
        <v>2.1878074776120764</v>
      </c>
      <c r="G54">
        <v>60.102911527396301</v>
      </c>
      <c r="H54">
        <v>6.0102911527396302E-2</v>
      </c>
      <c r="I54">
        <v>1202.0582305479261</v>
      </c>
      <c r="J54">
        <v>1.2020582305479262</v>
      </c>
      <c r="K54">
        <v>20</v>
      </c>
    </row>
    <row r="55" spans="1:11" x14ac:dyDescent="0.25">
      <c r="A55" t="s">
        <v>321</v>
      </c>
      <c r="B55" t="s">
        <v>166</v>
      </c>
      <c r="C55" t="s">
        <v>300</v>
      </c>
      <c r="D55" t="s">
        <v>285</v>
      </c>
      <c r="E55">
        <v>112.93943819046601</v>
      </c>
      <c r="F55">
        <v>3.7327031316135519</v>
      </c>
      <c r="G55">
        <v>421.56939461622767</v>
      </c>
      <c r="H55">
        <v>0.42156939461622767</v>
      </c>
      <c r="I55">
        <v>8431.3878923245538</v>
      </c>
      <c r="J55">
        <v>8.4313878923245547</v>
      </c>
      <c r="K55">
        <v>20</v>
      </c>
    </row>
    <row r="56" spans="1:11" x14ac:dyDescent="0.25">
      <c r="A56" t="s">
        <v>321</v>
      </c>
      <c r="B56" t="s">
        <v>162</v>
      </c>
      <c r="C56" t="s">
        <v>300</v>
      </c>
      <c r="D56" t="s">
        <v>284</v>
      </c>
      <c r="E56">
        <v>1.0174724161303199</v>
      </c>
      <c r="F56">
        <v>7.4132744326657098</v>
      </c>
      <c r="G56">
        <v>7.5428022484415065</v>
      </c>
      <c r="H56">
        <v>7.5428022484415064E-3</v>
      </c>
      <c r="I56">
        <v>150.85604496883013</v>
      </c>
      <c r="J56">
        <v>0.15085604496883012</v>
      </c>
      <c r="K56">
        <v>20</v>
      </c>
    </row>
    <row r="57" spans="1:11" x14ac:dyDescent="0.25">
      <c r="A57" t="s">
        <v>321</v>
      </c>
      <c r="B57" t="s">
        <v>161</v>
      </c>
      <c r="C57" t="s">
        <v>300</v>
      </c>
      <c r="D57" t="s">
        <v>284</v>
      </c>
      <c r="E57">
        <v>106.834603693684</v>
      </c>
      <c r="F57">
        <v>6.0227005440850325</v>
      </c>
      <c r="G57">
        <v>643.43282579305946</v>
      </c>
      <c r="H57">
        <v>0.64343282579305949</v>
      </c>
      <c r="I57">
        <v>12868.656515861188</v>
      </c>
      <c r="J57">
        <v>12.868656515861188</v>
      </c>
      <c r="K57">
        <v>20</v>
      </c>
    </row>
    <row r="58" spans="1:11" x14ac:dyDescent="0.25">
      <c r="A58" t="s">
        <v>321</v>
      </c>
      <c r="B58" t="s">
        <v>181</v>
      </c>
      <c r="C58" t="s">
        <v>300</v>
      </c>
      <c r="D58" t="s">
        <v>284</v>
      </c>
      <c r="E58">
        <v>19.331975906476099</v>
      </c>
      <c r="F58">
        <v>12.503158561251311</v>
      </c>
      <c r="G58">
        <v>241.71076006096072</v>
      </c>
      <c r="H58">
        <v>0.24171076006096073</v>
      </c>
      <c r="I58">
        <v>4834.2152012192146</v>
      </c>
      <c r="J58">
        <v>4.834215201219215</v>
      </c>
      <c r="K58">
        <v>20</v>
      </c>
    </row>
    <row r="59" spans="1:11" x14ac:dyDescent="0.25">
      <c r="A59" t="s">
        <v>321</v>
      </c>
      <c r="B59" t="s">
        <v>186</v>
      </c>
      <c r="C59" t="s">
        <v>300</v>
      </c>
      <c r="D59" t="s">
        <v>284</v>
      </c>
      <c r="E59">
        <v>3.05241724839096</v>
      </c>
      <c r="F59">
        <v>58.997638854306402</v>
      </c>
      <c r="G59">
        <v>180.08541045322553</v>
      </c>
      <c r="H59">
        <v>0.18008541045322554</v>
      </c>
      <c r="I59">
        <v>3601.7082090645108</v>
      </c>
      <c r="J59">
        <v>3.6017082090645109</v>
      </c>
      <c r="K59">
        <v>20</v>
      </c>
    </row>
    <row r="60" spans="1:11" x14ac:dyDescent="0.25">
      <c r="A60" t="s">
        <v>321</v>
      </c>
      <c r="B60" t="s">
        <v>153</v>
      </c>
      <c r="C60" t="s">
        <v>300</v>
      </c>
      <c r="D60" t="s">
        <v>284</v>
      </c>
      <c r="E60">
        <v>10.1747241613032</v>
      </c>
      <c r="F60">
        <v>11.00313765355563</v>
      </c>
      <c r="G60">
        <v>111.95389053377745</v>
      </c>
      <c r="H60">
        <v>0.11195389053377745</v>
      </c>
      <c r="I60">
        <v>2239.0778106755492</v>
      </c>
      <c r="J60">
        <v>2.2390778106755493</v>
      </c>
      <c r="K60">
        <v>20</v>
      </c>
    </row>
    <row r="61" spans="1:11" x14ac:dyDescent="0.25">
      <c r="A61" s="28" t="s">
        <v>321</v>
      </c>
      <c r="B61" s="28" t="s">
        <v>196</v>
      </c>
      <c r="C61" t="s">
        <v>300</v>
      </c>
      <c r="D61" s="28" t="s">
        <v>197</v>
      </c>
      <c r="E61" s="28">
        <v>799.73331900000005</v>
      </c>
      <c r="F61" s="28">
        <v>0.23454741000000001</v>
      </c>
      <c r="G61" s="28">
        <v>187.57538</v>
      </c>
      <c r="H61">
        <v>0.18757537999999999</v>
      </c>
      <c r="I61">
        <v>3751.5075999999999</v>
      </c>
      <c r="J61">
        <v>3.7515076000000001</v>
      </c>
      <c r="K61">
        <v>20</v>
      </c>
    </row>
    <row r="62" spans="1:11" x14ac:dyDescent="0.25">
      <c r="A62" s="28" t="s">
        <v>321</v>
      </c>
      <c r="B62" s="28" t="s">
        <v>198</v>
      </c>
      <c r="C62" t="s">
        <v>300</v>
      </c>
      <c r="D62" s="28" t="s">
        <v>290</v>
      </c>
      <c r="E62" s="28">
        <v>52.908565600000003</v>
      </c>
      <c r="F62" s="28">
        <v>0.16206193999999999</v>
      </c>
      <c r="G62" s="28">
        <v>8.5744649000000006</v>
      </c>
      <c r="H62">
        <v>8.5744649000000003E-3</v>
      </c>
      <c r="I62">
        <v>171.48929800000002</v>
      </c>
      <c r="J62">
        <v>0.17148929800000001</v>
      </c>
      <c r="K62">
        <v>20</v>
      </c>
    </row>
    <row r="63" spans="1:11" x14ac:dyDescent="0.25">
      <c r="A63" s="28" t="s">
        <v>321</v>
      </c>
      <c r="B63" s="28" t="s">
        <v>194</v>
      </c>
      <c r="C63" t="s">
        <v>300</v>
      </c>
      <c r="D63" s="28" t="s">
        <v>192</v>
      </c>
      <c r="E63" s="28">
        <v>20.349448299999999</v>
      </c>
      <c r="F63" s="28">
        <v>2.6349339999999999E-2</v>
      </c>
      <c r="G63" s="28">
        <v>0.53619444999999999</v>
      </c>
      <c r="H63">
        <v>5.3619444999999997E-4</v>
      </c>
      <c r="I63">
        <v>10.723889</v>
      </c>
      <c r="J63">
        <v>1.0723889E-2</v>
      </c>
      <c r="K63">
        <v>20</v>
      </c>
    </row>
    <row r="64" spans="1:11" x14ac:dyDescent="0.25">
      <c r="A64" s="28" t="s">
        <v>321</v>
      </c>
      <c r="B64" s="28" t="s">
        <v>195</v>
      </c>
      <c r="C64" t="s">
        <v>300</v>
      </c>
      <c r="D64" s="28" t="s">
        <v>192</v>
      </c>
      <c r="E64" s="28">
        <v>6.1048344999999999</v>
      </c>
      <c r="F64" s="28">
        <v>1.189307E-2</v>
      </c>
      <c r="G64" s="28">
        <v>7.2605210000000003E-2</v>
      </c>
      <c r="H64">
        <v>7.2605210000000001E-5</v>
      </c>
      <c r="I64">
        <v>1.4521042</v>
      </c>
      <c r="J64">
        <v>1.4521041999999999E-3</v>
      </c>
      <c r="K64">
        <v>20</v>
      </c>
    </row>
    <row r="65" spans="1:11" x14ac:dyDescent="0.25">
      <c r="A65" s="28" t="s">
        <v>321</v>
      </c>
      <c r="B65" s="28" t="s">
        <v>201</v>
      </c>
      <c r="C65" t="s">
        <v>300</v>
      </c>
      <c r="D65" s="28" t="s">
        <v>192</v>
      </c>
      <c r="E65" s="28">
        <v>4.0698896600000003</v>
      </c>
      <c r="F65" s="28">
        <v>1.6886849999999998E-2</v>
      </c>
      <c r="G65" s="28">
        <v>6.8727620000000003E-2</v>
      </c>
      <c r="H65">
        <v>6.8727619999999997E-5</v>
      </c>
      <c r="I65">
        <v>1.3745524</v>
      </c>
      <c r="J65">
        <v>1.3745523999999999E-3</v>
      </c>
      <c r="K65">
        <v>20</v>
      </c>
    </row>
    <row r="66" spans="1:11" x14ac:dyDescent="0.25">
      <c r="A66" s="28" t="s">
        <v>321</v>
      </c>
      <c r="B66" s="28" t="s">
        <v>202</v>
      </c>
      <c r="C66" t="s">
        <v>300</v>
      </c>
      <c r="D66" s="28" t="s">
        <v>192</v>
      </c>
      <c r="E66" s="28">
        <v>18.314503500000001</v>
      </c>
      <c r="F66" s="28">
        <v>2.6202399999999998E-3</v>
      </c>
      <c r="G66" s="28">
        <v>4.7988370000000002E-2</v>
      </c>
      <c r="H66">
        <v>4.7988370000000001E-5</v>
      </c>
      <c r="I66">
        <v>0.95976740000000005</v>
      </c>
      <c r="J66">
        <v>9.5976740000000007E-4</v>
      </c>
      <c r="K66">
        <v>20</v>
      </c>
    </row>
    <row r="67" spans="1:11" x14ac:dyDescent="0.25">
      <c r="A67" s="28" t="s">
        <v>321</v>
      </c>
      <c r="B67" s="28" t="s">
        <v>232</v>
      </c>
      <c r="C67" t="s">
        <v>300</v>
      </c>
      <c r="D67" s="28" t="s">
        <v>192</v>
      </c>
      <c r="E67" s="28">
        <v>2.0349448300000001</v>
      </c>
      <c r="F67" s="28">
        <v>7.0423239999999998E-2</v>
      </c>
      <c r="G67" s="28">
        <v>0.1433074</v>
      </c>
      <c r="H67">
        <v>1.4330739999999999E-4</v>
      </c>
      <c r="I67">
        <v>2.8661479999999999</v>
      </c>
      <c r="J67">
        <v>2.8661479999999998E-3</v>
      </c>
      <c r="K67">
        <v>20</v>
      </c>
    </row>
    <row r="68" spans="1:11" x14ac:dyDescent="0.25">
      <c r="A68" s="28" t="s">
        <v>321</v>
      </c>
      <c r="B68" s="28" t="s">
        <v>334</v>
      </c>
      <c r="C68" t="s">
        <v>300</v>
      </c>
      <c r="D68" s="28" t="s">
        <v>192</v>
      </c>
      <c r="E68" s="28">
        <v>2.0349448300000001</v>
      </c>
      <c r="F68" s="28">
        <v>6.2640899999999999E-3</v>
      </c>
      <c r="G68" s="28">
        <v>1.2747069999999999E-2</v>
      </c>
      <c r="H68">
        <v>1.274707E-5</v>
      </c>
      <c r="I68">
        <v>0.25494139999999998</v>
      </c>
      <c r="J68">
        <v>2.5494139999999998E-4</v>
      </c>
      <c r="K68">
        <v>20</v>
      </c>
    </row>
    <row r="69" spans="1:11" x14ac:dyDescent="0.25">
      <c r="A69" s="28" t="s">
        <v>321</v>
      </c>
      <c r="B69" s="28" t="s">
        <v>220</v>
      </c>
      <c r="C69" t="s">
        <v>300</v>
      </c>
      <c r="D69" s="28" t="s">
        <v>192</v>
      </c>
      <c r="E69" s="28">
        <v>2.0349448300000001</v>
      </c>
      <c r="F69" s="28">
        <v>7.3586020000000002E-2</v>
      </c>
      <c r="G69" s="28">
        <v>0.14974348000000001</v>
      </c>
      <c r="H69">
        <v>1.4974348000000001E-4</v>
      </c>
      <c r="I69">
        <v>2.9948696000000004</v>
      </c>
      <c r="J69">
        <v>2.9948696000000005E-3</v>
      </c>
      <c r="K69">
        <v>20</v>
      </c>
    </row>
    <row r="70" spans="1:11" x14ac:dyDescent="0.25">
      <c r="A70" s="28" t="s">
        <v>321</v>
      </c>
      <c r="B70" s="28" t="s">
        <v>222</v>
      </c>
      <c r="C70" t="s">
        <v>300</v>
      </c>
      <c r="D70" s="28" t="s">
        <v>192</v>
      </c>
      <c r="E70" s="28">
        <v>10.1747242</v>
      </c>
      <c r="F70" s="28">
        <v>1.721642E-2</v>
      </c>
      <c r="G70" s="28">
        <v>0.17517231999999999</v>
      </c>
      <c r="H70">
        <v>1.7517231999999999E-4</v>
      </c>
      <c r="I70">
        <v>3.5034463999999996</v>
      </c>
      <c r="J70">
        <v>3.5034463999999996E-3</v>
      </c>
      <c r="K70">
        <v>20</v>
      </c>
    </row>
    <row r="71" spans="1:11" x14ac:dyDescent="0.25">
      <c r="A71" s="28" t="s">
        <v>321</v>
      </c>
      <c r="B71" s="28" t="s">
        <v>209</v>
      </c>
      <c r="C71" t="s">
        <v>300</v>
      </c>
      <c r="D71" s="28" t="s">
        <v>192</v>
      </c>
      <c r="E71" s="28">
        <v>22.384393200000002</v>
      </c>
      <c r="F71" s="28">
        <v>6.6102960000000002E-2</v>
      </c>
      <c r="G71" s="28">
        <v>1.47967458</v>
      </c>
      <c r="H71">
        <v>1.4796745799999999E-3</v>
      </c>
      <c r="I71">
        <v>29.5934916</v>
      </c>
      <c r="J71">
        <v>2.9593491600000001E-2</v>
      </c>
      <c r="K71">
        <v>20</v>
      </c>
    </row>
    <row r="72" spans="1:11" x14ac:dyDescent="0.25">
      <c r="A72" s="28" t="s">
        <v>321</v>
      </c>
      <c r="B72" s="28" t="s">
        <v>210</v>
      </c>
      <c r="C72" t="s">
        <v>300</v>
      </c>
      <c r="D72" s="28" t="s">
        <v>192</v>
      </c>
      <c r="E72" s="28">
        <v>95.6424071</v>
      </c>
      <c r="F72" s="28">
        <v>4.8577099999999998E-2</v>
      </c>
      <c r="G72" s="28">
        <v>4.6460312100000003</v>
      </c>
      <c r="H72">
        <v>4.6460312100000001E-3</v>
      </c>
      <c r="I72">
        <v>92.920624200000006</v>
      </c>
      <c r="J72">
        <v>9.292062420000001E-2</v>
      </c>
      <c r="K72">
        <v>20</v>
      </c>
    </row>
    <row r="73" spans="1:11" x14ac:dyDescent="0.25">
      <c r="A73" t="s">
        <v>322</v>
      </c>
      <c r="B73" t="s">
        <v>172</v>
      </c>
      <c r="C73" t="s">
        <v>302</v>
      </c>
      <c r="D73" t="s">
        <v>281</v>
      </c>
      <c r="E73">
        <v>87.991014546950097</v>
      </c>
      <c r="F73">
        <v>1.2299634465462623</v>
      </c>
      <c r="G73">
        <v>108.22573151726905</v>
      </c>
      <c r="H73">
        <v>0.10822573151726905</v>
      </c>
      <c r="I73">
        <v>2164.5146303453812</v>
      </c>
      <c r="J73">
        <v>2.1645146303453813</v>
      </c>
      <c r="K73">
        <v>20</v>
      </c>
    </row>
    <row r="74" spans="1:11" x14ac:dyDescent="0.25">
      <c r="A74" t="s">
        <v>322</v>
      </c>
      <c r="B74" t="s">
        <v>173</v>
      </c>
      <c r="C74" t="s">
        <v>302</v>
      </c>
      <c r="D74" t="s">
        <v>285</v>
      </c>
      <c r="E74">
        <v>900.95147503507599</v>
      </c>
      <c r="F74">
        <v>2.2072153536469843</v>
      </c>
      <c r="G74">
        <v>1988.5939285883173</v>
      </c>
      <c r="H74">
        <v>1.9885939285883174</v>
      </c>
      <c r="I74">
        <v>39771.878571766349</v>
      </c>
      <c r="J74">
        <v>39.771878571766351</v>
      </c>
      <c r="K74">
        <v>20</v>
      </c>
    </row>
    <row r="75" spans="1:11" x14ac:dyDescent="0.25">
      <c r="A75" t="s">
        <v>322</v>
      </c>
      <c r="B75" t="s">
        <v>333</v>
      </c>
      <c r="C75" t="s">
        <v>302</v>
      </c>
      <c r="D75" t="s">
        <v>283</v>
      </c>
      <c r="E75">
        <v>15.302785138599999</v>
      </c>
      <c r="F75">
        <v>1.2015424820699065</v>
      </c>
      <c r="G75">
        <v>18.386946438015922</v>
      </c>
      <c r="H75">
        <v>1.8386946438015923E-2</v>
      </c>
      <c r="I75">
        <v>367.73892876031846</v>
      </c>
      <c r="J75">
        <v>0.36773892876031844</v>
      </c>
      <c r="K75">
        <v>20</v>
      </c>
    </row>
    <row r="76" spans="1:11" x14ac:dyDescent="0.25">
      <c r="A76" t="s">
        <v>322</v>
      </c>
      <c r="B76" t="s">
        <v>167</v>
      </c>
      <c r="C76" t="s">
        <v>302</v>
      </c>
      <c r="D76" t="s">
        <v>284</v>
      </c>
      <c r="E76">
        <v>235.280321505975</v>
      </c>
      <c r="F76">
        <v>2.1257708599779752</v>
      </c>
      <c r="G76">
        <v>500.15205138365098</v>
      </c>
      <c r="H76">
        <v>0.50015205138365093</v>
      </c>
      <c r="I76">
        <v>10003.04102767302</v>
      </c>
      <c r="J76">
        <v>10.003041027673019</v>
      </c>
      <c r="K76">
        <v>20</v>
      </c>
    </row>
    <row r="77" spans="1:11" x14ac:dyDescent="0.25">
      <c r="A77" t="s">
        <v>322</v>
      </c>
      <c r="B77" t="s">
        <v>166</v>
      </c>
      <c r="C77" t="s">
        <v>302</v>
      </c>
      <c r="D77" t="s">
        <v>285</v>
      </c>
      <c r="E77">
        <v>573.85444269749996</v>
      </c>
      <c r="F77">
        <v>4.4232751351640598</v>
      </c>
      <c r="G77">
        <v>2538.3160875872804</v>
      </c>
      <c r="H77">
        <v>2.5383160875872806</v>
      </c>
      <c r="I77">
        <v>50766.321751745607</v>
      </c>
      <c r="J77">
        <v>50.766321751745608</v>
      </c>
      <c r="K77">
        <v>20</v>
      </c>
    </row>
    <row r="78" spans="1:11" x14ac:dyDescent="0.25">
      <c r="A78" t="s">
        <v>322</v>
      </c>
      <c r="B78" t="s">
        <v>162</v>
      </c>
      <c r="C78" t="s">
        <v>302</v>
      </c>
      <c r="D78" t="s">
        <v>284</v>
      </c>
      <c r="E78">
        <v>1.9128481423249999</v>
      </c>
      <c r="F78">
        <v>7.7619248318104201</v>
      </c>
      <c r="G78">
        <v>14.847383495394849</v>
      </c>
      <c r="H78">
        <v>1.4847383495394849E-2</v>
      </c>
      <c r="I78">
        <v>296.94766990789697</v>
      </c>
      <c r="J78">
        <v>0.29694766990789695</v>
      </c>
      <c r="K78">
        <v>20</v>
      </c>
    </row>
    <row r="79" spans="1:11" x14ac:dyDescent="0.25">
      <c r="A79" t="s">
        <v>322</v>
      </c>
      <c r="B79" t="s">
        <v>161</v>
      </c>
      <c r="C79" t="s">
        <v>302</v>
      </c>
      <c r="D79" t="s">
        <v>284</v>
      </c>
      <c r="E79">
        <v>19.128481423250001</v>
      </c>
      <c r="F79">
        <v>5.8930197686707668</v>
      </c>
      <c r="G79">
        <v>112.72451917186378</v>
      </c>
      <c r="H79">
        <v>0.11272451917186378</v>
      </c>
      <c r="I79">
        <v>2254.4903834372753</v>
      </c>
      <c r="J79">
        <v>2.2544903834372754</v>
      </c>
      <c r="K79">
        <v>20</v>
      </c>
    </row>
    <row r="80" spans="1:11" x14ac:dyDescent="0.25">
      <c r="A80" t="s">
        <v>322</v>
      </c>
      <c r="B80" t="s">
        <v>181</v>
      </c>
      <c r="C80" t="s">
        <v>302</v>
      </c>
      <c r="D80" t="s">
        <v>284</v>
      </c>
      <c r="E80">
        <v>17.215633280925001</v>
      </c>
      <c r="F80">
        <v>11.512760067777309</v>
      </c>
      <c r="G80">
        <v>198.1994553781314</v>
      </c>
      <c r="H80">
        <v>0.19819945537813141</v>
      </c>
      <c r="I80">
        <v>3963.9891075626283</v>
      </c>
      <c r="J80">
        <v>3.9639891075626283</v>
      </c>
      <c r="K80">
        <v>20</v>
      </c>
    </row>
    <row r="81" spans="1:11" x14ac:dyDescent="0.25">
      <c r="A81" t="s">
        <v>322</v>
      </c>
      <c r="B81" t="s">
        <v>186</v>
      </c>
      <c r="C81" t="s">
        <v>302</v>
      </c>
      <c r="D81" t="s">
        <v>284</v>
      </c>
      <c r="E81">
        <v>1.63958412199286</v>
      </c>
      <c r="F81">
        <v>58.077979649400604</v>
      </c>
      <c r="G81">
        <v>95.223733270581675</v>
      </c>
      <c r="H81">
        <v>9.5223733270581673E-2</v>
      </c>
      <c r="I81">
        <v>1904.4746654116334</v>
      </c>
      <c r="J81">
        <v>1.9044746654116333</v>
      </c>
      <c r="K81">
        <v>20</v>
      </c>
    </row>
    <row r="82" spans="1:11" x14ac:dyDescent="0.25">
      <c r="A82" t="s">
        <v>322</v>
      </c>
      <c r="B82" t="s">
        <v>153</v>
      </c>
      <c r="C82" t="s">
        <v>302</v>
      </c>
      <c r="D82" t="s">
        <v>284</v>
      </c>
      <c r="E82">
        <v>11.477088853950001</v>
      </c>
      <c r="F82">
        <v>8.102365506309722</v>
      </c>
      <c r="G82">
        <v>92.99156884309626</v>
      </c>
      <c r="H82">
        <v>9.2991568843096256E-2</v>
      </c>
      <c r="I82">
        <v>1859.8313768619253</v>
      </c>
      <c r="J82">
        <v>1.8598313768619252</v>
      </c>
      <c r="K82">
        <v>20</v>
      </c>
    </row>
    <row r="83" spans="1:11" x14ac:dyDescent="0.25">
      <c r="A83" s="28" t="s">
        <v>322</v>
      </c>
      <c r="B83" s="28" t="s">
        <v>196</v>
      </c>
      <c r="C83" t="s">
        <v>302</v>
      </c>
      <c r="D83" s="28" t="s">
        <v>197</v>
      </c>
      <c r="E83" s="28">
        <v>510.73045400000001</v>
      </c>
      <c r="F83" s="28">
        <v>0.23637464</v>
      </c>
      <c r="G83" s="28">
        <v>120.72372799999999</v>
      </c>
      <c r="H83">
        <v>0.12072372799999999</v>
      </c>
      <c r="I83">
        <v>2414.4745599999997</v>
      </c>
      <c r="J83">
        <v>2.4144745599999995</v>
      </c>
      <c r="K83">
        <v>20</v>
      </c>
    </row>
    <row r="84" spans="1:11" x14ac:dyDescent="0.25">
      <c r="A84" s="28" t="s">
        <v>322</v>
      </c>
      <c r="B84" s="28" t="s">
        <v>198</v>
      </c>
      <c r="C84" t="s">
        <v>302</v>
      </c>
      <c r="D84" s="28" t="s">
        <v>290</v>
      </c>
      <c r="E84" s="28">
        <v>682.88678700000003</v>
      </c>
      <c r="F84" s="28">
        <v>0.19100424999999999</v>
      </c>
      <c r="G84" s="28">
        <v>130.43427600000001</v>
      </c>
      <c r="H84">
        <v>0.13043427600000002</v>
      </c>
      <c r="I84">
        <v>2608.68552</v>
      </c>
      <c r="J84">
        <v>2.6086855199999999</v>
      </c>
      <c r="K84">
        <v>20</v>
      </c>
    </row>
    <row r="85" spans="1:11" x14ac:dyDescent="0.25">
      <c r="A85" s="28" t="s">
        <v>322</v>
      </c>
      <c r="B85" s="28" t="s">
        <v>194</v>
      </c>
      <c r="C85" t="s">
        <v>302</v>
      </c>
      <c r="D85" s="28" t="s">
        <v>192</v>
      </c>
      <c r="E85" s="28">
        <v>22.954177699999999</v>
      </c>
      <c r="F85" s="28">
        <v>2.9683439999999998E-2</v>
      </c>
      <c r="G85" s="28">
        <v>0.68135895999999996</v>
      </c>
      <c r="H85">
        <v>6.8135895999999992E-4</v>
      </c>
      <c r="I85">
        <v>13.627179199999999</v>
      </c>
      <c r="J85">
        <v>1.3627179199999999E-2</v>
      </c>
      <c r="K85">
        <v>20</v>
      </c>
    </row>
    <row r="86" spans="1:11" x14ac:dyDescent="0.25">
      <c r="A86" s="28" t="s">
        <v>322</v>
      </c>
      <c r="B86" s="28" t="s">
        <v>201</v>
      </c>
      <c r="C86" t="s">
        <v>302</v>
      </c>
      <c r="D86" s="28" t="s">
        <v>192</v>
      </c>
      <c r="E86" s="28">
        <v>2.8692722100000001</v>
      </c>
      <c r="F86" s="28">
        <v>1.29459E-2</v>
      </c>
      <c r="G86" s="28">
        <v>3.7145320000000003E-2</v>
      </c>
      <c r="H86">
        <v>3.714532E-5</v>
      </c>
      <c r="I86">
        <v>0.74290640000000008</v>
      </c>
      <c r="J86">
        <v>7.4290640000000013E-4</v>
      </c>
      <c r="K86">
        <v>20</v>
      </c>
    </row>
    <row r="87" spans="1:11" x14ac:dyDescent="0.25">
      <c r="A87" s="28" t="s">
        <v>322</v>
      </c>
      <c r="B87" s="28" t="s">
        <v>202</v>
      </c>
      <c r="C87" t="s">
        <v>302</v>
      </c>
      <c r="D87" s="28" t="s">
        <v>192</v>
      </c>
      <c r="E87" s="28">
        <v>22.954177699999999</v>
      </c>
      <c r="F87" s="28">
        <v>3.9958700000000003E-3</v>
      </c>
      <c r="G87" s="28">
        <v>9.1721949999999997E-2</v>
      </c>
      <c r="H87">
        <v>9.1721949999999997E-5</v>
      </c>
      <c r="I87">
        <v>1.8344389999999999</v>
      </c>
      <c r="J87">
        <v>1.834439E-3</v>
      </c>
      <c r="K87">
        <v>20</v>
      </c>
    </row>
    <row r="88" spans="1:11" x14ac:dyDescent="0.25">
      <c r="A88" s="28" t="s">
        <v>322</v>
      </c>
      <c r="B88" s="28" t="s">
        <v>232</v>
      </c>
      <c r="C88" t="s">
        <v>302</v>
      </c>
      <c r="D88" s="28" t="s">
        <v>192</v>
      </c>
      <c r="E88" s="28">
        <v>2.8692722100000001</v>
      </c>
      <c r="F88" s="28">
        <v>5.3129259999999998E-2</v>
      </c>
      <c r="G88" s="28">
        <v>0.15244231</v>
      </c>
      <c r="H88">
        <v>1.5244231000000001E-4</v>
      </c>
      <c r="I88">
        <v>3.0488461999999998</v>
      </c>
      <c r="J88">
        <v>3.0488461999999997E-3</v>
      </c>
      <c r="K88">
        <v>20</v>
      </c>
    </row>
    <row r="89" spans="1:11" x14ac:dyDescent="0.25">
      <c r="A89" s="28" t="s">
        <v>322</v>
      </c>
      <c r="B89" s="28" t="s">
        <v>332</v>
      </c>
      <c r="C89" t="s">
        <v>302</v>
      </c>
      <c r="D89" s="28" t="s">
        <v>192</v>
      </c>
      <c r="E89" s="28">
        <v>2.8692722100000001</v>
      </c>
      <c r="F89" s="28">
        <v>9.2897299999999995E-3</v>
      </c>
      <c r="G89" s="28">
        <v>2.665476E-2</v>
      </c>
      <c r="H89">
        <v>2.6654759999999998E-5</v>
      </c>
      <c r="I89">
        <v>0.53309519999999999</v>
      </c>
      <c r="J89">
        <v>5.3309519999999999E-4</v>
      </c>
      <c r="K89">
        <v>20</v>
      </c>
    </row>
    <row r="90" spans="1:11" x14ac:dyDescent="0.25">
      <c r="A90" s="28" t="s">
        <v>322</v>
      </c>
      <c r="B90" s="28" t="s">
        <v>209</v>
      </c>
      <c r="C90" t="s">
        <v>302</v>
      </c>
      <c r="D90" s="28" t="s">
        <v>192</v>
      </c>
      <c r="E90" s="28">
        <v>80.339622000000006</v>
      </c>
      <c r="F90" s="28">
        <v>6.9250530000000005E-2</v>
      </c>
      <c r="G90" s="28">
        <v>5.5635615700000001</v>
      </c>
      <c r="H90">
        <v>5.5635615700000002E-3</v>
      </c>
      <c r="I90">
        <v>111.2712314</v>
      </c>
      <c r="J90">
        <v>0.1112712314</v>
      </c>
      <c r="K90">
        <v>20</v>
      </c>
    </row>
    <row r="91" spans="1:11" x14ac:dyDescent="0.25">
      <c r="A91" s="28" t="s">
        <v>322</v>
      </c>
      <c r="B91" s="28" t="s">
        <v>210</v>
      </c>
      <c r="C91" t="s">
        <v>302</v>
      </c>
      <c r="D91" s="28" t="s">
        <v>192</v>
      </c>
      <c r="E91" s="28">
        <v>855.04312000000004</v>
      </c>
      <c r="F91" s="28">
        <v>5.7970430000000003E-2</v>
      </c>
      <c r="G91" s="28">
        <v>49.567214700000001</v>
      </c>
      <c r="H91">
        <v>4.9567214700000001E-2</v>
      </c>
      <c r="I91">
        <v>991.34429399999999</v>
      </c>
      <c r="J91">
        <v>0.99134429400000001</v>
      </c>
      <c r="K91">
        <v>20</v>
      </c>
    </row>
    <row r="92" spans="1:11" x14ac:dyDescent="0.25">
      <c r="A92" t="s">
        <v>323</v>
      </c>
      <c r="B92" t="s">
        <v>172</v>
      </c>
      <c r="C92" t="s">
        <v>304</v>
      </c>
      <c r="D92" t="s">
        <v>281</v>
      </c>
      <c r="E92">
        <v>24.9501931607609</v>
      </c>
      <c r="F92">
        <v>0.75259512176462295</v>
      </c>
      <c r="G92">
        <v>18.777393659873713</v>
      </c>
      <c r="H92">
        <v>1.8777393659873715E-2</v>
      </c>
      <c r="I92">
        <v>375.54787319747425</v>
      </c>
      <c r="J92">
        <v>0.37554787319747424</v>
      </c>
      <c r="K92">
        <v>20</v>
      </c>
    </row>
    <row r="93" spans="1:11" x14ac:dyDescent="0.25">
      <c r="A93" t="s">
        <v>323</v>
      </c>
      <c r="B93" t="s">
        <v>173</v>
      </c>
      <c r="C93" t="s">
        <v>304</v>
      </c>
      <c r="D93" t="s">
        <v>285</v>
      </c>
      <c r="E93">
        <v>406.68814852040202</v>
      </c>
      <c r="F93">
        <v>1.5130544087470243</v>
      </c>
      <c r="G93">
        <v>615.34129610395894</v>
      </c>
      <c r="H93">
        <v>0.61534129610395893</v>
      </c>
      <c r="I93">
        <v>12306.825922079179</v>
      </c>
      <c r="J93">
        <v>12.306825922079179</v>
      </c>
      <c r="K93">
        <v>20</v>
      </c>
    </row>
    <row r="94" spans="1:11" x14ac:dyDescent="0.25">
      <c r="A94" t="s">
        <v>323</v>
      </c>
      <c r="B94" t="s">
        <v>333</v>
      </c>
      <c r="C94" t="s">
        <v>304</v>
      </c>
      <c r="D94" t="s">
        <v>283</v>
      </c>
      <c r="E94">
        <v>0.83167310535869599</v>
      </c>
      <c r="F94">
        <v>0.85427110581990096</v>
      </c>
      <c r="G94">
        <v>0.71047430339544426</v>
      </c>
      <c r="H94">
        <v>7.1047430339544429E-4</v>
      </c>
      <c r="I94">
        <v>14.209486067908886</v>
      </c>
      <c r="J94">
        <v>1.4209486067908885E-2</v>
      </c>
      <c r="K94">
        <v>20</v>
      </c>
    </row>
    <row r="95" spans="1:11" x14ac:dyDescent="0.25">
      <c r="A95" t="s">
        <v>323</v>
      </c>
      <c r="B95" t="s">
        <v>167</v>
      </c>
      <c r="C95" t="s">
        <v>304</v>
      </c>
      <c r="D95" t="s">
        <v>284</v>
      </c>
      <c r="E95">
        <v>127.245985119881</v>
      </c>
      <c r="F95">
        <v>0.95772275277167351</v>
      </c>
      <c r="G95">
        <v>121.86637514815584</v>
      </c>
      <c r="H95">
        <v>0.12186637514815583</v>
      </c>
      <c r="I95">
        <v>2437.3275029631168</v>
      </c>
      <c r="J95">
        <v>2.4373275029631167</v>
      </c>
      <c r="K95">
        <v>20</v>
      </c>
    </row>
    <row r="96" spans="1:11" x14ac:dyDescent="0.25">
      <c r="A96" t="s">
        <v>323</v>
      </c>
      <c r="B96" t="s">
        <v>166</v>
      </c>
      <c r="C96" t="s">
        <v>304</v>
      </c>
      <c r="D96" t="s">
        <v>285</v>
      </c>
      <c r="E96">
        <v>36.593616635782602</v>
      </c>
      <c r="F96">
        <v>3.1127263126330496</v>
      </c>
      <c r="G96">
        <v>113.905913376607</v>
      </c>
      <c r="H96">
        <v>0.11390591337660701</v>
      </c>
      <c r="I96">
        <v>2278.1182675321402</v>
      </c>
      <c r="J96">
        <v>2.2781182675321401</v>
      </c>
      <c r="K96">
        <v>20</v>
      </c>
    </row>
    <row r="97" spans="1:11" x14ac:dyDescent="0.25">
      <c r="A97" t="s">
        <v>323</v>
      </c>
      <c r="B97" t="s">
        <v>161</v>
      </c>
      <c r="C97" t="s">
        <v>304</v>
      </c>
      <c r="D97" t="s">
        <v>284</v>
      </c>
      <c r="E97">
        <v>30.771904898271799</v>
      </c>
      <c r="F97">
        <v>5.9550152242830761</v>
      </c>
      <c r="G97">
        <v>183.24716214939951</v>
      </c>
      <c r="H97">
        <v>0.18324716214939951</v>
      </c>
      <c r="I97">
        <v>3664.9432429879903</v>
      </c>
      <c r="J97">
        <v>3.6649432429879902</v>
      </c>
      <c r="K97">
        <v>20</v>
      </c>
    </row>
    <row r="98" spans="1:11" x14ac:dyDescent="0.25">
      <c r="A98" t="s">
        <v>323</v>
      </c>
      <c r="B98" t="s">
        <v>181</v>
      </c>
      <c r="C98" t="s">
        <v>304</v>
      </c>
      <c r="D98" t="s">
        <v>284</v>
      </c>
      <c r="E98">
        <v>87.325676062663106</v>
      </c>
      <c r="F98">
        <v>12.295670434199696</v>
      </c>
      <c r="G98">
        <v>1073.727733310187</v>
      </c>
      <c r="H98">
        <v>1.0737277333101869</v>
      </c>
      <c r="I98">
        <v>21474.554666203738</v>
      </c>
      <c r="J98">
        <v>21.474554666203737</v>
      </c>
      <c r="K98">
        <v>20</v>
      </c>
    </row>
    <row r="99" spans="1:11" x14ac:dyDescent="0.25">
      <c r="A99" t="s">
        <v>323</v>
      </c>
      <c r="B99" t="s">
        <v>153</v>
      </c>
      <c r="C99" t="s">
        <v>304</v>
      </c>
      <c r="D99" t="s">
        <v>284</v>
      </c>
      <c r="E99">
        <v>2.4950193160760898</v>
      </c>
      <c r="F99">
        <v>11.178929732069117</v>
      </c>
      <c r="G99">
        <v>27.891645614569754</v>
      </c>
      <c r="H99">
        <v>2.7891645614569752E-2</v>
      </c>
      <c r="I99">
        <v>557.83291229139513</v>
      </c>
      <c r="J99">
        <v>0.55783291229139509</v>
      </c>
      <c r="K99">
        <v>20</v>
      </c>
    </row>
    <row r="100" spans="1:11" x14ac:dyDescent="0.25">
      <c r="A100" s="28" t="s">
        <v>323</v>
      </c>
      <c r="B100" s="28" t="s">
        <v>196</v>
      </c>
      <c r="C100" t="s">
        <v>304</v>
      </c>
      <c r="D100" s="28" t="s">
        <v>197</v>
      </c>
      <c r="E100" s="28">
        <v>1770.83996</v>
      </c>
      <c r="F100" s="28">
        <v>0.36727401999999998</v>
      </c>
      <c r="G100" s="28">
        <v>650.383512</v>
      </c>
      <c r="H100">
        <v>0.650383512</v>
      </c>
      <c r="I100">
        <v>13007.670239999999</v>
      </c>
      <c r="J100">
        <v>13.007670239999999</v>
      </c>
      <c r="K100">
        <v>20</v>
      </c>
    </row>
    <row r="101" spans="1:11" x14ac:dyDescent="0.25">
      <c r="A101" s="28" t="s">
        <v>323</v>
      </c>
      <c r="B101" s="28" t="s">
        <v>198</v>
      </c>
      <c r="C101" t="s">
        <v>304</v>
      </c>
      <c r="D101" s="28" t="s">
        <v>290</v>
      </c>
      <c r="E101" s="28">
        <v>222.680474</v>
      </c>
      <c r="F101" s="28">
        <v>0.17318216</v>
      </c>
      <c r="G101" s="28">
        <v>38.564286299999999</v>
      </c>
      <c r="H101">
        <v>3.85642863E-2</v>
      </c>
      <c r="I101">
        <v>771.28572599999995</v>
      </c>
      <c r="J101">
        <v>0.771285726</v>
      </c>
      <c r="K101">
        <v>20</v>
      </c>
    </row>
    <row r="102" spans="1:11" x14ac:dyDescent="0.25">
      <c r="A102" s="28" t="s">
        <v>323</v>
      </c>
      <c r="B102" s="28" t="s">
        <v>194</v>
      </c>
      <c r="C102" t="s">
        <v>304</v>
      </c>
      <c r="D102" s="28" t="s">
        <v>192</v>
      </c>
      <c r="E102" s="28">
        <v>31.811496300000002</v>
      </c>
      <c r="F102" s="28">
        <v>2.277552E-2</v>
      </c>
      <c r="G102" s="28">
        <v>0.72452337</v>
      </c>
      <c r="H102">
        <v>7.2452336999999996E-4</v>
      </c>
      <c r="I102">
        <v>14.4904674</v>
      </c>
      <c r="J102">
        <v>1.44904674E-2</v>
      </c>
      <c r="K102">
        <v>20</v>
      </c>
    </row>
    <row r="103" spans="1:11" x14ac:dyDescent="0.25">
      <c r="A103" s="28" t="s">
        <v>323</v>
      </c>
      <c r="B103" s="28" t="s">
        <v>201</v>
      </c>
      <c r="C103" t="s">
        <v>304</v>
      </c>
      <c r="D103" s="28" t="s">
        <v>192</v>
      </c>
      <c r="E103" s="28">
        <v>31.811496300000002</v>
      </c>
      <c r="F103" s="28">
        <v>8.0136600000000006E-3</v>
      </c>
      <c r="G103" s="28">
        <v>0.2549265</v>
      </c>
      <c r="H103">
        <v>2.549265E-4</v>
      </c>
      <c r="I103">
        <v>5.0985300000000002</v>
      </c>
      <c r="J103">
        <v>5.0985300000000004E-3</v>
      </c>
      <c r="K103">
        <v>20</v>
      </c>
    </row>
    <row r="104" spans="1:11" x14ac:dyDescent="0.25">
      <c r="A104" s="28" t="s">
        <v>323</v>
      </c>
      <c r="B104" s="28" t="s">
        <v>202</v>
      </c>
      <c r="C104" t="s">
        <v>304</v>
      </c>
      <c r="D104" s="28" t="s">
        <v>192</v>
      </c>
      <c r="E104" s="28">
        <v>10.6038321</v>
      </c>
      <c r="F104" s="28">
        <v>2.1723900000000002E-3</v>
      </c>
      <c r="G104" s="28">
        <v>2.3035610000000002E-2</v>
      </c>
      <c r="H104">
        <v>2.3035610000000001E-5</v>
      </c>
      <c r="I104">
        <v>0.46071220000000002</v>
      </c>
      <c r="J104">
        <v>4.6071220000000002E-4</v>
      </c>
      <c r="K104">
        <v>20</v>
      </c>
    </row>
    <row r="105" spans="1:11" x14ac:dyDescent="0.25">
      <c r="A105" s="28" t="s">
        <v>323</v>
      </c>
      <c r="B105" s="28" t="s">
        <v>205</v>
      </c>
      <c r="C105" t="s">
        <v>304</v>
      </c>
      <c r="D105" s="28" t="s">
        <v>192</v>
      </c>
      <c r="E105" s="28">
        <v>5.30191605</v>
      </c>
      <c r="F105" s="28">
        <v>1.8823799999999999E-3</v>
      </c>
      <c r="G105" s="28">
        <v>9.9802399999999996E-3</v>
      </c>
      <c r="H105">
        <v>9.9802399999999992E-6</v>
      </c>
      <c r="I105">
        <v>0.1996048</v>
      </c>
      <c r="J105">
        <v>1.9960480000000001E-4</v>
      </c>
      <c r="K105">
        <v>20</v>
      </c>
    </row>
    <row r="106" spans="1:11" x14ac:dyDescent="0.25">
      <c r="A106" s="28" t="s">
        <v>323</v>
      </c>
      <c r="B106" s="28" t="s">
        <v>327</v>
      </c>
      <c r="C106" t="s">
        <v>304</v>
      </c>
      <c r="D106" s="28" t="s">
        <v>192</v>
      </c>
      <c r="E106" s="28">
        <v>5.30191605</v>
      </c>
      <c r="F106" s="28">
        <v>0.10188483</v>
      </c>
      <c r="G106" s="28">
        <v>0.54018480999999996</v>
      </c>
      <c r="H106">
        <v>5.4018480999999999E-4</v>
      </c>
      <c r="I106">
        <v>10.803696199999999</v>
      </c>
      <c r="J106">
        <v>1.0803696199999999E-2</v>
      </c>
      <c r="K106">
        <v>20</v>
      </c>
    </row>
    <row r="107" spans="1:11" x14ac:dyDescent="0.25">
      <c r="A107" s="28" t="s">
        <v>323</v>
      </c>
      <c r="B107" s="28" t="s">
        <v>209</v>
      </c>
      <c r="C107" t="s">
        <v>304</v>
      </c>
      <c r="D107" s="28" t="s">
        <v>192</v>
      </c>
      <c r="E107" s="28">
        <v>47.717244399999998</v>
      </c>
      <c r="F107" s="28">
        <v>8.9926179999999994E-2</v>
      </c>
      <c r="G107" s="28">
        <v>4.29102943</v>
      </c>
      <c r="H107">
        <v>4.29102943E-3</v>
      </c>
      <c r="I107">
        <v>85.820588600000008</v>
      </c>
      <c r="J107">
        <v>8.5820588600000011E-2</v>
      </c>
      <c r="K107">
        <v>20</v>
      </c>
    </row>
    <row r="108" spans="1:11" x14ac:dyDescent="0.25">
      <c r="A108" s="28" t="s">
        <v>323</v>
      </c>
      <c r="B108" s="28" t="s">
        <v>210</v>
      </c>
      <c r="C108" t="s">
        <v>304</v>
      </c>
      <c r="D108" s="28" t="s">
        <v>192</v>
      </c>
      <c r="E108" s="28">
        <v>445.36094800000001</v>
      </c>
      <c r="F108" s="28">
        <v>8.2979549999999999E-2</v>
      </c>
      <c r="G108" s="28">
        <v>36.955849700000002</v>
      </c>
      <c r="H108">
        <v>3.6955849700000001E-2</v>
      </c>
      <c r="I108">
        <v>739.11699399999998</v>
      </c>
      <c r="J108">
        <v>0.73911699399999997</v>
      </c>
      <c r="K108">
        <v>20</v>
      </c>
    </row>
    <row r="109" spans="1:11" x14ac:dyDescent="0.25">
      <c r="A109" t="s">
        <v>324</v>
      </c>
      <c r="B109" t="s">
        <v>172</v>
      </c>
      <c r="C109" t="s">
        <v>306</v>
      </c>
      <c r="D109" t="s">
        <v>281</v>
      </c>
      <c r="E109">
        <v>16.210577477330499</v>
      </c>
      <c r="F109">
        <v>1.2287662019428907</v>
      </c>
      <c r="G109">
        <v>19.919009718120364</v>
      </c>
      <c r="H109">
        <v>1.9919009718120363E-2</v>
      </c>
      <c r="I109">
        <v>398.38019436240728</v>
      </c>
      <c r="J109">
        <v>0.39838019436240729</v>
      </c>
      <c r="K109">
        <v>20</v>
      </c>
    </row>
    <row r="110" spans="1:11" x14ac:dyDescent="0.25">
      <c r="A110" t="s">
        <v>324</v>
      </c>
      <c r="B110" t="s">
        <v>173</v>
      </c>
      <c r="C110" t="s">
        <v>306</v>
      </c>
      <c r="D110" t="s">
        <v>285</v>
      </c>
      <c r="E110">
        <v>641.93886810228798</v>
      </c>
      <c r="F110">
        <v>1.3370180679720103</v>
      </c>
      <c r="G110">
        <v>858.28386518626019</v>
      </c>
      <c r="H110">
        <v>0.85828386518626021</v>
      </c>
      <c r="I110">
        <v>17165.677303725202</v>
      </c>
      <c r="J110">
        <v>17.165677303725204</v>
      </c>
      <c r="K110">
        <v>20</v>
      </c>
    </row>
    <row r="111" spans="1:11" x14ac:dyDescent="0.25">
      <c r="A111" t="s">
        <v>324</v>
      </c>
      <c r="B111" t="s">
        <v>333</v>
      </c>
      <c r="C111" t="s">
        <v>306</v>
      </c>
      <c r="D111" t="s">
        <v>283</v>
      </c>
      <c r="E111">
        <v>6.4842309909322102</v>
      </c>
      <c r="F111">
        <v>0.826581552998639</v>
      </c>
      <c r="G111">
        <v>5.3597457224866503</v>
      </c>
      <c r="H111">
        <v>5.3597457224866503E-3</v>
      </c>
      <c r="I111">
        <v>107.19491444973301</v>
      </c>
      <c r="J111">
        <v>0.107194914449733</v>
      </c>
      <c r="K111">
        <v>20</v>
      </c>
    </row>
    <row r="112" spans="1:11" x14ac:dyDescent="0.25">
      <c r="A112" t="s">
        <v>324</v>
      </c>
      <c r="B112" t="s">
        <v>167</v>
      </c>
      <c r="C112" t="s">
        <v>306</v>
      </c>
      <c r="D112" t="s">
        <v>284</v>
      </c>
      <c r="E112">
        <v>248.02183540315701</v>
      </c>
      <c r="F112">
        <v>1.2650259759254825</v>
      </c>
      <c r="G112">
        <v>313.75406438170808</v>
      </c>
      <c r="H112">
        <v>0.31375406438170805</v>
      </c>
      <c r="I112">
        <v>6275.0812876341615</v>
      </c>
      <c r="J112">
        <v>6.275081287634162</v>
      </c>
      <c r="K112">
        <v>20</v>
      </c>
    </row>
    <row r="113" spans="1:11" x14ac:dyDescent="0.25">
      <c r="A113" t="s">
        <v>324</v>
      </c>
      <c r="B113" t="s">
        <v>166</v>
      </c>
      <c r="C113" t="s">
        <v>306</v>
      </c>
      <c r="D113" t="s">
        <v>285</v>
      </c>
      <c r="E113">
        <v>45.3896169365254</v>
      </c>
      <c r="F113">
        <v>2.4092676352043005</v>
      </c>
      <c r="G113">
        <v>109.35573505949162</v>
      </c>
      <c r="H113">
        <v>0.10935573505949162</v>
      </c>
      <c r="I113">
        <v>2187.1147011898324</v>
      </c>
      <c r="J113">
        <v>2.1871147011898326</v>
      </c>
      <c r="K113">
        <v>20</v>
      </c>
    </row>
    <row r="114" spans="1:11" x14ac:dyDescent="0.25">
      <c r="A114" t="s">
        <v>324</v>
      </c>
      <c r="B114" t="s">
        <v>161</v>
      </c>
      <c r="C114" t="s">
        <v>306</v>
      </c>
      <c r="D114" t="s">
        <v>284</v>
      </c>
      <c r="E114">
        <v>3.2421154954660998</v>
      </c>
      <c r="F114">
        <v>4.3665955651485646</v>
      </c>
      <c r="G114">
        <v>14.157007144201712</v>
      </c>
      <c r="H114">
        <v>1.4157007144201712E-2</v>
      </c>
      <c r="I114">
        <v>283.14014288403422</v>
      </c>
      <c r="J114">
        <v>0.28314014288403422</v>
      </c>
      <c r="K114">
        <v>20</v>
      </c>
    </row>
    <row r="115" spans="1:11" x14ac:dyDescent="0.25">
      <c r="A115" t="s">
        <v>324</v>
      </c>
      <c r="B115" t="s">
        <v>181</v>
      </c>
      <c r="C115" t="s">
        <v>306</v>
      </c>
      <c r="D115" t="s">
        <v>284</v>
      </c>
      <c r="E115">
        <v>100.505580359449</v>
      </c>
      <c r="F115">
        <v>6.8281793219043676</v>
      </c>
      <c r="G115">
        <v>686.27012554638736</v>
      </c>
      <c r="H115">
        <v>0.68627012554638733</v>
      </c>
      <c r="I115">
        <v>13725.402510927746</v>
      </c>
      <c r="J115">
        <v>13.725402510927747</v>
      </c>
      <c r="K115">
        <v>20</v>
      </c>
    </row>
    <row r="116" spans="1:11" x14ac:dyDescent="0.25">
      <c r="A116" s="28" t="s">
        <v>324</v>
      </c>
      <c r="B116" s="28" t="s">
        <v>196</v>
      </c>
      <c r="C116" t="s">
        <v>306</v>
      </c>
      <c r="D116" s="28" t="s">
        <v>197</v>
      </c>
      <c r="E116" s="28">
        <v>782.36299499999996</v>
      </c>
      <c r="F116" s="28">
        <v>0.29499523</v>
      </c>
      <c r="G116" s="28">
        <v>230.79335</v>
      </c>
      <c r="H116">
        <v>0.23079335000000001</v>
      </c>
      <c r="I116">
        <v>4615.8670000000002</v>
      </c>
      <c r="J116">
        <v>4.6158670000000006</v>
      </c>
      <c r="K116">
        <v>20</v>
      </c>
    </row>
    <row r="117" spans="1:11" x14ac:dyDescent="0.25">
      <c r="A117" s="28" t="s">
        <v>324</v>
      </c>
      <c r="B117" s="28" t="s">
        <v>198</v>
      </c>
      <c r="C117" t="s">
        <v>306</v>
      </c>
      <c r="D117" s="28" t="s">
        <v>290</v>
      </c>
      <c r="E117" s="28">
        <v>592.69923900000003</v>
      </c>
      <c r="F117" s="28">
        <v>0.20240285999999999</v>
      </c>
      <c r="G117" s="28">
        <v>119.96401899999999</v>
      </c>
      <c r="H117">
        <v>0.11996401899999999</v>
      </c>
      <c r="I117">
        <v>2399.2803799999997</v>
      </c>
      <c r="J117">
        <v>2.3992803799999995</v>
      </c>
      <c r="K117">
        <v>20</v>
      </c>
    </row>
    <row r="118" spans="1:11" x14ac:dyDescent="0.25">
      <c r="A118" s="28" t="s">
        <v>324</v>
      </c>
      <c r="B118" s="28" t="s">
        <v>194</v>
      </c>
      <c r="C118" t="s">
        <v>306</v>
      </c>
      <c r="D118" s="28" t="s">
        <v>192</v>
      </c>
      <c r="E118" s="28">
        <v>11.853984799999999</v>
      </c>
      <c r="F118" s="28">
        <v>4.3093220000000002E-2</v>
      </c>
      <c r="G118" s="28">
        <v>0.51082631000000001</v>
      </c>
      <c r="H118">
        <v>5.1082630999999999E-4</v>
      </c>
      <c r="I118">
        <v>10.216526200000001</v>
      </c>
      <c r="J118">
        <v>1.0216526200000001E-2</v>
      </c>
      <c r="K118">
        <v>20</v>
      </c>
    </row>
    <row r="119" spans="1:11" x14ac:dyDescent="0.25">
      <c r="A119" s="28" t="s">
        <v>324</v>
      </c>
      <c r="B119" s="28" t="s">
        <v>201</v>
      </c>
      <c r="C119" t="s">
        <v>306</v>
      </c>
      <c r="D119" s="28" t="s">
        <v>192</v>
      </c>
      <c r="E119" s="28">
        <v>8.8904885900000004</v>
      </c>
      <c r="F119" s="28">
        <v>9.5516300000000002E-3</v>
      </c>
      <c r="G119" s="28">
        <v>8.4918649999999998E-2</v>
      </c>
      <c r="H119">
        <v>8.4918649999999994E-5</v>
      </c>
      <c r="I119">
        <v>1.6983729999999999</v>
      </c>
      <c r="J119">
        <v>1.698373E-3</v>
      </c>
      <c r="K119">
        <v>20</v>
      </c>
    </row>
    <row r="120" spans="1:11" x14ac:dyDescent="0.25">
      <c r="A120" s="28" t="s">
        <v>324</v>
      </c>
      <c r="B120" s="28" t="s">
        <v>202</v>
      </c>
      <c r="C120" t="s">
        <v>306</v>
      </c>
      <c r="D120" s="28" t="s">
        <v>192</v>
      </c>
      <c r="E120" s="28">
        <v>2.9634961999999998</v>
      </c>
      <c r="F120" s="28">
        <v>3.2860599999999999E-3</v>
      </c>
      <c r="G120" s="28">
        <v>9.7382400000000004E-3</v>
      </c>
      <c r="H120">
        <v>9.7382400000000005E-6</v>
      </c>
      <c r="I120">
        <v>0.19476480000000002</v>
      </c>
      <c r="J120">
        <v>1.9476480000000002E-4</v>
      </c>
      <c r="K120">
        <v>20</v>
      </c>
    </row>
    <row r="121" spans="1:11" x14ac:dyDescent="0.25">
      <c r="A121" s="28" t="s">
        <v>324</v>
      </c>
      <c r="B121" s="28" t="s">
        <v>222</v>
      </c>
      <c r="C121" t="s">
        <v>306</v>
      </c>
      <c r="D121" s="28" t="s">
        <v>192</v>
      </c>
      <c r="E121" s="28">
        <v>8.8904885900000004</v>
      </c>
      <c r="F121" s="28">
        <v>5.2192599999999999E-2</v>
      </c>
      <c r="G121" s="28">
        <v>0.46401773000000002</v>
      </c>
      <c r="H121">
        <v>4.6401773000000001E-4</v>
      </c>
      <c r="I121">
        <v>9.2803546000000008</v>
      </c>
      <c r="J121">
        <v>9.2803546000000004E-3</v>
      </c>
      <c r="K121">
        <v>20</v>
      </c>
    </row>
    <row r="122" spans="1:11" x14ac:dyDescent="0.25">
      <c r="A122" s="28" t="s">
        <v>324</v>
      </c>
      <c r="B122" s="28" t="s">
        <v>209</v>
      </c>
      <c r="C122" t="s">
        <v>306</v>
      </c>
      <c r="D122" s="28" t="s">
        <v>192</v>
      </c>
      <c r="E122" s="28">
        <v>2.9634961999999998</v>
      </c>
      <c r="F122" s="28">
        <v>0.13585707999999999</v>
      </c>
      <c r="G122" s="28">
        <v>0.40261193000000001</v>
      </c>
      <c r="H122">
        <v>4.0261193000000001E-4</v>
      </c>
      <c r="I122">
        <v>8.0522386000000008</v>
      </c>
      <c r="J122">
        <v>8.0522386000000008E-3</v>
      </c>
      <c r="K122">
        <v>20</v>
      </c>
    </row>
    <row r="123" spans="1:11" x14ac:dyDescent="0.25">
      <c r="A123" s="28" t="s">
        <v>324</v>
      </c>
      <c r="B123" s="28" t="s">
        <v>210</v>
      </c>
      <c r="C123" t="s">
        <v>306</v>
      </c>
      <c r="D123" s="28" t="s">
        <v>192</v>
      </c>
      <c r="E123" s="28">
        <v>234.11619899999999</v>
      </c>
      <c r="F123" s="28">
        <v>7.318732E-2</v>
      </c>
      <c r="G123" s="28">
        <v>17.134336699999999</v>
      </c>
      <c r="H123">
        <v>1.7134336699999999E-2</v>
      </c>
      <c r="I123">
        <v>342.686734</v>
      </c>
      <c r="J123">
        <v>0.34268673399999999</v>
      </c>
      <c r="K123">
        <v>20</v>
      </c>
    </row>
    <row r="124" spans="1:11" x14ac:dyDescent="0.25">
      <c r="A124" t="s">
        <v>325</v>
      </c>
      <c r="B124" t="s">
        <v>172</v>
      </c>
      <c r="C124" t="s">
        <v>308</v>
      </c>
      <c r="D124" t="s">
        <v>281</v>
      </c>
      <c r="E124">
        <v>4.0698896645212796</v>
      </c>
      <c r="F124">
        <v>0.760677964305712</v>
      </c>
      <c r="G124">
        <v>3.0958753849569041</v>
      </c>
      <c r="H124">
        <v>3.0958753849569041E-3</v>
      </c>
      <c r="I124">
        <v>61.917507699138085</v>
      </c>
      <c r="J124">
        <v>6.1917507699138084E-2</v>
      </c>
      <c r="K124">
        <v>20</v>
      </c>
    </row>
    <row r="125" spans="1:11" x14ac:dyDescent="0.25">
      <c r="A125" t="s">
        <v>325</v>
      </c>
      <c r="B125" t="s">
        <v>173</v>
      </c>
      <c r="C125" t="s">
        <v>308</v>
      </c>
      <c r="D125" t="s">
        <v>285</v>
      </c>
      <c r="E125">
        <v>512.80609772968103</v>
      </c>
      <c r="F125">
        <v>1.632361300947474</v>
      </c>
      <c r="G125">
        <v>837.08482882381963</v>
      </c>
      <c r="H125">
        <v>0.83708482882381963</v>
      </c>
      <c r="I125">
        <v>16741.696576476392</v>
      </c>
      <c r="J125">
        <v>16.741696576476393</v>
      </c>
      <c r="K125">
        <v>20</v>
      </c>
    </row>
    <row r="126" spans="1:11" x14ac:dyDescent="0.25">
      <c r="A126" t="s">
        <v>325</v>
      </c>
      <c r="B126" t="s">
        <v>333</v>
      </c>
      <c r="C126" t="s">
        <v>308</v>
      </c>
      <c r="D126" t="s">
        <v>283</v>
      </c>
      <c r="E126">
        <v>3.05241724839096</v>
      </c>
      <c r="F126">
        <v>0.83013130763029008</v>
      </c>
      <c r="G126">
        <v>2.5339071218400395</v>
      </c>
      <c r="H126">
        <v>2.5339071218400395E-3</v>
      </c>
      <c r="I126">
        <v>50.67814243680079</v>
      </c>
      <c r="J126">
        <v>5.0678142436800792E-2</v>
      </c>
      <c r="K126">
        <v>20</v>
      </c>
    </row>
    <row r="127" spans="1:11" x14ac:dyDescent="0.25">
      <c r="A127" t="s">
        <v>325</v>
      </c>
      <c r="B127" t="s">
        <v>167</v>
      </c>
      <c r="C127" t="s">
        <v>308</v>
      </c>
      <c r="D127" t="s">
        <v>284</v>
      </c>
      <c r="E127">
        <v>28.489227651648999</v>
      </c>
      <c r="F127">
        <v>2.1742969041226905</v>
      </c>
      <c r="G127">
        <v>61.94403948382697</v>
      </c>
      <c r="H127">
        <v>6.1944039483826971E-2</v>
      </c>
      <c r="I127">
        <v>1238.8807896765393</v>
      </c>
      <c r="J127">
        <v>1.2388807896765393</v>
      </c>
      <c r="K127">
        <v>20</v>
      </c>
    </row>
    <row r="128" spans="1:11" x14ac:dyDescent="0.25">
      <c r="A128" t="s">
        <v>325</v>
      </c>
      <c r="B128" t="s">
        <v>166</v>
      </c>
      <c r="C128" t="s">
        <v>308</v>
      </c>
      <c r="D128" t="s">
        <v>285</v>
      </c>
      <c r="E128">
        <v>219.774041884149</v>
      </c>
      <c r="F128">
        <v>3.0837349522371502</v>
      </c>
      <c r="G128">
        <v>677.72489455258165</v>
      </c>
      <c r="H128">
        <v>0.67772489455258167</v>
      </c>
      <c r="I128">
        <v>13554.497891051633</v>
      </c>
      <c r="J128">
        <v>13.554497891051632</v>
      </c>
      <c r="K128">
        <v>20</v>
      </c>
    </row>
    <row r="129" spans="1:11" x14ac:dyDescent="0.25">
      <c r="A129" t="s">
        <v>325</v>
      </c>
      <c r="B129" t="s">
        <v>161</v>
      </c>
      <c r="C129" t="s">
        <v>308</v>
      </c>
      <c r="D129" t="s">
        <v>284</v>
      </c>
      <c r="E129">
        <v>106.834603693684</v>
      </c>
      <c r="F129">
        <v>5.383109430086586</v>
      </c>
      <c r="G129">
        <v>575.10236260303361</v>
      </c>
      <c r="H129">
        <v>0.5751023626030336</v>
      </c>
      <c r="I129">
        <v>11502.047252060673</v>
      </c>
      <c r="J129">
        <v>11.502047252060672</v>
      </c>
      <c r="K129">
        <v>20</v>
      </c>
    </row>
    <row r="130" spans="1:11" x14ac:dyDescent="0.25">
      <c r="A130" t="s">
        <v>325</v>
      </c>
      <c r="B130" t="s">
        <v>181</v>
      </c>
      <c r="C130" t="s">
        <v>308</v>
      </c>
      <c r="D130" t="s">
        <v>284</v>
      </c>
      <c r="E130">
        <v>189.24986940023999</v>
      </c>
      <c r="F130">
        <v>11.409620861566777</v>
      </c>
      <c r="G130">
        <v>2159.2692579577661</v>
      </c>
      <c r="H130">
        <v>2.1592692579577659</v>
      </c>
      <c r="I130">
        <v>43185.385159155325</v>
      </c>
      <c r="J130">
        <v>43.185385159155324</v>
      </c>
      <c r="K130">
        <v>20</v>
      </c>
    </row>
    <row r="131" spans="1:11" x14ac:dyDescent="0.25">
      <c r="A131" t="s">
        <v>325</v>
      </c>
      <c r="B131" t="s">
        <v>186</v>
      </c>
      <c r="C131" t="s">
        <v>308</v>
      </c>
      <c r="D131" t="s">
        <v>284</v>
      </c>
      <c r="E131">
        <v>20.349448322606399</v>
      </c>
      <c r="F131">
        <v>53.123760596666088</v>
      </c>
      <c r="G131">
        <v>1081.0392209643705</v>
      </c>
      <c r="H131">
        <v>1.0810392209643704</v>
      </c>
      <c r="I131">
        <v>21620.784419287411</v>
      </c>
      <c r="J131">
        <v>21.620784419287411</v>
      </c>
      <c r="K131">
        <v>20</v>
      </c>
    </row>
    <row r="132" spans="1:11" x14ac:dyDescent="0.25">
      <c r="A132" t="s">
        <v>325</v>
      </c>
      <c r="B132" t="s">
        <v>153</v>
      </c>
      <c r="C132" t="s">
        <v>308</v>
      </c>
      <c r="D132" t="s">
        <v>284</v>
      </c>
      <c r="E132">
        <v>8.1397793290425593</v>
      </c>
      <c r="F132">
        <v>9.6399658273584521</v>
      </c>
      <c r="G132">
        <v>78.467194574208975</v>
      </c>
      <c r="H132">
        <v>7.8467194574208976E-2</v>
      </c>
      <c r="I132">
        <v>1569.3438914841795</v>
      </c>
      <c r="J132">
        <v>1.5693438914841795</v>
      </c>
      <c r="K132">
        <v>20</v>
      </c>
    </row>
    <row r="133" spans="1:11" x14ac:dyDescent="0.25">
      <c r="A133" s="28" t="s">
        <v>325</v>
      </c>
      <c r="B133" s="28" t="s">
        <v>196</v>
      </c>
      <c r="C133" t="s">
        <v>308</v>
      </c>
      <c r="D133" s="28" t="s">
        <v>197</v>
      </c>
      <c r="E133" s="28">
        <v>1964.2304999999999</v>
      </c>
      <c r="F133" s="28">
        <v>0.13924822000000001</v>
      </c>
      <c r="G133" s="28">
        <v>273.51559900000001</v>
      </c>
      <c r="H133">
        <v>0.273515599</v>
      </c>
      <c r="I133">
        <v>5470.3119800000004</v>
      </c>
      <c r="J133">
        <v>5.47031198</v>
      </c>
      <c r="K133">
        <v>20</v>
      </c>
    </row>
    <row r="134" spans="1:11" x14ac:dyDescent="0.25">
      <c r="A134" s="28" t="s">
        <v>325</v>
      </c>
      <c r="B134" s="28" t="s">
        <v>198</v>
      </c>
      <c r="C134" t="s">
        <v>308</v>
      </c>
      <c r="D134" s="28" t="s">
        <v>290</v>
      </c>
      <c r="E134" s="28">
        <v>311.34655900000001</v>
      </c>
      <c r="F134" s="28">
        <v>0.14172645</v>
      </c>
      <c r="G134" s="28">
        <v>44.126041999999998</v>
      </c>
      <c r="H134">
        <v>4.4126041999999997E-2</v>
      </c>
      <c r="I134">
        <v>882.52083999999991</v>
      </c>
      <c r="J134">
        <v>0.88252083999999986</v>
      </c>
      <c r="K134">
        <v>20</v>
      </c>
    </row>
    <row r="135" spans="1:11" x14ac:dyDescent="0.25">
      <c r="A135" s="28" t="s">
        <v>325</v>
      </c>
      <c r="B135" s="28" t="s">
        <v>194</v>
      </c>
      <c r="C135" t="s">
        <v>308</v>
      </c>
      <c r="D135" s="28" t="s">
        <v>192</v>
      </c>
      <c r="E135" s="28">
        <v>4.5786258699999998</v>
      </c>
      <c r="F135" s="28">
        <v>9.9246239999999999E-2</v>
      </c>
      <c r="G135" s="28">
        <v>0.45441140000000002</v>
      </c>
      <c r="H135">
        <v>4.5441140000000002E-4</v>
      </c>
      <c r="I135">
        <v>9.0882280000000009</v>
      </c>
      <c r="J135">
        <v>9.0882280000000003E-3</v>
      </c>
      <c r="K135">
        <v>20</v>
      </c>
    </row>
    <row r="136" spans="1:11" x14ac:dyDescent="0.25">
      <c r="A136" s="28" t="s">
        <v>325</v>
      </c>
      <c r="B136" s="28" t="s">
        <v>195</v>
      </c>
      <c r="C136" t="s">
        <v>308</v>
      </c>
      <c r="D136" s="28" t="s">
        <v>192</v>
      </c>
      <c r="E136" s="28">
        <v>9.1572517500000004</v>
      </c>
      <c r="F136" s="28">
        <v>8.0799800000000005E-3</v>
      </c>
      <c r="G136" s="28">
        <v>7.3990420000000001E-2</v>
      </c>
      <c r="H136">
        <v>7.3990420000000004E-5</v>
      </c>
      <c r="I136">
        <v>1.4798084</v>
      </c>
      <c r="J136">
        <v>1.4798084000000001E-3</v>
      </c>
      <c r="K136">
        <v>20</v>
      </c>
    </row>
    <row r="137" spans="1:11" x14ac:dyDescent="0.25">
      <c r="A137" s="28" t="s">
        <v>325</v>
      </c>
      <c r="B137" s="28" t="s">
        <v>201</v>
      </c>
      <c r="C137" t="s">
        <v>308</v>
      </c>
      <c r="D137" s="28" t="s">
        <v>192</v>
      </c>
      <c r="E137" s="28">
        <v>18.314503500000001</v>
      </c>
      <c r="F137" s="28">
        <v>6.0700600000000004E-3</v>
      </c>
      <c r="G137" s="28">
        <v>0.11117009</v>
      </c>
      <c r="H137">
        <v>1.1117009E-4</v>
      </c>
      <c r="I137">
        <v>2.2234018</v>
      </c>
      <c r="J137">
        <v>2.2234018000000001E-3</v>
      </c>
      <c r="K137">
        <v>20</v>
      </c>
    </row>
    <row r="138" spans="1:11" x14ac:dyDescent="0.25">
      <c r="A138" s="28" t="s">
        <v>325</v>
      </c>
      <c r="B138" s="28" t="s">
        <v>202</v>
      </c>
      <c r="C138" t="s">
        <v>308</v>
      </c>
      <c r="D138" s="28" t="s">
        <v>192</v>
      </c>
      <c r="E138" s="28">
        <v>13.7358776</v>
      </c>
      <c r="F138" s="28">
        <v>2.6419799999999999E-3</v>
      </c>
      <c r="G138" s="28">
        <v>3.62899E-2</v>
      </c>
      <c r="H138">
        <v>3.62899E-5</v>
      </c>
      <c r="I138">
        <v>0.72579799999999994</v>
      </c>
      <c r="J138">
        <v>7.2579799999999994E-4</v>
      </c>
      <c r="K138">
        <v>20</v>
      </c>
    </row>
    <row r="139" spans="1:11" x14ac:dyDescent="0.25">
      <c r="A139" s="28" t="s">
        <v>325</v>
      </c>
      <c r="B139" s="28" t="s">
        <v>205</v>
      </c>
      <c r="C139" t="s">
        <v>308</v>
      </c>
      <c r="D139" s="28" t="s">
        <v>192</v>
      </c>
      <c r="E139" s="28">
        <v>4.5786258699999998</v>
      </c>
      <c r="F139" s="28">
        <v>2.8857900000000001E-3</v>
      </c>
      <c r="G139" s="28">
        <v>1.3212969999999999E-2</v>
      </c>
      <c r="H139">
        <v>1.321297E-5</v>
      </c>
      <c r="I139">
        <v>0.26425939999999998</v>
      </c>
      <c r="J139">
        <v>2.6425939999999995E-4</v>
      </c>
      <c r="K139">
        <v>20</v>
      </c>
    </row>
    <row r="140" spans="1:11" x14ac:dyDescent="0.25">
      <c r="A140" s="28" t="s">
        <v>325</v>
      </c>
      <c r="B140" s="28" t="s">
        <v>209</v>
      </c>
      <c r="C140" t="s">
        <v>308</v>
      </c>
      <c r="D140" s="28" t="s">
        <v>192</v>
      </c>
      <c r="E140" s="28">
        <v>4.5786258699999998</v>
      </c>
      <c r="F140" s="28">
        <v>5.060539E-2</v>
      </c>
      <c r="G140" s="28">
        <v>0.23170313000000001</v>
      </c>
      <c r="H140">
        <v>2.3170313000000001E-4</v>
      </c>
      <c r="I140">
        <v>4.6340626</v>
      </c>
      <c r="J140">
        <v>4.6340625999999998E-3</v>
      </c>
      <c r="K140">
        <v>20</v>
      </c>
    </row>
    <row r="141" spans="1:11" x14ac:dyDescent="0.25">
      <c r="A141" s="28" t="s">
        <v>325</v>
      </c>
      <c r="B141" s="28" t="s">
        <v>210</v>
      </c>
      <c r="C141" t="s">
        <v>308</v>
      </c>
      <c r="D141" s="28" t="s">
        <v>192</v>
      </c>
      <c r="E141" s="28">
        <v>302.18930799999998</v>
      </c>
      <c r="F141" s="28">
        <v>3.829246E-2</v>
      </c>
      <c r="G141" s="28">
        <v>11.5715729</v>
      </c>
      <c r="H141">
        <v>1.15715729E-2</v>
      </c>
      <c r="I141">
        <v>231.43145799999999</v>
      </c>
      <c r="J141">
        <v>0.23143145799999998</v>
      </c>
      <c r="K141">
        <v>20</v>
      </c>
    </row>
    <row r="142" spans="1:11" x14ac:dyDescent="0.25">
      <c r="A142" t="s">
        <v>293</v>
      </c>
      <c r="B142" t="s">
        <v>172</v>
      </c>
      <c r="C142" t="s">
        <v>294</v>
      </c>
      <c r="D142" t="s">
        <v>281</v>
      </c>
      <c r="E142">
        <v>8259.3493725439293</v>
      </c>
      <c r="F142">
        <v>1.0437400713273595</v>
      </c>
      <c r="G142">
        <v>8620.6139032165829</v>
      </c>
      <c r="H142">
        <v>8.6206139032165829</v>
      </c>
      <c r="I142">
        <v>172412.27806433165</v>
      </c>
      <c r="J142">
        <v>172.41227806433164</v>
      </c>
      <c r="K142">
        <v>20</v>
      </c>
    </row>
    <row r="143" spans="1:11" x14ac:dyDescent="0.25">
      <c r="A143" t="s">
        <v>293</v>
      </c>
      <c r="B143" t="s">
        <v>157</v>
      </c>
      <c r="C143" t="s">
        <v>294</v>
      </c>
      <c r="D143" t="s">
        <v>282</v>
      </c>
      <c r="E143">
        <v>4.1900108424025602</v>
      </c>
      <c r="F143">
        <v>160.08010227458456</v>
      </c>
      <c r="G143">
        <v>670.73736418342003</v>
      </c>
      <c r="H143">
        <v>0.67073736418342</v>
      </c>
      <c r="I143">
        <v>13414.747283668401</v>
      </c>
      <c r="J143">
        <v>13.414747283668401</v>
      </c>
      <c r="K143">
        <v>20</v>
      </c>
    </row>
    <row r="144" spans="1:11" x14ac:dyDescent="0.25">
      <c r="A144" t="s">
        <v>293</v>
      </c>
      <c r="B144" t="s">
        <v>171</v>
      </c>
      <c r="C144" t="s">
        <v>294</v>
      </c>
      <c r="D144" t="s">
        <v>282</v>
      </c>
      <c r="E144">
        <v>497.35428699318402</v>
      </c>
      <c r="F144">
        <v>3.4534425479836734</v>
      </c>
      <c r="G144">
        <v>1717.5844561243446</v>
      </c>
      <c r="H144">
        <v>1.7175844561243445</v>
      </c>
      <c r="I144">
        <v>34351.689122486889</v>
      </c>
      <c r="J144">
        <v>34.351689122486889</v>
      </c>
      <c r="K144">
        <v>20</v>
      </c>
    </row>
    <row r="145" spans="1:11" x14ac:dyDescent="0.25">
      <c r="A145" t="s">
        <v>293</v>
      </c>
      <c r="B145" t="s">
        <v>328</v>
      </c>
      <c r="C145" t="s">
        <v>294</v>
      </c>
      <c r="D145" t="s">
        <v>281</v>
      </c>
      <c r="E145">
        <v>35.7547591885019</v>
      </c>
      <c r="F145">
        <v>0.87278424078620298</v>
      </c>
      <c r="G145">
        <v>31.206190352830145</v>
      </c>
      <c r="H145">
        <v>3.1206190352830145E-2</v>
      </c>
      <c r="I145">
        <v>624.12380705660291</v>
      </c>
      <c r="J145">
        <v>0.62412380705660286</v>
      </c>
      <c r="K145">
        <v>20</v>
      </c>
    </row>
    <row r="146" spans="1:11" x14ac:dyDescent="0.25">
      <c r="A146" t="s">
        <v>293</v>
      </c>
      <c r="B146" t="s">
        <v>173</v>
      </c>
      <c r="C146" t="s">
        <v>294</v>
      </c>
      <c r="D146" t="s">
        <v>285</v>
      </c>
      <c r="E146">
        <v>572.07614701602995</v>
      </c>
      <c r="F146">
        <v>0.53833491389303234</v>
      </c>
      <c r="G146">
        <v>307.96856334413218</v>
      </c>
      <c r="H146">
        <v>0.3079685633441322</v>
      </c>
      <c r="I146">
        <v>6159.3712668826438</v>
      </c>
      <c r="J146">
        <v>6.1593712668826441</v>
      </c>
      <c r="K146">
        <v>20</v>
      </c>
    </row>
    <row r="147" spans="1:11" x14ac:dyDescent="0.25">
      <c r="A147" t="s">
        <v>293</v>
      </c>
      <c r="B147" t="s">
        <v>330</v>
      </c>
      <c r="C147" t="s">
        <v>294</v>
      </c>
      <c r="D147" t="s">
        <v>283</v>
      </c>
      <c r="E147">
        <v>35.7547591885019</v>
      </c>
      <c r="F147">
        <v>2.7402695223361802</v>
      </c>
      <c r="G147">
        <v>97.977676882721255</v>
      </c>
      <c r="H147">
        <v>9.7977676882721257E-2</v>
      </c>
      <c r="I147">
        <v>1959.5535376544251</v>
      </c>
      <c r="J147">
        <v>1.9595535376544251</v>
      </c>
      <c r="K147">
        <v>20</v>
      </c>
    </row>
    <row r="148" spans="1:11" x14ac:dyDescent="0.25">
      <c r="A148" t="s">
        <v>293</v>
      </c>
      <c r="B148" t="s">
        <v>170</v>
      </c>
      <c r="C148" t="s">
        <v>294</v>
      </c>
      <c r="D148" t="s">
        <v>283</v>
      </c>
      <c r="E148">
        <v>3003.3997718341602</v>
      </c>
      <c r="F148">
        <v>2.7919187532000032</v>
      </c>
      <c r="G148">
        <v>8385.2481463404019</v>
      </c>
      <c r="H148">
        <v>8.3852481463404018</v>
      </c>
      <c r="I148">
        <v>167704.96292680805</v>
      </c>
      <c r="J148">
        <v>167.70496292680804</v>
      </c>
      <c r="K148">
        <v>20</v>
      </c>
    </row>
    <row r="149" spans="1:11" x14ac:dyDescent="0.25">
      <c r="A149" t="s">
        <v>293</v>
      </c>
      <c r="B149" t="s">
        <v>179</v>
      </c>
      <c r="C149" t="s">
        <v>294</v>
      </c>
      <c r="D149" t="s">
        <v>283</v>
      </c>
      <c r="E149">
        <v>2681.60693913764</v>
      </c>
      <c r="F149">
        <v>2.2341816729009807</v>
      </c>
      <c r="G149">
        <v>5991.1970773454104</v>
      </c>
      <c r="H149">
        <v>5.9911970773454106</v>
      </c>
      <c r="I149">
        <v>119823.9415469082</v>
      </c>
      <c r="J149">
        <v>119.8239415469082</v>
      </c>
      <c r="K149">
        <v>20</v>
      </c>
    </row>
    <row r="150" spans="1:11" x14ac:dyDescent="0.25">
      <c r="A150" t="s">
        <v>293</v>
      </c>
      <c r="B150" t="s">
        <v>167</v>
      </c>
      <c r="C150" t="s">
        <v>294</v>
      </c>
      <c r="D150" t="s">
        <v>284</v>
      </c>
      <c r="E150">
        <v>214.52855513101099</v>
      </c>
      <c r="F150">
        <v>2.7679713295711319</v>
      </c>
      <c r="G150">
        <v>593.80888997695831</v>
      </c>
      <c r="H150">
        <v>0.59380888997695835</v>
      </c>
      <c r="I150">
        <v>11876.177799539166</v>
      </c>
      <c r="J150">
        <v>11.876177799539166</v>
      </c>
      <c r="K150">
        <v>20</v>
      </c>
    </row>
    <row r="151" spans="1:11" x14ac:dyDescent="0.25">
      <c r="A151" t="s">
        <v>293</v>
      </c>
      <c r="B151" t="s">
        <v>166</v>
      </c>
      <c r="C151" t="s">
        <v>294</v>
      </c>
      <c r="D151" t="s">
        <v>285</v>
      </c>
      <c r="E151">
        <v>321.792832696517</v>
      </c>
      <c r="F151">
        <v>2.54544546563092</v>
      </c>
      <c r="G151">
        <v>819.10610685987842</v>
      </c>
      <c r="H151">
        <v>0.81910610685987839</v>
      </c>
      <c r="I151">
        <v>16382.122137197568</v>
      </c>
      <c r="J151">
        <v>16.38212213719757</v>
      </c>
      <c r="K151">
        <v>20</v>
      </c>
    </row>
    <row r="152" spans="1:11" x14ac:dyDescent="0.25">
      <c r="A152" t="s">
        <v>293</v>
      </c>
      <c r="B152" t="s">
        <v>175</v>
      </c>
      <c r="C152" t="s">
        <v>294</v>
      </c>
      <c r="D152" t="s">
        <v>284</v>
      </c>
      <c r="E152">
        <v>35.7547591885019</v>
      </c>
      <c r="F152">
        <v>10.2237739968404</v>
      </c>
      <c r="G152">
        <v>365.54857725469611</v>
      </c>
      <c r="H152">
        <v>0.36554857725469614</v>
      </c>
      <c r="I152">
        <v>7310.971545093922</v>
      </c>
      <c r="J152">
        <v>7.3109715450939223</v>
      </c>
      <c r="K152">
        <v>20</v>
      </c>
    </row>
    <row r="153" spans="1:11" x14ac:dyDescent="0.25">
      <c r="A153" t="s">
        <v>293</v>
      </c>
      <c r="B153" t="s">
        <v>163</v>
      </c>
      <c r="C153" t="s">
        <v>294</v>
      </c>
      <c r="D153" t="s">
        <v>281</v>
      </c>
      <c r="E153">
        <v>2574.3426615721401</v>
      </c>
      <c r="F153">
        <v>1.0119477363925315</v>
      </c>
      <c r="G153">
        <v>2605.1002290766519</v>
      </c>
      <c r="H153">
        <v>2.6051002290766521</v>
      </c>
      <c r="I153">
        <v>52102.004581533038</v>
      </c>
      <c r="J153">
        <v>52.102004581533038</v>
      </c>
      <c r="K153">
        <v>20</v>
      </c>
    </row>
    <row r="154" spans="1:11" x14ac:dyDescent="0.25">
      <c r="A154" t="s">
        <v>293</v>
      </c>
      <c r="B154" t="s">
        <v>161</v>
      </c>
      <c r="C154" t="s">
        <v>294</v>
      </c>
      <c r="D154" t="s">
        <v>284</v>
      </c>
      <c r="E154">
        <v>250.28331431951301</v>
      </c>
      <c r="F154">
        <v>3.89941413531841</v>
      </c>
      <c r="G154">
        <v>975.95829369184969</v>
      </c>
      <c r="H154">
        <v>0.97595829369184972</v>
      </c>
      <c r="I154">
        <v>19519.165873836995</v>
      </c>
      <c r="J154">
        <v>19.519165873836997</v>
      </c>
      <c r="K154">
        <v>20</v>
      </c>
    </row>
    <row r="155" spans="1:11" x14ac:dyDescent="0.25">
      <c r="A155" t="s">
        <v>293</v>
      </c>
      <c r="B155" t="s">
        <v>165</v>
      </c>
      <c r="C155" t="s">
        <v>294</v>
      </c>
      <c r="D155" t="s">
        <v>282</v>
      </c>
      <c r="E155">
        <v>137.91121401279301</v>
      </c>
      <c r="F155">
        <v>7.1900610868008208</v>
      </c>
      <c r="G155">
        <v>991.59005330684306</v>
      </c>
      <c r="H155">
        <v>0.99159005330684302</v>
      </c>
      <c r="I155">
        <v>19831.801066136861</v>
      </c>
      <c r="J155">
        <v>19.831801066136862</v>
      </c>
      <c r="K155">
        <v>20</v>
      </c>
    </row>
    <row r="156" spans="1:11" x14ac:dyDescent="0.25">
      <c r="A156" t="s">
        <v>293</v>
      </c>
      <c r="B156" t="s">
        <v>178</v>
      </c>
      <c r="C156" t="s">
        <v>294</v>
      </c>
      <c r="D156" t="s">
        <v>282</v>
      </c>
      <c r="E156">
        <v>61.293872894574598</v>
      </c>
      <c r="F156">
        <v>5.4379468857550677</v>
      </c>
      <c r="G156">
        <v>333.31282522291889</v>
      </c>
      <c r="H156">
        <v>0.33331282522291888</v>
      </c>
      <c r="I156">
        <v>6666.256504458378</v>
      </c>
      <c r="J156">
        <v>6.6662565044583779</v>
      </c>
      <c r="K156">
        <v>20</v>
      </c>
    </row>
    <row r="157" spans="1:11" x14ac:dyDescent="0.25">
      <c r="A157" t="s">
        <v>293</v>
      </c>
      <c r="B157" t="s">
        <v>153</v>
      </c>
      <c r="C157" t="s">
        <v>294</v>
      </c>
      <c r="D157" t="s">
        <v>284</v>
      </c>
      <c r="E157">
        <v>71.509518377003701</v>
      </c>
      <c r="F157">
        <v>6.4436661934637449</v>
      </c>
      <c r="G157">
        <v>460.78346607677315</v>
      </c>
      <c r="H157">
        <v>0.46078346607677317</v>
      </c>
      <c r="I157">
        <v>9215.6693215354626</v>
      </c>
      <c r="J157">
        <v>9.2156693215354633</v>
      </c>
      <c r="K157">
        <v>20</v>
      </c>
    </row>
    <row r="158" spans="1:11" x14ac:dyDescent="0.25">
      <c r="A158" t="s">
        <v>293</v>
      </c>
      <c r="B158" t="s">
        <v>196</v>
      </c>
      <c r="C158" t="s">
        <v>294</v>
      </c>
      <c r="D158" t="s">
        <v>197</v>
      </c>
      <c r="E158">
        <v>3134.1281101171198</v>
      </c>
      <c r="F158">
        <v>7.5618803248905561E-2</v>
      </c>
      <c r="G158">
        <v>236.9990169158107</v>
      </c>
      <c r="H158">
        <v>0.23699901691581071</v>
      </c>
      <c r="I158">
        <v>4739.9803383162143</v>
      </c>
      <c r="J158">
        <v>4.7399803383162142</v>
      </c>
      <c r="K158">
        <v>20</v>
      </c>
    </row>
    <row r="159" spans="1:11" x14ac:dyDescent="0.25">
      <c r="A159" t="s">
        <v>293</v>
      </c>
      <c r="B159" t="s">
        <v>198</v>
      </c>
      <c r="C159" t="s">
        <v>294</v>
      </c>
      <c r="D159" s="28" t="s">
        <v>290</v>
      </c>
      <c r="E159">
        <v>3419.0488474004901</v>
      </c>
      <c r="F159">
        <v>0.44668794219614699</v>
      </c>
      <c r="G159">
        <v>1527.247893913433</v>
      </c>
      <c r="H159">
        <v>1.5272478939134331</v>
      </c>
      <c r="I159">
        <v>30544.957878268659</v>
      </c>
      <c r="J159">
        <v>30.544957878268658</v>
      </c>
      <c r="K159">
        <v>20</v>
      </c>
    </row>
    <row r="160" spans="1:11" x14ac:dyDescent="0.25">
      <c r="A160" t="s">
        <v>293</v>
      </c>
      <c r="B160" t="s">
        <v>191</v>
      </c>
      <c r="C160" t="s">
        <v>294</v>
      </c>
      <c r="D160" t="s">
        <v>192</v>
      </c>
      <c r="E160">
        <v>1567.0640550585599</v>
      </c>
      <c r="F160">
        <v>1.4025716727272725E-2</v>
      </c>
      <c r="G160">
        <v>21.979196529742669</v>
      </c>
      <c r="H160">
        <v>2.1979196529742669E-2</v>
      </c>
      <c r="I160">
        <v>439.58393059485337</v>
      </c>
      <c r="J160">
        <v>0.43958393059485334</v>
      </c>
      <c r="K160">
        <v>20</v>
      </c>
    </row>
    <row r="161" spans="1:11" x14ac:dyDescent="0.25">
      <c r="A161" t="s">
        <v>293</v>
      </c>
      <c r="B161" t="s">
        <v>193</v>
      </c>
      <c r="C161" t="s">
        <v>294</v>
      </c>
      <c r="D161" t="s">
        <v>192</v>
      </c>
      <c r="E161">
        <v>569.84147456674896</v>
      </c>
      <c r="F161">
        <v>1.9530225594750001</v>
      </c>
      <c r="G161">
        <v>1112.9132551533603</v>
      </c>
      <c r="H161">
        <v>1.1129132551533603</v>
      </c>
      <c r="I161">
        <v>22258.265103067206</v>
      </c>
      <c r="J161">
        <v>22.258265103067206</v>
      </c>
      <c r="K161">
        <v>20</v>
      </c>
    </row>
    <row r="162" spans="1:11" x14ac:dyDescent="0.25">
      <c r="A162" t="s">
        <v>293</v>
      </c>
      <c r="B162" t="s">
        <v>194</v>
      </c>
      <c r="C162" t="s">
        <v>294</v>
      </c>
      <c r="D162" t="s">
        <v>192</v>
      </c>
      <c r="E162">
        <v>142.46036864168701</v>
      </c>
      <c r="F162">
        <v>1.333584E-2</v>
      </c>
      <c r="G162">
        <v>1.8998286825465553</v>
      </c>
      <c r="H162">
        <v>1.8998286825465554E-3</v>
      </c>
      <c r="I162">
        <v>37.996573650931104</v>
      </c>
      <c r="J162">
        <v>3.7996573650931106E-2</v>
      </c>
      <c r="K162">
        <v>20</v>
      </c>
    </row>
    <row r="163" spans="1:11" x14ac:dyDescent="0.25">
      <c r="A163" t="s">
        <v>293</v>
      </c>
      <c r="B163" t="s">
        <v>195</v>
      </c>
      <c r="C163" t="s">
        <v>294</v>
      </c>
      <c r="D163" t="s">
        <v>192</v>
      </c>
      <c r="E163">
        <v>28207.152991054099</v>
      </c>
      <c r="F163">
        <v>1.8699096000000002E-2</v>
      </c>
      <c r="G163">
        <v>527.4482616664078</v>
      </c>
      <c r="H163">
        <v>0.52744826166640779</v>
      </c>
      <c r="I163">
        <v>10548.965233328156</v>
      </c>
      <c r="J163">
        <v>10.548965233328156</v>
      </c>
      <c r="K163">
        <v>20</v>
      </c>
    </row>
    <row r="164" spans="1:11" x14ac:dyDescent="0.25">
      <c r="A164" t="s">
        <v>293</v>
      </c>
      <c r="B164" t="s">
        <v>200</v>
      </c>
      <c r="C164" t="s">
        <v>294</v>
      </c>
      <c r="D164" t="s">
        <v>192</v>
      </c>
      <c r="E164">
        <v>1139.6829491335</v>
      </c>
      <c r="F164">
        <v>2.3020782499999996E-2</v>
      </c>
      <c r="G164">
        <v>26.236393290960862</v>
      </c>
      <c r="H164">
        <v>2.6236393290960863E-2</v>
      </c>
      <c r="I164">
        <v>524.72786581921719</v>
      </c>
      <c r="J164">
        <v>0.52472786581921715</v>
      </c>
      <c r="K164">
        <v>20</v>
      </c>
    </row>
    <row r="165" spans="1:11" x14ac:dyDescent="0.25">
      <c r="A165" t="s">
        <v>293</v>
      </c>
      <c r="B165" t="s">
        <v>201</v>
      </c>
      <c r="C165" t="s">
        <v>294</v>
      </c>
      <c r="D165" t="s">
        <v>192</v>
      </c>
      <c r="E165">
        <v>7123.01843208436</v>
      </c>
      <c r="F165">
        <v>5.5919112322500002E-3</v>
      </c>
      <c r="G165">
        <v>39.831286777896317</v>
      </c>
      <c r="H165">
        <v>3.9831286777896317E-2</v>
      </c>
      <c r="I165">
        <v>796.6257355579263</v>
      </c>
      <c r="J165">
        <v>0.79662573555792626</v>
      </c>
      <c r="K165">
        <v>20</v>
      </c>
    </row>
    <row r="166" spans="1:11" x14ac:dyDescent="0.25">
      <c r="A166" t="s">
        <v>293</v>
      </c>
      <c r="B166" t="s">
        <v>202</v>
      </c>
      <c r="C166" t="s">
        <v>294</v>
      </c>
      <c r="D166" t="s">
        <v>192</v>
      </c>
      <c r="E166">
        <v>7265.4788007260404</v>
      </c>
      <c r="F166">
        <v>1.5430737000000001E-3</v>
      </c>
      <c r="G166">
        <v>11.211169255307894</v>
      </c>
      <c r="H166">
        <v>1.1211169255307895E-2</v>
      </c>
      <c r="I166">
        <v>224.22338510615788</v>
      </c>
      <c r="J166">
        <v>0.22422338510615789</v>
      </c>
      <c r="K166">
        <v>20</v>
      </c>
    </row>
    <row r="167" spans="1:11" x14ac:dyDescent="0.25">
      <c r="A167" t="s">
        <v>293</v>
      </c>
      <c r="B167" t="s">
        <v>204</v>
      </c>
      <c r="C167" t="s">
        <v>294</v>
      </c>
      <c r="D167" t="s">
        <v>192</v>
      </c>
      <c r="E167">
        <v>1139.6829491335</v>
      </c>
      <c r="F167">
        <v>4.2846927499999993E-3</v>
      </c>
      <c r="G167">
        <v>4.8831912694509256</v>
      </c>
      <c r="H167">
        <v>4.8831912694509254E-3</v>
      </c>
      <c r="I167">
        <v>97.663825389018513</v>
      </c>
      <c r="J167">
        <v>9.7663825389018508E-2</v>
      </c>
      <c r="K167">
        <v>20</v>
      </c>
    </row>
    <row r="168" spans="1:11" x14ac:dyDescent="0.25">
      <c r="A168" t="s">
        <v>293</v>
      </c>
      <c r="B168" t="s">
        <v>205</v>
      </c>
      <c r="C168" t="s">
        <v>294</v>
      </c>
      <c r="D168" t="s">
        <v>192</v>
      </c>
      <c r="E168">
        <v>4131.3506906089297</v>
      </c>
      <c r="F168">
        <v>2.2792065000000004E-3</v>
      </c>
      <c r="G168">
        <v>9.4162013478153632</v>
      </c>
      <c r="H168">
        <v>9.4162013478153624E-3</v>
      </c>
      <c r="I168">
        <v>188.32402695630725</v>
      </c>
      <c r="J168">
        <v>0.18832402695630726</v>
      </c>
      <c r="K168">
        <v>20</v>
      </c>
    </row>
    <row r="169" spans="1:11" x14ac:dyDescent="0.25">
      <c r="A169" t="s">
        <v>293</v>
      </c>
      <c r="B169" t="s">
        <v>216</v>
      </c>
      <c r="C169" t="s">
        <v>294</v>
      </c>
      <c r="D169" t="s">
        <v>192</v>
      </c>
      <c r="E169">
        <v>142.46036864168701</v>
      </c>
      <c r="F169">
        <v>5.8107033600000003E-2</v>
      </c>
      <c r="G169">
        <v>8.2779494273308938</v>
      </c>
      <c r="H169">
        <v>8.2779494273308944E-3</v>
      </c>
      <c r="I169">
        <v>165.55898854661788</v>
      </c>
      <c r="J169">
        <v>0.16555898854661788</v>
      </c>
      <c r="K169">
        <v>20</v>
      </c>
    </row>
    <row r="170" spans="1:11" x14ac:dyDescent="0.25">
      <c r="A170" t="s">
        <v>293</v>
      </c>
      <c r="B170" t="s">
        <v>206</v>
      </c>
      <c r="C170" t="s">
        <v>294</v>
      </c>
      <c r="D170" t="s">
        <v>192</v>
      </c>
      <c r="E170">
        <v>712.30184320843603</v>
      </c>
      <c r="F170">
        <v>2.9114569999999999E-2</v>
      </c>
      <c r="G170">
        <v>20.738361875221035</v>
      </c>
      <c r="H170">
        <v>2.0738361875221035E-2</v>
      </c>
      <c r="I170">
        <v>414.76723750442068</v>
      </c>
      <c r="J170">
        <v>0.41476723750442068</v>
      </c>
      <c r="K170">
        <v>20</v>
      </c>
    </row>
    <row r="171" spans="1:11" x14ac:dyDescent="0.25">
      <c r="A171" t="s">
        <v>293</v>
      </c>
      <c r="B171" t="s">
        <v>207</v>
      </c>
      <c r="C171" t="s">
        <v>294</v>
      </c>
      <c r="D171" t="s">
        <v>192</v>
      </c>
      <c r="E171">
        <v>569.84147456674896</v>
      </c>
      <c r="F171">
        <v>8.5876024999999995E-3</v>
      </c>
      <c r="G171">
        <v>4.8935720715930993</v>
      </c>
      <c r="H171">
        <v>4.8935720715930992E-3</v>
      </c>
      <c r="I171">
        <v>97.871441431861982</v>
      </c>
      <c r="J171">
        <v>9.787144143186198E-2</v>
      </c>
      <c r="K171">
        <v>20</v>
      </c>
    </row>
    <row r="172" spans="1:11" x14ac:dyDescent="0.25">
      <c r="A172" t="s">
        <v>293</v>
      </c>
      <c r="B172" t="s">
        <v>209</v>
      </c>
      <c r="C172" t="s">
        <v>294</v>
      </c>
      <c r="D172" t="s">
        <v>192</v>
      </c>
      <c r="E172">
        <v>854.76221185012298</v>
      </c>
      <c r="F172">
        <v>3.2996312066666665E-2</v>
      </c>
      <c r="G172">
        <v>28.204000685000903</v>
      </c>
      <c r="H172">
        <v>2.8204000685000903E-2</v>
      </c>
      <c r="I172">
        <v>564.08001370001807</v>
      </c>
      <c r="J172">
        <v>0.56408001370001803</v>
      </c>
      <c r="K172">
        <v>20</v>
      </c>
    </row>
    <row r="173" spans="1:11" x14ac:dyDescent="0.25">
      <c r="A173" t="s">
        <v>293</v>
      </c>
      <c r="B173" t="s">
        <v>213</v>
      </c>
      <c r="C173" t="s">
        <v>294</v>
      </c>
      <c r="D173" t="s">
        <v>192</v>
      </c>
      <c r="E173">
        <v>284.92073728337402</v>
      </c>
      <c r="F173">
        <v>3.5440004599999998E-2</v>
      </c>
      <c r="G173">
        <v>10.097592239958166</v>
      </c>
      <c r="H173">
        <v>1.0097592239958165E-2</v>
      </c>
      <c r="I173">
        <v>201.95184479916333</v>
      </c>
      <c r="J173">
        <v>0.20195184479916334</v>
      </c>
      <c r="K173">
        <v>20</v>
      </c>
    </row>
    <row r="174" spans="1:11" x14ac:dyDescent="0.25">
      <c r="A174" t="s">
        <v>293</v>
      </c>
      <c r="B174" t="s">
        <v>210</v>
      </c>
      <c r="C174" t="s">
        <v>294</v>
      </c>
      <c r="D174" t="s">
        <v>192</v>
      </c>
      <c r="E174">
        <v>1424.60368641687</v>
      </c>
      <c r="F174">
        <v>3.2393987999999999E-2</v>
      </c>
      <c r="G174">
        <v>46.148594722543848</v>
      </c>
      <c r="H174">
        <v>4.6148594722543845E-2</v>
      </c>
      <c r="I174">
        <v>922.97189445087702</v>
      </c>
      <c r="J174">
        <v>0.92297189445087702</v>
      </c>
      <c r="K174">
        <v>20</v>
      </c>
    </row>
    <row r="175" spans="1:11" x14ac:dyDescent="0.25">
      <c r="A175" t="s">
        <v>293</v>
      </c>
      <c r="B175" t="s">
        <v>215</v>
      </c>
      <c r="C175" t="s">
        <v>294</v>
      </c>
      <c r="D175" t="s">
        <v>192</v>
      </c>
      <c r="E175">
        <v>142.46036864168701</v>
      </c>
      <c r="F175">
        <v>4.4440299487999997E-2</v>
      </c>
      <c r="G175">
        <v>6.3309814476074537</v>
      </c>
      <c r="H175">
        <v>6.330981447607454E-3</v>
      </c>
      <c r="I175">
        <v>126.61962895214907</v>
      </c>
      <c r="J175">
        <v>0.12661962895214907</v>
      </c>
      <c r="K175">
        <v>20</v>
      </c>
    </row>
    <row r="176" spans="1:11" x14ac:dyDescent="0.25">
      <c r="A176" t="s">
        <v>293</v>
      </c>
      <c r="B176" t="s">
        <v>211</v>
      </c>
      <c r="C176" t="s">
        <v>294</v>
      </c>
      <c r="D176" t="s">
        <v>192</v>
      </c>
      <c r="E176">
        <v>854.76221185012298</v>
      </c>
      <c r="F176">
        <v>7.8334796210666677E-2</v>
      </c>
      <c r="G176">
        <v>66.95762367385808</v>
      </c>
      <c r="H176">
        <v>6.6957623673858074E-2</v>
      </c>
      <c r="I176">
        <v>1339.1524734771615</v>
      </c>
      <c r="J176">
        <v>1.3391524734771616</v>
      </c>
      <c r="K176">
        <v>20</v>
      </c>
    </row>
    <row r="177" spans="1:11" x14ac:dyDescent="0.25">
      <c r="A177" t="s">
        <v>295</v>
      </c>
      <c r="B177" t="s">
        <v>172</v>
      </c>
      <c r="C177" t="s">
        <v>296</v>
      </c>
      <c r="D177" t="s">
        <v>281</v>
      </c>
      <c r="E177">
        <v>76.675917067085393</v>
      </c>
      <c r="F177">
        <v>0.64411707285911879</v>
      </c>
      <c r="G177">
        <v>49.388267260039591</v>
      </c>
      <c r="H177">
        <v>4.9388267260039594E-2</v>
      </c>
      <c r="I177">
        <v>987.76534520079178</v>
      </c>
      <c r="J177">
        <v>0.98776534520079173</v>
      </c>
      <c r="K177">
        <v>20</v>
      </c>
    </row>
    <row r="178" spans="1:11" x14ac:dyDescent="0.25">
      <c r="A178" t="s">
        <v>295</v>
      </c>
      <c r="B178" t="s">
        <v>157</v>
      </c>
      <c r="C178" t="s">
        <v>296</v>
      </c>
      <c r="D178" t="s">
        <v>282</v>
      </c>
      <c r="E178">
        <v>15.3569663444021</v>
      </c>
      <c r="F178">
        <v>216.75772467335409</v>
      </c>
      <c r="G178">
        <v>3328.7410826978753</v>
      </c>
      <c r="H178">
        <v>3.3287410826978752</v>
      </c>
      <c r="I178">
        <v>66574.821653957508</v>
      </c>
      <c r="J178">
        <v>66.574821653957514</v>
      </c>
      <c r="K178">
        <v>20</v>
      </c>
    </row>
    <row r="179" spans="1:11" x14ac:dyDescent="0.25">
      <c r="A179" t="s">
        <v>295</v>
      </c>
      <c r="B179" t="s">
        <v>171</v>
      </c>
      <c r="C179" t="s">
        <v>296</v>
      </c>
      <c r="D179" t="s">
        <v>282</v>
      </c>
      <c r="E179">
        <v>4.5744155068431702</v>
      </c>
      <c r="F179">
        <v>3.9672825086018779</v>
      </c>
      <c r="G179">
        <v>18.147998627376104</v>
      </c>
      <c r="H179">
        <v>1.8147998627376104E-2</v>
      </c>
      <c r="I179">
        <v>362.95997254752206</v>
      </c>
      <c r="J179">
        <v>0.36295997254752205</v>
      </c>
      <c r="K179">
        <v>20</v>
      </c>
    </row>
    <row r="180" spans="1:11" x14ac:dyDescent="0.25">
      <c r="A180" t="s">
        <v>295</v>
      </c>
      <c r="B180" t="s">
        <v>173</v>
      </c>
      <c r="C180" t="s">
        <v>296</v>
      </c>
      <c r="D180" t="s">
        <v>285</v>
      </c>
      <c r="E180">
        <v>501.87872989365002</v>
      </c>
      <c r="F180">
        <v>0.34428795840562099</v>
      </c>
      <c r="G180">
        <v>172.79080328229088</v>
      </c>
      <c r="H180">
        <v>0.17279080328229088</v>
      </c>
      <c r="I180">
        <v>3455.8160656458176</v>
      </c>
      <c r="J180">
        <v>3.4558160656458177</v>
      </c>
      <c r="K180">
        <v>20</v>
      </c>
    </row>
    <row r="181" spans="1:11" x14ac:dyDescent="0.25">
      <c r="A181" t="s">
        <v>295</v>
      </c>
      <c r="B181" t="s">
        <v>170</v>
      </c>
      <c r="C181" t="s">
        <v>296</v>
      </c>
      <c r="D181" t="s">
        <v>283</v>
      </c>
      <c r="E181">
        <v>160.32237204936001</v>
      </c>
      <c r="F181">
        <v>2.2470215144914527</v>
      </c>
      <c r="G181">
        <v>360.24781924921507</v>
      </c>
      <c r="H181">
        <v>0.36024781924921506</v>
      </c>
      <c r="I181">
        <v>7204.9563849843016</v>
      </c>
      <c r="J181">
        <v>7.2049563849843015</v>
      </c>
      <c r="K181">
        <v>20</v>
      </c>
    </row>
    <row r="182" spans="1:11" x14ac:dyDescent="0.25">
      <c r="A182" t="s">
        <v>295</v>
      </c>
      <c r="B182" t="s">
        <v>179</v>
      </c>
      <c r="C182" t="s">
        <v>296</v>
      </c>
      <c r="D182" t="s">
        <v>283</v>
      </c>
      <c r="E182">
        <v>648.26002611263198</v>
      </c>
      <c r="F182">
        <v>1.7931839506612033</v>
      </c>
      <c r="G182">
        <v>1162.4494746803841</v>
      </c>
      <c r="H182">
        <v>1.1624494746803842</v>
      </c>
      <c r="I182">
        <v>23248.989493607682</v>
      </c>
      <c r="J182">
        <v>23.248989493607681</v>
      </c>
      <c r="K182">
        <v>20</v>
      </c>
    </row>
    <row r="183" spans="1:11" x14ac:dyDescent="0.25">
      <c r="A183" t="s">
        <v>295</v>
      </c>
      <c r="B183" t="s">
        <v>167</v>
      </c>
      <c r="C183" t="s">
        <v>296</v>
      </c>
      <c r="D183" t="s">
        <v>284</v>
      </c>
      <c r="E183">
        <v>1547.4594171720901</v>
      </c>
      <c r="F183">
        <v>1.6239899576028773</v>
      </c>
      <c r="G183">
        <v>2513.0585532854757</v>
      </c>
      <c r="H183">
        <v>2.5130585532854757</v>
      </c>
      <c r="I183">
        <v>50261.17106570951</v>
      </c>
      <c r="J183">
        <v>50.261171065709512</v>
      </c>
      <c r="K183">
        <v>20</v>
      </c>
    </row>
    <row r="184" spans="1:11" x14ac:dyDescent="0.25">
      <c r="A184" t="s">
        <v>295</v>
      </c>
      <c r="B184" t="s">
        <v>166</v>
      </c>
      <c r="C184" t="s">
        <v>296</v>
      </c>
      <c r="D184" t="s">
        <v>285</v>
      </c>
      <c r="E184">
        <v>230.027751201256</v>
      </c>
      <c r="F184">
        <v>2.7646330385592277</v>
      </c>
      <c r="G184">
        <v>635.94232075647437</v>
      </c>
      <c r="H184">
        <v>0.63594232075647439</v>
      </c>
      <c r="I184">
        <v>12718.846415129487</v>
      </c>
      <c r="J184">
        <v>12.718846415129487</v>
      </c>
      <c r="K184">
        <v>20</v>
      </c>
    </row>
    <row r="185" spans="1:11" x14ac:dyDescent="0.25">
      <c r="A185" t="s">
        <v>295</v>
      </c>
      <c r="B185" t="s">
        <v>175</v>
      </c>
      <c r="C185" t="s">
        <v>296</v>
      </c>
      <c r="D185" t="s">
        <v>284</v>
      </c>
      <c r="E185">
        <v>69.705379151895897</v>
      </c>
      <c r="F185">
        <v>3.499446945244967</v>
      </c>
      <c r="G185">
        <v>243.9302761402443</v>
      </c>
      <c r="H185">
        <v>0.24393027614024429</v>
      </c>
      <c r="I185">
        <v>4878.6055228048863</v>
      </c>
      <c r="J185">
        <v>4.8786055228048859</v>
      </c>
      <c r="K185">
        <v>20</v>
      </c>
    </row>
    <row r="186" spans="1:11" x14ac:dyDescent="0.25">
      <c r="A186" t="s">
        <v>295</v>
      </c>
      <c r="B186" t="s">
        <v>160</v>
      </c>
      <c r="C186" t="s">
        <v>296</v>
      </c>
      <c r="D186" t="s">
        <v>284</v>
      </c>
      <c r="E186">
        <v>17.924240353344601</v>
      </c>
      <c r="F186">
        <v>10.578073808198367</v>
      </c>
      <c r="G186">
        <v>189.60393741356677</v>
      </c>
      <c r="H186">
        <v>0.18960393741356676</v>
      </c>
      <c r="I186">
        <v>3792.0787482713354</v>
      </c>
      <c r="J186">
        <v>3.7920787482713352</v>
      </c>
      <c r="K186">
        <v>20</v>
      </c>
    </row>
    <row r="187" spans="1:11" x14ac:dyDescent="0.25">
      <c r="A187" t="s">
        <v>295</v>
      </c>
      <c r="B187" t="s">
        <v>164</v>
      </c>
      <c r="C187" t="s">
        <v>296</v>
      </c>
      <c r="D187" t="s">
        <v>281</v>
      </c>
      <c r="E187">
        <v>13.9410758303792</v>
      </c>
      <c r="F187">
        <v>0.85475188207944697</v>
      </c>
      <c r="G187">
        <v>11.916160804228911</v>
      </c>
      <c r="H187">
        <v>1.1916160804228911E-2</v>
      </c>
      <c r="I187">
        <v>238.32321608457821</v>
      </c>
      <c r="J187">
        <v>0.23832321608457821</v>
      </c>
      <c r="K187">
        <v>20</v>
      </c>
    </row>
    <row r="188" spans="1:11" x14ac:dyDescent="0.25">
      <c r="A188" t="s">
        <v>295</v>
      </c>
      <c r="B188" t="s">
        <v>163</v>
      </c>
      <c r="C188" t="s">
        <v>296</v>
      </c>
      <c r="D188" t="s">
        <v>281</v>
      </c>
      <c r="E188">
        <v>146.38129621898099</v>
      </c>
      <c r="F188">
        <v>0.99868414847039522</v>
      </c>
      <c r="G188">
        <v>146.18868016644572</v>
      </c>
      <c r="H188">
        <v>0.14618868016644573</v>
      </c>
      <c r="I188">
        <v>2923.7736033289143</v>
      </c>
      <c r="J188">
        <v>2.9237736033289141</v>
      </c>
      <c r="K188">
        <v>20</v>
      </c>
    </row>
    <row r="189" spans="1:11" x14ac:dyDescent="0.25">
      <c r="A189" t="s">
        <v>295</v>
      </c>
      <c r="B189" t="s">
        <v>161</v>
      </c>
      <c r="C189" t="s">
        <v>296</v>
      </c>
      <c r="D189" t="s">
        <v>284</v>
      </c>
      <c r="E189">
        <v>606.43679862149395</v>
      </c>
      <c r="F189">
        <v>3.7309583156533455</v>
      </c>
      <c r="G189">
        <v>2262.5904167350559</v>
      </c>
      <c r="H189">
        <v>2.2625904167350557</v>
      </c>
      <c r="I189">
        <v>45251.80833470112</v>
      </c>
      <c r="J189">
        <v>45.251808334701117</v>
      </c>
      <c r="K189">
        <v>20</v>
      </c>
    </row>
    <row r="190" spans="1:11" x14ac:dyDescent="0.25">
      <c r="A190" t="s">
        <v>295</v>
      </c>
      <c r="B190" t="s">
        <v>165</v>
      </c>
      <c r="C190" t="s">
        <v>296</v>
      </c>
      <c r="D190" t="s">
        <v>282</v>
      </c>
      <c r="E190">
        <v>425.20281282656498</v>
      </c>
      <c r="F190">
        <v>3.7943093899965974</v>
      </c>
      <c r="G190">
        <v>1613.3510253608013</v>
      </c>
      <c r="H190">
        <v>1.6133510253608012</v>
      </c>
      <c r="I190">
        <v>32267.020507216024</v>
      </c>
      <c r="J190">
        <v>32.267020507216024</v>
      </c>
      <c r="K190">
        <v>20</v>
      </c>
    </row>
    <row r="191" spans="1:11" x14ac:dyDescent="0.25">
      <c r="A191" t="s">
        <v>295</v>
      </c>
      <c r="B191" t="s">
        <v>153</v>
      </c>
      <c r="C191" t="s">
        <v>296</v>
      </c>
      <c r="D191" t="s">
        <v>284</v>
      </c>
      <c r="E191">
        <v>118.49914455822299</v>
      </c>
      <c r="F191">
        <v>7.4690738846721629</v>
      </c>
      <c r="G191">
        <v>885.07886597581478</v>
      </c>
      <c r="H191">
        <v>0.88507886597581475</v>
      </c>
      <c r="I191">
        <v>17701.577319516295</v>
      </c>
      <c r="J191">
        <v>17.701577319516296</v>
      </c>
      <c r="K191">
        <v>20</v>
      </c>
    </row>
    <row r="192" spans="1:11" x14ac:dyDescent="0.25">
      <c r="A192" t="s">
        <v>295</v>
      </c>
      <c r="B192" t="s">
        <v>196</v>
      </c>
      <c r="C192" t="s">
        <v>296</v>
      </c>
      <c r="D192" t="s">
        <v>197</v>
      </c>
      <c r="E192">
        <v>10813.9182581772</v>
      </c>
      <c r="F192">
        <v>9.3994157226235109E-2</v>
      </c>
      <c r="G192">
        <v>1016.4451329907623</v>
      </c>
      <c r="H192">
        <v>1.0164451329907622</v>
      </c>
      <c r="I192">
        <v>20328.902659815245</v>
      </c>
      <c r="J192">
        <v>20.328902659815245</v>
      </c>
      <c r="K192">
        <v>20</v>
      </c>
    </row>
    <row r="193" spans="1:11" x14ac:dyDescent="0.25">
      <c r="A193" t="s">
        <v>295</v>
      </c>
      <c r="B193" t="s">
        <v>198</v>
      </c>
      <c r="C193" t="s">
        <v>296</v>
      </c>
      <c r="D193" s="28" t="s">
        <v>290</v>
      </c>
      <c r="E193">
        <v>3089.6909309077801</v>
      </c>
      <c r="F193">
        <v>0.20469057315470787</v>
      </c>
      <c r="G193">
        <v>632.43060751841642</v>
      </c>
      <c r="H193">
        <v>0.6324306075184164</v>
      </c>
      <c r="I193">
        <v>12648.612150368328</v>
      </c>
      <c r="J193">
        <v>12.648612150368328</v>
      </c>
      <c r="K193">
        <v>20</v>
      </c>
    </row>
    <row r="194" spans="1:11" x14ac:dyDescent="0.25">
      <c r="A194" t="s">
        <v>295</v>
      </c>
      <c r="B194" t="s">
        <v>191</v>
      </c>
      <c r="C194" t="s">
        <v>296</v>
      </c>
      <c r="D194" t="s">
        <v>192</v>
      </c>
      <c r="E194">
        <v>1029.8969769692601</v>
      </c>
      <c r="F194">
        <v>1.6239521999999999E-2</v>
      </c>
      <c r="G194">
        <v>16.725034615225791</v>
      </c>
      <c r="H194">
        <v>1.672503461522579E-2</v>
      </c>
      <c r="I194">
        <v>334.50069230451584</v>
      </c>
      <c r="J194">
        <v>0.33450069230451585</v>
      </c>
      <c r="K194">
        <v>20</v>
      </c>
    </row>
    <row r="195" spans="1:11" x14ac:dyDescent="0.25">
      <c r="A195" t="s">
        <v>295</v>
      </c>
      <c r="B195" t="s">
        <v>193</v>
      </c>
      <c r="C195" t="s">
        <v>296</v>
      </c>
      <c r="D195" t="s">
        <v>192</v>
      </c>
      <c r="E195">
        <v>514.94848848463096</v>
      </c>
      <c r="F195">
        <v>1.3203656294399999</v>
      </c>
      <c r="G195">
        <v>679.92028512718628</v>
      </c>
      <c r="H195">
        <v>0.67992028512718627</v>
      </c>
      <c r="I195">
        <v>13598.405702543725</v>
      </c>
      <c r="J195">
        <v>13.598405702543726</v>
      </c>
      <c r="K195">
        <v>20</v>
      </c>
    </row>
    <row r="196" spans="1:11" x14ac:dyDescent="0.25">
      <c r="A196" t="s">
        <v>295</v>
      </c>
      <c r="B196" t="s">
        <v>194</v>
      </c>
      <c r="C196" t="s">
        <v>296</v>
      </c>
      <c r="D196" t="s">
        <v>192</v>
      </c>
      <c r="E196">
        <v>3089.6909309077801</v>
      </c>
      <c r="F196">
        <v>1.4012490000000001E-2</v>
      </c>
      <c r="G196">
        <v>43.294263272435963</v>
      </c>
      <c r="H196">
        <v>4.3294263272435962E-2</v>
      </c>
      <c r="I196">
        <v>865.88526544871922</v>
      </c>
      <c r="J196">
        <v>0.86588526544871924</v>
      </c>
      <c r="K196">
        <v>20</v>
      </c>
    </row>
    <row r="197" spans="1:11" x14ac:dyDescent="0.25">
      <c r="A197" t="s">
        <v>295</v>
      </c>
      <c r="B197" t="s">
        <v>195</v>
      </c>
      <c r="C197" t="s">
        <v>296</v>
      </c>
      <c r="D197" t="s">
        <v>192</v>
      </c>
      <c r="E197">
        <v>67973.200479971201</v>
      </c>
      <c r="F197">
        <v>1.6377171199999999E-2</v>
      </c>
      <c r="G197">
        <v>1113.2087412724104</v>
      </c>
      <c r="H197">
        <v>1.1132087412724103</v>
      </c>
      <c r="I197">
        <v>22264.174825448208</v>
      </c>
      <c r="J197">
        <v>22.264174825448208</v>
      </c>
      <c r="K197">
        <v>20</v>
      </c>
    </row>
    <row r="198" spans="1:11" x14ac:dyDescent="0.25">
      <c r="A198" t="s">
        <v>295</v>
      </c>
      <c r="B198" t="s">
        <v>200</v>
      </c>
      <c r="C198" t="s">
        <v>296</v>
      </c>
      <c r="D198" t="s">
        <v>192</v>
      </c>
      <c r="E198">
        <v>5149.4848848463098</v>
      </c>
      <c r="F198">
        <v>1.9849802E-2</v>
      </c>
      <c r="G198">
        <v>102.21625536619204</v>
      </c>
      <c r="H198">
        <v>0.10221625536619204</v>
      </c>
      <c r="I198">
        <v>2044.3251073238409</v>
      </c>
      <c r="J198">
        <v>2.0443251073238411</v>
      </c>
      <c r="K198">
        <v>20</v>
      </c>
    </row>
    <row r="199" spans="1:11" x14ac:dyDescent="0.25">
      <c r="A199" t="s">
        <v>295</v>
      </c>
      <c r="B199" t="s">
        <v>201</v>
      </c>
      <c r="C199" t="s">
        <v>296</v>
      </c>
      <c r="D199" t="s">
        <v>192</v>
      </c>
      <c r="E199">
        <v>13388.6607006004</v>
      </c>
      <c r="F199">
        <v>6.014311556842105E-3</v>
      </c>
      <c r="G199">
        <v>80.523576782258701</v>
      </c>
      <c r="H199">
        <v>8.0523576782258702E-2</v>
      </c>
      <c r="I199">
        <v>1610.4715356451741</v>
      </c>
      <c r="J199">
        <v>1.610471535645174</v>
      </c>
      <c r="K199">
        <v>20</v>
      </c>
    </row>
    <row r="200" spans="1:11" x14ac:dyDescent="0.25">
      <c r="A200" t="s">
        <v>295</v>
      </c>
      <c r="B200" t="s">
        <v>202</v>
      </c>
      <c r="C200" t="s">
        <v>296</v>
      </c>
      <c r="D200" t="s">
        <v>192</v>
      </c>
      <c r="E200">
        <v>18538.145585446699</v>
      </c>
      <c r="F200">
        <v>1.7404353000000001E-3</v>
      </c>
      <c r="G200">
        <v>32.264442973450606</v>
      </c>
      <c r="H200">
        <v>3.2264442973450609E-2</v>
      </c>
      <c r="I200">
        <v>645.2888594690121</v>
      </c>
      <c r="J200">
        <v>0.64528885946901204</v>
      </c>
      <c r="K200">
        <v>20</v>
      </c>
    </row>
    <row r="201" spans="1:11" x14ac:dyDescent="0.25">
      <c r="A201" t="s">
        <v>295</v>
      </c>
      <c r="B201" t="s">
        <v>203</v>
      </c>
      <c r="C201" t="s">
        <v>296</v>
      </c>
      <c r="D201" t="s">
        <v>192</v>
      </c>
      <c r="E201">
        <v>1029.8969769692601</v>
      </c>
      <c r="F201">
        <v>2.1551649999999997E-3</v>
      </c>
      <c r="G201">
        <v>2.219597918369955</v>
      </c>
      <c r="H201">
        <v>2.219597918369955E-3</v>
      </c>
      <c r="I201">
        <v>44.391958367399099</v>
      </c>
      <c r="J201">
        <v>4.4391958367399099E-2</v>
      </c>
      <c r="K201">
        <v>20</v>
      </c>
    </row>
    <row r="202" spans="1:11" x14ac:dyDescent="0.25">
      <c r="A202" t="s">
        <v>295</v>
      </c>
      <c r="B202" t="s">
        <v>204</v>
      </c>
      <c r="C202" t="s">
        <v>296</v>
      </c>
      <c r="D202" t="s">
        <v>192</v>
      </c>
      <c r="E202">
        <v>18538.145585446699</v>
      </c>
      <c r="F202">
        <v>3.9720976999999989E-3</v>
      </c>
      <c r="G202">
        <v>73.635325442217962</v>
      </c>
      <c r="H202">
        <v>7.3635325442217958E-2</v>
      </c>
      <c r="I202">
        <v>1472.7065088443592</v>
      </c>
      <c r="J202">
        <v>1.4727065088443592</v>
      </c>
      <c r="K202">
        <v>20</v>
      </c>
    </row>
    <row r="203" spans="1:11" x14ac:dyDescent="0.25">
      <c r="A203" t="s">
        <v>295</v>
      </c>
      <c r="B203" t="s">
        <v>205</v>
      </c>
      <c r="C203" t="s">
        <v>296</v>
      </c>
      <c r="D203" t="s">
        <v>192</v>
      </c>
      <c r="E203">
        <v>3089.6909309077801</v>
      </c>
      <c r="F203">
        <v>2.495635E-3</v>
      </c>
      <c r="G203">
        <v>7.7107408263560373</v>
      </c>
      <c r="H203">
        <v>7.7107408263560372E-3</v>
      </c>
      <c r="I203">
        <v>154.21481652712075</v>
      </c>
      <c r="J203">
        <v>0.15421481652712074</v>
      </c>
      <c r="K203">
        <v>20</v>
      </c>
    </row>
    <row r="204" spans="1:11" x14ac:dyDescent="0.25">
      <c r="A204" t="s">
        <v>295</v>
      </c>
      <c r="B204" t="s">
        <v>212</v>
      </c>
      <c r="C204" t="s">
        <v>296</v>
      </c>
      <c r="D204" t="s">
        <v>192</v>
      </c>
      <c r="E204">
        <v>1544.84546545389</v>
      </c>
      <c r="F204">
        <v>0.35661537000000004</v>
      </c>
      <c r="G204">
        <v>550.9156372556613</v>
      </c>
      <c r="H204">
        <v>0.55091563725566128</v>
      </c>
      <c r="I204">
        <v>11018.312745113226</v>
      </c>
      <c r="J204">
        <v>11.018312745113226</v>
      </c>
      <c r="K204">
        <v>20</v>
      </c>
    </row>
    <row r="205" spans="1:11" x14ac:dyDescent="0.25">
      <c r="A205" t="s">
        <v>295</v>
      </c>
      <c r="B205" t="s">
        <v>206</v>
      </c>
      <c r="C205" t="s">
        <v>296</v>
      </c>
      <c r="D205" t="s">
        <v>192</v>
      </c>
      <c r="E205">
        <v>7209.2788387848304</v>
      </c>
      <c r="F205">
        <v>3.3328348571428572E-2</v>
      </c>
      <c r="G205">
        <v>240.27335808764462</v>
      </c>
      <c r="H205">
        <v>0.24027335808764463</v>
      </c>
      <c r="I205">
        <v>4805.4671617528929</v>
      </c>
      <c r="J205">
        <v>4.805467161752893</v>
      </c>
      <c r="K205">
        <v>20</v>
      </c>
    </row>
    <row r="206" spans="1:11" x14ac:dyDescent="0.25">
      <c r="A206" t="s">
        <v>295</v>
      </c>
      <c r="B206" t="s">
        <v>207</v>
      </c>
      <c r="C206" t="s">
        <v>296</v>
      </c>
      <c r="D206" t="s">
        <v>192</v>
      </c>
      <c r="E206">
        <v>5664.4333733309404</v>
      </c>
      <c r="F206">
        <v>2.1458869090909091E-2</v>
      </c>
      <c r="G206">
        <v>121.55233423248524</v>
      </c>
      <c r="H206">
        <v>0.12155233423248524</v>
      </c>
      <c r="I206">
        <v>2431.0466846497047</v>
      </c>
      <c r="J206">
        <v>2.4310466846497047</v>
      </c>
      <c r="K206">
        <v>20</v>
      </c>
    </row>
    <row r="207" spans="1:11" x14ac:dyDescent="0.25">
      <c r="A207" t="s">
        <v>295</v>
      </c>
      <c r="B207" t="s">
        <v>209</v>
      </c>
      <c r="C207" t="s">
        <v>296</v>
      </c>
      <c r="D207" t="s">
        <v>192</v>
      </c>
      <c r="E207">
        <v>3089.6909309077801</v>
      </c>
      <c r="F207">
        <v>3.9965823333333338E-2</v>
      </c>
      <c r="G207">
        <v>123.48204189926255</v>
      </c>
      <c r="H207">
        <v>0.12348204189926255</v>
      </c>
      <c r="I207">
        <v>2469.640837985251</v>
      </c>
      <c r="J207">
        <v>2.469640837985251</v>
      </c>
      <c r="K207">
        <v>20</v>
      </c>
    </row>
    <row r="208" spans="1:11" x14ac:dyDescent="0.25">
      <c r="A208" t="s">
        <v>295</v>
      </c>
      <c r="B208" t="s">
        <v>213</v>
      </c>
      <c r="C208" t="s">
        <v>296</v>
      </c>
      <c r="D208" t="s">
        <v>192</v>
      </c>
      <c r="E208">
        <v>5664.4333733309404</v>
      </c>
      <c r="F208">
        <v>4.2541024400000002E-2</v>
      </c>
      <c r="G208">
        <v>240.97079834704584</v>
      </c>
      <c r="H208">
        <v>0.24097079834704585</v>
      </c>
      <c r="I208">
        <v>4819.4159669409164</v>
      </c>
      <c r="J208">
        <v>4.819415966940916</v>
      </c>
      <c r="K208">
        <v>20</v>
      </c>
    </row>
    <row r="209" spans="1:11" x14ac:dyDescent="0.25">
      <c r="A209" t="s">
        <v>295</v>
      </c>
      <c r="B209" t="s">
        <v>210</v>
      </c>
      <c r="C209" t="s">
        <v>296</v>
      </c>
      <c r="D209" t="s">
        <v>192</v>
      </c>
      <c r="E209">
        <v>7209.2788387848304</v>
      </c>
      <c r="F209">
        <v>2.4904332142857141E-2</v>
      </c>
      <c r="G209">
        <v>179.54227471156887</v>
      </c>
      <c r="H209">
        <v>0.17954227471156886</v>
      </c>
      <c r="I209">
        <v>3590.8454942313774</v>
      </c>
      <c r="J209">
        <v>3.5908454942313774</v>
      </c>
      <c r="K209">
        <v>20</v>
      </c>
    </row>
    <row r="210" spans="1:11" x14ac:dyDescent="0.25">
      <c r="A210" t="s">
        <v>295</v>
      </c>
      <c r="B210" t="s">
        <v>215</v>
      </c>
      <c r="C210" t="s">
        <v>296</v>
      </c>
      <c r="D210" t="s">
        <v>192</v>
      </c>
      <c r="E210">
        <v>2059.7939539385202</v>
      </c>
      <c r="F210">
        <v>0.10061211425200001</v>
      </c>
      <c r="G210">
        <v>207.24022462924123</v>
      </c>
      <c r="H210">
        <v>0.20724022462924122</v>
      </c>
      <c r="I210">
        <v>4144.8044925848244</v>
      </c>
      <c r="J210">
        <v>4.1448044925848242</v>
      </c>
      <c r="K210">
        <v>20</v>
      </c>
    </row>
    <row r="211" spans="1:11" x14ac:dyDescent="0.25">
      <c r="A211" t="s">
        <v>295</v>
      </c>
      <c r="B211" t="s">
        <v>211</v>
      </c>
      <c r="C211" t="s">
        <v>296</v>
      </c>
      <c r="D211" t="s">
        <v>192</v>
      </c>
      <c r="E211">
        <v>3604.6394193924102</v>
      </c>
      <c r="F211">
        <v>7.5656476613714302E-2</v>
      </c>
      <c r="G211">
        <v>272.71431793413456</v>
      </c>
      <c r="H211">
        <v>0.27271431793413453</v>
      </c>
      <c r="I211">
        <v>5454.2863586826916</v>
      </c>
      <c r="J211">
        <v>5.4542863586826913</v>
      </c>
      <c r="K211">
        <v>20</v>
      </c>
    </row>
    <row r="212" spans="1:11" x14ac:dyDescent="0.25">
      <c r="A212" t="s">
        <v>297</v>
      </c>
      <c r="B212" t="s">
        <v>172</v>
      </c>
      <c r="C212" t="s">
        <v>298</v>
      </c>
      <c r="D212" t="s">
        <v>281</v>
      </c>
      <c r="E212">
        <v>1168.17502286183</v>
      </c>
      <c r="F212">
        <v>1.0953914399542819</v>
      </c>
      <c r="G212">
        <v>1279.6089204112461</v>
      </c>
      <c r="H212">
        <v>1.2796089204112462</v>
      </c>
      <c r="I212">
        <v>25592.178408224921</v>
      </c>
      <c r="J212">
        <v>25.592178408224921</v>
      </c>
      <c r="K212">
        <v>20</v>
      </c>
    </row>
    <row r="213" spans="1:11" x14ac:dyDescent="0.25">
      <c r="A213" t="s">
        <v>297</v>
      </c>
      <c r="B213" t="s">
        <v>157</v>
      </c>
      <c r="C213" t="s">
        <v>298</v>
      </c>
      <c r="D213" t="s">
        <v>282</v>
      </c>
      <c r="E213">
        <v>5.7874524760685402</v>
      </c>
      <c r="F213">
        <v>172.97087255543681</v>
      </c>
      <c r="G213">
        <v>1001.0607046586987</v>
      </c>
      <c r="H213">
        <v>1.0010607046586988</v>
      </c>
      <c r="I213">
        <v>20021.214093173974</v>
      </c>
      <c r="J213">
        <v>20.021214093173974</v>
      </c>
      <c r="K213">
        <v>20</v>
      </c>
    </row>
    <row r="214" spans="1:11" x14ac:dyDescent="0.25">
      <c r="A214" t="s">
        <v>297</v>
      </c>
      <c r="B214" t="s">
        <v>171</v>
      </c>
      <c r="C214" t="s">
        <v>298</v>
      </c>
      <c r="D214" t="s">
        <v>282</v>
      </c>
      <c r="E214">
        <v>179.85621541013001</v>
      </c>
      <c r="F214">
        <v>4.4857768893124135</v>
      </c>
      <c r="G214">
        <v>806.79485448595631</v>
      </c>
      <c r="H214">
        <v>0.80679485448595634</v>
      </c>
      <c r="I214">
        <v>16135.897089719127</v>
      </c>
      <c r="J214">
        <v>16.135897089719126</v>
      </c>
      <c r="K214">
        <v>20</v>
      </c>
    </row>
    <row r="215" spans="1:11" x14ac:dyDescent="0.25">
      <c r="A215" t="s">
        <v>297</v>
      </c>
      <c r="B215" t="s">
        <v>328</v>
      </c>
      <c r="C215" t="s">
        <v>298</v>
      </c>
      <c r="D215" t="s">
        <v>281</v>
      </c>
      <c r="E215">
        <v>9.4973579094458103</v>
      </c>
      <c r="F215">
        <v>1.9697958805028399</v>
      </c>
      <c r="G215">
        <v>18.707856485687422</v>
      </c>
      <c r="H215">
        <v>1.8707856485687423E-2</v>
      </c>
      <c r="I215">
        <v>374.15712971374842</v>
      </c>
      <c r="J215">
        <v>0.37415712971374843</v>
      </c>
      <c r="K215">
        <v>20</v>
      </c>
    </row>
    <row r="216" spans="1:11" x14ac:dyDescent="0.25">
      <c r="A216" t="s">
        <v>297</v>
      </c>
      <c r="B216" t="s">
        <v>183</v>
      </c>
      <c r="C216" t="s">
        <v>298</v>
      </c>
      <c r="D216" t="s">
        <v>281</v>
      </c>
      <c r="E216">
        <v>9.4973579094458103</v>
      </c>
      <c r="F216">
        <v>0.28050811612069798</v>
      </c>
      <c r="G216">
        <v>2.6640859753026547</v>
      </c>
      <c r="H216">
        <v>2.6640859753026547E-3</v>
      </c>
      <c r="I216">
        <v>53.281719506053093</v>
      </c>
      <c r="J216">
        <v>5.3281719506053093E-2</v>
      </c>
      <c r="K216">
        <v>20</v>
      </c>
    </row>
    <row r="217" spans="1:11" x14ac:dyDescent="0.25">
      <c r="A217" t="s">
        <v>297</v>
      </c>
      <c r="B217" t="s">
        <v>173</v>
      </c>
      <c r="C217" t="s">
        <v>298</v>
      </c>
      <c r="D217" t="s">
        <v>285</v>
      </c>
      <c r="E217">
        <v>28.492073728337399</v>
      </c>
      <c r="F217">
        <v>1.6888769481013695</v>
      </c>
      <c r="G217">
        <v>48.119606523393671</v>
      </c>
      <c r="H217">
        <v>4.8119606523393671E-2</v>
      </c>
      <c r="I217">
        <v>962.39213046787336</v>
      </c>
      <c r="J217">
        <v>0.96239213046787331</v>
      </c>
      <c r="K217">
        <v>20</v>
      </c>
    </row>
    <row r="218" spans="1:11" x14ac:dyDescent="0.25">
      <c r="A218" t="s">
        <v>297</v>
      </c>
      <c r="B218" t="s">
        <v>170</v>
      </c>
      <c r="C218" t="s">
        <v>298</v>
      </c>
      <c r="D218" t="s">
        <v>283</v>
      </c>
      <c r="E218">
        <v>75.978863275566496</v>
      </c>
      <c r="F218">
        <v>2.3871041192943601</v>
      </c>
      <c r="G218">
        <v>181.36945750440776</v>
      </c>
      <c r="H218">
        <v>0.18136945750440775</v>
      </c>
      <c r="I218">
        <v>3627.3891500881555</v>
      </c>
      <c r="J218">
        <v>3.6273891500881557</v>
      </c>
      <c r="K218">
        <v>20</v>
      </c>
    </row>
    <row r="219" spans="1:11" x14ac:dyDescent="0.25">
      <c r="A219" t="s">
        <v>297</v>
      </c>
      <c r="B219" t="s">
        <v>179</v>
      </c>
      <c r="C219" t="s">
        <v>298</v>
      </c>
      <c r="D219" t="s">
        <v>283</v>
      </c>
      <c r="E219">
        <v>2820.7152991054099</v>
      </c>
      <c r="F219">
        <v>1.6864699060519339</v>
      </c>
      <c r="G219">
        <v>4757.0514654815534</v>
      </c>
      <c r="H219">
        <v>4.7570514654815534</v>
      </c>
      <c r="I219">
        <v>95141.029309631063</v>
      </c>
      <c r="J219">
        <v>95.141029309631065</v>
      </c>
      <c r="K219">
        <v>20</v>
      </c>
    </row>
    <row r="220" spans="1:11" x14ac:dyDescent="0.25">
      <c r="A220" t="s">
        <v>297</v>
      </c>
      <c r="B220" t="s">
        <v>167</v>
      </c>
      <c r="C220" t="s">
        <v>298</v>
      </c>
      <c r="D220" t="s">
        <v>284</v>
      </c>
      <c r="E220">
        <v>997.22258049181005</v>
      </c>
      <c r="F220">
        <v>2.3775202332150558</v>
      </c>
      <c r="G220">
        <v>2370.9168621382078</v>
      </c>
      <c r="H220">
        <v>2.3709168621382077</v>
      </c>
      <c r="I220">
        <v>47418.337242764159</v>
      </c>
      <c r="J220">
        <v>47.41833724276416</v>
      </c>
      <c r="K220">
        <v>20</v>
      </c>
    </row>
    <row r="221" spans="1:11" x14ac:dyDescent="0.25">
      <c r="A221" t="s">
        <v>297</v>
      </c>
      <c r="B221" t="s">
        <v>166</v>
      </c>
      <c r="C221" t="s">
        <v>298</v>
      </c>
      <c r="D221" t="s">
        <v>285</v>
      </c>
      <c r="E221">
        <v>37.989431637783198</v>
      </c>
      <c r="F221">
        <v>3.7065259584548302</v>
      </c>
      <c r="G221">
        <v>140.80881451238861</v>
      </c>
      <c r="H221">
        <v>0.14080881451238861</v>
      </c>
      <c r="I221">
        <v>2816.1762902477722</v>
      </c>
      <c r="J221">
        <v>2.8161762902477721</v>
      </c>
      <c r="K221">
        <v>20</v>
      </c>
    </row>
    <row r="222" spans="1:11" x14ac:dyDescent="0.25">
      <c r="A222" t="s">
        <v>297</v>
      </c>
      <c r="B222" t="s">
        <v>175</v>
      </c>
      <c r="C222" t="s">
        <v>298</v>
      </c>
      <c r="D222" t="s">
        <v>284</v>
      </c>
      <c r="E222">
        <v>66.4815053661207</v>
      </c>
      <c r="F222">
        <v>5.4587380609630918</v>
      </c>
      <c r="G222">
        <v>362.90512369216509</v>
      </c>
      <c r="H222">
        <v>0.3629051236921651</v>
      </c>
      <c r="I222">
        <v>7258.1024738433016</v>
      </c>
      <c r="J222">
        <v>7.2581024738433015</v>
      </c>
      <c r="K222">
        <v>20</v>
      </c>
    </row>
    <row r="223" spans="1:11" x14ac:dyDescent="0.25">
      <c r="A223" t="s">
        <v>297</v>
      </c>
      <c r="B223" t="s">
        <v>160</v>
      </c>
      <c r="C223" t="s">
        <v>298</v>
      </c>
      <c r="D223" t="s">
        <v>284</v>
      </c>
      <c r="E223">
        <v>36.632666222148103</v>
      </c>
      <c r="F223">
        <v>9.844594118370221</v>
      </c>
      <c r="G223">
        <v>360.63373043077866</v>
      </c>
      <c r="H223">
        <v>0.36063373043077868</v>
      </c>
      <c r="I223">
        <v>7212.6746086155727</v>
      </c>
      <c r="J223">
        <v>7.2126746086155729</v>
      </c>
      <c r="K223">
        <v>20</v>
      </c>
    </row>
    <row r="224" spans="1:11" x14ac:dyDescent="0.25">
      <c r="A224" t="s">
        <v>297</v>
      </c>
      <c r="B224" t="s">
        <v>164</v>
      </c>
      <c r="C224" t="s">
        <v>298</v>
      </c>
      <c r="D224" t="s">
        <v>281</v>
      </c>
      <c r="E224">
        <v>66.4815053661207</v>
      </c>
      <c r="F224">
        <v>1.4914599187977691</v>
      </c>
      <c r="G224">
        <v>99.15450059490783</v>
      </c>
      <c r="H224">
        <v>9.9154500594907824E-2</v>
      </c>
      <c r="I224">
        <v>1983.0900118981567</v>
      </c>
      <c r="J224">
        <v>1.9830900118981567</v>
      </c>
      <c r="K224">
        <v>20</v>
      </c>
    </row>
    <row r="225" spans="1:11" x14ac:dyDescent="0.25">
      <c r="A225" t="s">
        <v>297</v>
      </c>
      <c r="B225" t="s">
        <v>163</v>
      </c>
      <c r="C225" t="s">
        <v>298</v>
      </c>
      <c r="D225" t="s">
        <v>281</v>
      </c>
      <c r="E225">
        <v>2250.8738245386598</v>
      </c>
      <c r="F225">
        <v>1.7305500511071277</v>
      </c>
      <c r="G225">
        <v>3895.2498120910736</v>
      </c>
      <c r="H225">
        <v>3.8952498120910737</v>
      </c>
      <c r="I225">
        <v>77904.996241821471</v>
      </c>
      <c r="J225">
        <v>77.904996241821465</v>
      </c>
      <c r="K225">
        <v>20</v>
      </c>
    </row>
    <row r="226" spans="1:11" x14ac:dyDescent="0.25">
      <c r="A226" t="s">
        <v>297</v>
      </c>
      <c r="B226" t="s">
        <v>161</v>
      </c>
      <c r="C226" t="s">
        <v>298</v>
      </c>
      <c r="D226" t="s">
        <v>284</v>
      </c>
      <c r="E226">
        <v>883.25428557845999</v>
      </c>
      <c r="F226">
        <v>3.5467693219490846</v>
      </c>
      <c r="G226">
        <v>3132.6992035697376</v>
      </c>
      <c r="H226">
        <v>3.1326992035697376</v>
      </c>
      <c r="I226">
        <v>62653.984071394749</v>
      </c>
      <c r="J226">
        <v>62.653984071394746</v>
      </c>
      <c r="K226">
        <v>20</v>
      </c>
    </row>
    <row r="227" spans="1:11" x14ac:dyDescent="0.25">
      <c r="A227" t="s">
        <v>297</v>
      </c>
      <c r="B227" t="s">
        <v>165</v>
      </c>
      <c r="C227" t="s">
        <v>298</v>
      </c>
      <c r="D227" t="s">
        <v>282</v>
      </c>
      <c r="E227">
        <v>474.86789547229102</v>
      </c>
      <c r="F227">
        <v>3.465140698144991</v>
      </c>
      <c r="G227">
        <v>1645.4840708434972</v>
      </c>
      <c r="H227">
        <v>1.6454840708434972</v>
      </c>
      <c r="I227">
        <v>32909.681416869942</v>
      </c>
      <c r="J227">
        <v>32.909681416869944</v>
      </c>
      <c r="K227">
        <v>20</v>
      </c>
    </row>
    <row r="228" spans="1:11" x14ac:dyDescent="0.25">
      <c r="A228" t="s">
        <v>297</v>
      </c>
      <c r="B228" t="s">
        <v>153</v>
      </c>
      <c r="C228" t="s">
        <v>298</v>
      </c>
      <c r="D228" t="s">
        <v>284</v>
      </c>
      <c r="E228">
        <v>237.433947736145</v>
      </c>
      <c r="F228">
        <v>7.6011036796295581</v>
      </c>
      <c r="G228">
        <v>1804.760053806184</v>
      </c>
      <c r="H228">
        <v>1.8047600538061841</v>
      </c>
      <c r="I228">
        <v>36095.201076123682</v>
      </c>
      <c r="J228">
        <v>36.095201076123679</v>
      </c>
      <c r="K228">
        <v>20</v>
      </c>
    </row>
    <row r="229" spans="1:11" x14ac:dyDescent="0.25">
      <c r="A229" t="s">
        <v>297</v>
      </c>
      <c r="B229" t="s">
        <v>196</v>
      </c>
      <c r="C229" t="s">
        <v>298</v>
      </c>
      <c r="D229" t="s">
        <v>197</v>
      </c>
      <c r="E229">
        <v>3810.81486116513</v>
      </c>
      <c r="F229">
        <v>8.4062094838681573E-2</v>
      </c>
      <c r="G229">
        <v>320.34508027192032</v>
      </c>
      <c r="H229">
        <v>0.32034508027192032</v>
      </c>
      <c r="I229">
        <v>6406.9016054384065</v>
      </c>
      <c r="J229">
        <v>6.4069016054384065</v>
      </c>
      <c r="K229">
        <v>20</v>
      </c>
    </row>
    <row r="230" spans="1:11" x14ac:dyDescent="0.25">
      <c r="A230" t="s">
        <v>297</v>
      </c>
      <c r="B230" t="s">
        <v>198</v>
      </c>
      <c r="C230" t="s">
        <v>298</v>
      </c>
      <c r="D230" s="28" t="s">
        <v>290</v>
      </c>
      <c r="E230">
        <v>3810.81486116513</v>
      </c>
      <c r="F230">
        <v>1.0752599914073588</v>
      </c>
      <c r="G230">
        <v>4097.6167548714529</v>
      </c>
      <c r="H230">
        <v>4.0976167548714528</v>
      </c>
      <c r="I230">
        <v>81952.335097429052</v>
      </c>
      <c r="J230">
        <v>81.952335097429057</v>
      </c>
      <c r="K230">
        <v>20</v>
      </c>
    </row>
    <row r="231" spans="1:11" x14ac:dyDescent="0.25">
      <c r="A231" t="s">
        <v>297</v>
      </c>
      <c r="B231" t="s">
        <v>191</v>
      </c>
      <c r="C231" t="s">
        <v>298</v>
      </c>
      <c r="D231" t="s">
        <v>192</v>
      </c>
      <c r="E231">
        <v>4572.9778333981603</v>
      </c>
      <c r="F231">
        <v>1.3294712E-2</v>
      </c>
      <c r="G231">
        <v>60.796423277412522</v>
      </c>
      <c r="H231">
        <v>6.0796423277412519E-2</v>
      </c>
      <c r="I231">
        <v>1215.9284655482504</v>
      </c>
      <c r="J231">
        <v>1.2159284655482505</v>
      </c>
      <c r="K231">
        <v>20</v>
      </c>
    </row>
    <row r="232" spans="1:11" x14ac:dyDescent="0.25">
      <c r="A232" t="s">
        <v>297</v>
      </c>
      <c r="B232" t="s">
        <v>193</v>
      </c>
      <c r="C232" t="s">
        <v>298</v>
      </c>
      <c r="D232" t="s">
        <v>192</v>
      </c>
      <c r="E232">
        <v>762.16297223302604</v>
      </c>
      <c r="F232">
        <v>4.6314010204800002</v>
      </c>
      <c r="G232">
        <v>3529.8823673721067</v>
      </c>
      <c r="H232">
        <v>3.5298823673721067</v>
      </c>
      <c r="I232">
        <v>70597.647347442136</v>
      </c>
      <c r="J232">
        <v>70.597647347442134</v>
      </c>
      <c r="K232">
        <v>20</v>
      </c>
    </row>
    <row r="233" spans="1:11" x14ac:dyDescent="0.25">
      <c r="A233" t="s">
        <v>297</v>
      </c>
      <c r="B233" t="s">
        <v>194</v>
      </c>
      <c r="C233" t="s">
        <v>298</v>
      </c>
      <c r="D233" t="s">
        <v>192</v>
      </c>
      <c r="E233">
        <v>762.16297223302604</v>
      </c>
      <c r="F233">
        <v>2.843739E-2</v>
      </c>
      <c r="G233">
        <v>21.673925684949733</v>
      </c>
      <c r="H233">
        <v>2.1673925684949732E-2</v>
      </c>
      <c r="I233">
        <v>433.47851369899467</v>
      </c>
      <c r="J233">
        <v>0.43347851369899465</v>
      </c>
      <c r="K233">
        <v>20</v>
      </c>
    </row>
    <row r="234" spans="1:11" x14ac:dyDescent="0.25">
      <c r="A234" t="s">
        <v>297</v>
      </c>
      <c r="B234" t="s">
        <v>195</v>
      </c>
      <c r="C234" t="s">
        <v>298</v>
      </c>
      <c r="D234" t="s">
        <v>192</v>
      </c>
      <c r="E234">
        <v>80027.112084467793</v>
      </c>
      <c r="F234">
        <v>1.9258340399999997E-2</v>
      </c>
      <c r="G234">
        <v>1541.1893657516341</v>
      </c>
      <c r="H234">
        <v>1.541189365751634</v>
      </c>
      <c r="I234">
        <v>30823.787315032681</v>
      </c>
      <c r="J234">
        <v>30.823787315032682</v>
      </c>
      <c r="K234">
        <v>20</v>
      </c>
    </row>
    <row r="235" spans="1:11" x14ac:dyDescent="0.25">
      <c r="A235" t="s">
        <v>297</v>
      </c>
      <c r="B235" t="s">
        <v>200</v>
      </c>
      <c r="C235" t="s">
        <v>298</v>
      </c>
      <c r="D235" t="s">
        <v>192</v>
      </c>
      <c r="E235">
        <v>1143.2444583495401</v>
      </c>
      <c r="F235">
        <v>2.1868693333333338E-2</v>
      </c>
      <c r="G235">
        <v>25.00126246467887</v>
      </c>
      <c r="H235">
        <v>2.5001262464678872E-2</v>
      </c>
      <c r="I235">
        <v>500.02524929357742</v>
      </c>
      <c r="J235">
        <v>0.50002524929357739</v>
      </c>
      <c r="K235">
        <v>20</v>
      </c>
    </row>
    <row r="236" spans="1:11" x14ac:dyDescent="0.25">
      <c r="A236" t="s">
        <v>297</v>
      </c>
      <c r="B236" t="s">
        <v>201</v>
      </c>
      <c r="C236" t="s">
        <v>298</v>
      </c>
      <c r="D236" t="s">
        <v>192</v>
      </c>
      <c r="E236">
        <v>13718.9335001945</v>
      </c>
      <c r="F236">
        <v>6.1692232875000001E-3</v>
      </c>
      <c r="G236">
        <v>84.635164029063802</v>
      </c>
      <c r="H236">
        <v>8.4635164029063806E-2</v>
      </c>
      <c r="I236">
        <v>1692.703280581276</v>
      </c>
      <c r="J236">
        <v>1.6927032805812761</v>
      </c>
      <c r="K236">
        <v>20</v>
      </c>
    </row>
    <row r="237" spans="1:11" x14ac:dyDescent="0.25">
      <c r="A237" t="s">
        <v>297</v>
      </c>
      <c r="B237" t="s">
        <v>202</v>
      </c>
      <c r="C237" t="s">
        <v>298</v>
      </c>
      <c r="D237" t="s">
        <v>192</v>
      </c>
      <c r="E237">
        <v>17148.6668752431</v>
      </c>
      <c r="F237">
        <v>1.3484174999999999E-3</v>
      </c>
      <c r="G237">
        <v>23.123562516248111</v>
      </c>
      <c r="H237">
        <v>2.3123562516248111E-2</v>
      </c>
      <c r="I237">
        <v>462.47125032496223</v>
      </c>
      <c r="J237">
        <v>0.46247125032496222</v>
      </c>
      <c r="K237">
        <v>20</v>
      </c>
    </row>
    <row r="238" spans="1:11" x14ac:dyDescent="0.25">
      <c r="A238" t="s">
        <v>297</v>
      </c>
      <c r="B238" t="s">
        <v>204</v>
      </c>
      <c r="C238" t="s">
        <v>298</v>
      </c>
      <c r="D238" t="s">
        <v>192</v>
      </c>
      <c r="E238">
        <v>7621.6297223302599</v>
      </c>
      <c r="F238">
        <v>3.2848475999999994E-3</v>
      </c>
      <c r="G238">
        <v>25.035892101485217</v>
      </c>
      <c r="H238">
        <v>2.5035892101485217E-2</v>
      </c>
      <c r="I238">
        <v>500.71784202970434</v>
      </c>
      <c r="J238">
        <v>0.50071784202970437</v>
      </c>
      <c r="K238">
        <v>20</v>
      </c>
    </row>
    <row r="239" spans="1:11" x14ac:dyDescent="0.25">
      <c r="A239" t="s">
        <v>297</v>
      </c>
      <c r="B239" t="s">
        <v>205</v>
      </c>
      <c r="C239" t="s">
        <v>298</v>
      </c>
      <c r="D239" t="s">
        <v>192</v>
      </c>
      <c r="E239">
        <v>6097.3037778642101</v>
      </c>
      <c r="F239">
        <v>2.163811625E-3</v>
      </c>
      <c r="G239">
        <v>13.193416795698996</v>
      </c>
      <c r="H239">
        <v>1.3193416795698996E-2</v>
      </c>
      <c r="I239">
        <v>263.86833591397993</v>
      </c>
      <c r="J239">
        <v>0.26386833591397996</v>
      </c>
      <c r="K239">
        <v>20</v>
      </c>
    </row>
    <row r="240" spans="1:11" x14ac:dyDescent="0.25">
      <c r="A240" t="s">
        <v>297</v>
      </c>
      <c r="B240" t="s">
        <v>212</v>
      </c>
      <c r="C240" t="s">
        <v>298</v>
      </c>
      <c r="D240" t="s">
        <v>192</v>
      </c>
      <c r="E240">
        <v>381.08148611651302</v>
      </c>
      <c r="F240">
        <v>0.16003007999999999</v>
      </c>
      <c r="G240">
        <v>60.984500709744466</v>
      </c>
      <c r="H240">
        <v>6.0984500709744469E-2</v>
      </c>
      <c r="I240">
        <v>1219.6900141948893</v>
      </c>
      <c r="J240">
        <v>1.2196900141948892</v>
      </c>
      <c r="K240">
        <v>20</v>
      </c>
    </row>
    <row r="241" spans="1:11" x14ac:dyDescent="0.25">
      <c r="A241" t="s">
        <v>297</v>
      </c>
      <c r="B241" t="s">
        <v>206</v>
      </c>
      <c r="C241" t="s">
        <v>298</v>
      </c>
      <c r="D241" t="s">
        <v>192</v>
      </c>
      <c r="E241">
        <v>3429.73337504862</v>
      </c>
      <c r="F241">
        <v>4.134819555555555E-2</v>
      </c>
      <c r="G241">
        <v>141.81328629492589</v>
      </c>
      <c r="H241">
        <v>0.1418132862949259</v>
      </c>
      <c r="I241">
        <v>2836.2657258985178</v>
      </c>
      <c r="J241">
        <v>2.8362657258985178</v>
      </c>
      <c r="K241">
        <v>20</v>
      </c>
    </row>
    <row r="242" spans="1:11" x14ac:dyDescent="0.25">
      <c r="A242" t="s">
        <v>297</v>
      </c>
      <c r="B242" t="s">
        <v>208</v>
      </c>
      <c r="C242" t="s">
        <v>298</v>
      </c>
      <c r="D242" t="s">
        <v>192</v>
      </c>
      <c r="E242">
        <v>381.08148611651302</v>
      </c>
      <c r="F242">
        <v>2.0989337600000001E-2</v>
      </c>
      <c r="G242">
        <v>7.9986479652092051</v>
      </c>
      <c r="H242">
        <v>7.9986479652092053E-3</v>
      </c>
      <c r="I242">
        <v>159.97295930418409</v>
      </c>
      <c r="J242">
        <v>0.15997295930418409</v>
      </c>
      <c r="K242">
        <v>20</v>
      </c>
    </row>
    <row r="243" spans="1:11" x14ac:dyDescent="0.25">
      <c r="A243" t="s">
        <v>297</v>
      </c>
      <c r="B243" t="s">
        <v>209</v>
      </c>
      <c r="C243" t="s">
        <v>298</v>
      </c>
      <c r="D243" t="s">
        <v>192</v>
      </c>
      <c r="E243">
        <v>9527.0371529128297</v>
      </c>
      <c r="F243">
        <v>4.7507031880000009E-2</v>
      </c>
      <c r="G243">
        <v>452.60125774537431</v>
      </c>
      <c r="H243">
        <v>0.4526012577453743</v>
      </c>
      <c r="I243">
        <v>9052.0251549074856</v>
      </c>
      <c r="J243">
        <v>9.0520251549074864</v>
      </c>
      <c r="K243">
        <v>20</v>
      </c>
    </row>
    <row r="244" spans="1:11" x14ac:dyDescent="0.25">
      <c r="A244" t="s">
        <v>297</v>
      </c>
      <c r="B244" t="s">
        <v>213</v>
      </c>
      <c r="C244" t="s">
        <v>298</v>
      </c>
      <c r="D244" t="s">
        <v>192</v>
      </c>
      <c r="E244">
        <v>5335.1408056311802</v>
      </c>
      <c r="F244">
        <v>5.4519376999999994E-2</v>
      </c>
      <c r="G244">
        <v>290.86855293028998</v>
      </c>
      <c r="H244">
        <v>0.29086855293028996</v>
      </c>
      <c r="I244">
        <v>5817.3710586057996</v>
      </c>
      <c r="J244">
        <v>5.8173710586057998</v>
      </c>
      <c r="K244">
        <v>20</v>
      </c>
    </row>
    <row r="245" spans="1:11" x14ac:dyDescent="0.25">
      <c r="A245" t="s">
        <v>297</v>
      </c>
      <c r="B245" t="s">
        <v>210</v>
      </c>
      <c r="C245" t="s">
        <v>298</v>
      </c>
      <c r="D245" t="s">
        <v>192</v>
      </c>
      <c r="E245">
        <v>10289.200125145901</v>
      </c>
      <c r="F245">
        <v>3.2789072500000002E-2</v>
      </c>
      <c r="G245">
        <v>337.37332887041805</v>
      </c>
      <c r="H245">
        <v>0.33737332887041804</v>
      </c>
      <c r="I245">
        <v>6747.4665774083605</v>
      </c>
      <c r="J245">
        <v>6.7474665774083604</v>
      </c>
      <c r="K245">
        <v>20</v>
      </c>
    </row>
    <row r="246" spans="1:11" x14ac:dyDescent="0.25">
      <c r="A246" t="s">
        <v>297</v>
      </c>
      <c r="B246" t="s">
        <v>211</v>
      </c>
      <c r="C246" t="s">
        <v>298</v>
      </c>
      <c r="D246" t="s">
        <v>192</v>
      </c>
      <c r="E246">
        <v>381.08148611651302</v>
      </c>
      <c r="F246">
        <v>6.5702198015999996E-2</v>
      </c>
      <c r="G246">
        <v>25.037891261058693</v>
      </c>
      <c r="H246">
        <v>2.5037891261058692E-2</v>
      </c>
      <c r="I246">
        <v>500.75782522117385</v>
      </c>
      <c r="J246">
        <v>0.50075782522117385</v>
      </c>
      <c r="K246">
        <v>20</v>
      </c>
    </row>
    <row r="247" spans="1:11" x14ac:dyDescent="0.25">
      <c r="A247" t="s">
        <v>299</v>
      </c>
      <c r="B247" t="s">
        <v>172</v>
      </c>
      <c r="C247" t="s">
        <v>300</v>
      </c>
      <c r="D247" t="s">
        <v>281</v>
      </c>
      <c r="E247">
        <v>666.11606159400799</v>
      </c>
      <c r="F247">
        <v>0.79636814865443573</v>
      </c>
      <c r="G247">
        <v>530.47361476060416</v>
      </c>
      <c r="H247">
        <v>0.53047361476060417</v>
      </c>
      <c r="I247">
        <v>10609.472295212083</v>
      </c>
      <c r="J247">
        <v>10.609472295212083</v>
      </c>
      <c r="K247">
        <v>20</v>
      </c>
    </row>
    <row r="248" spans="1:11" x14ac:dyDescent="0.25">
      <c r="A248" t="s">
        <v>299</v>
      </c>
      <c r="B248" t="s">
        <v>157</v>
      </c>
      <c r="C248" t="s">
        <v>300</v>
      </c>
      <c r="D248" t="s">
        <v>282</v>
      </c>
      <c r="E248">
        <v>20.002996966812201</v>
      </c>
      <c r="F248">
        <v>193.82149011041997</v>
      </c>
      <c r="G248">
        <v>3877.0106787817517</v>
      </c>
      <c r="H248">
        <v>3.8770106787817515</v>
      </c>
      <c r="I248">
        <v>77540.213575635033</v>
      </c>
      <c r="J248">
        <v>77.540213575635036</v>
      </c>
      <c r="K248">
        <v>20</v>
      </c>
    </row>
    <row r="249" spans="1:11" x14ac:dyDescent="0.25">
      <c r="A249" t="s">
        <v>299</v>
      </c>
      <c r="B249" t="s">
        <v>173</v>
      </c>
      <c r="C249" t="s">
        <v>300</v>
      </c>
      <c r="D249" t="s">
        <v>285</v>
      </c>
      <c r="E249">
        <v>3309.7641810452301</v>
      </c>
      <c r="F249">
        <v>0.5293863189836292</v>
      </c>
      <c r="G249">
        <v>1752.1438765074004</v>
      </c>
      <c r="H249">
        <v>1.7521438765074004</v>
      </c>
      <c r="I249">
        <v>35042.877530148005</v>
      </c>
      <c r="J249">
        <v>35.042877530148004</v>
      </c>
      <c r="K249">
        <v>20</v>
      </c>
    </row>
    <row r="250" spans="1:11" x14ac:dyDescent="0.25">
      <c r="A250" t="s">
        <v>299</v>
      </c>
      <c r="B250" t="s">
        <v>170</v>
      </c>
      <c r="C250" t="s">
        <v>300</v>
      </c>
      <c r="D250" t="s">
        <v>283</v>
      </c>
      <c r="E250">
        <v>978.35796546619804</v>
      </c>
      <c r="F250">
        <v>2.8604645347737176</v>
      </c>
      <c r="G250">
        <v>2798.5582625294292</v>
      </c>
      <c r="H250">
        <v>2.7985582625294292</v>
      </c>
      <c r="I250">
        <v>55971.165250588587</v>
      </c>
      <c r="J250">
        <v>55.971165250588584</v>
      </c>
      <c r="K250">
        <v>20</v>
      </c>
    </row>
    <row r="251" spans="1:11" x14ac:dyDescent="0.25">
      <c r="A251" t="s">
        <v>299</v>
      </c>
      <c r="B251" t="s">
        <v>179</v>
      </c>
      <c r="C251" t="s">
        <v>300</v>
      </c>
      <c r="D251" t="s">
        <v>283</v>
      </c>
      <c r="E251">
        <v>41.632253849625499</v>
      </c>
      <c r="F251">
        <v>4.3620874587942051</v>
      </c>
      <c r="G251">
        <v>181.60353239878816</v>
      </c>
      <c r="H251">
        <v>0.18160353239878815</v>
      </c>
      <c r="I251">
        <v>3632.0706479757632</v>
      </c>
      <c r="J251">
        <v>3.6320706479757634</v>
      </c>
      <c r="K251">
        <v>20</v>
      </c>
    </row>
    <row r="252" spans="1:11" x14ac:dyDescent="0.25">
      <c r="A252" t="s">
        <v>299</v>
      </c>
      <c r="B252" t="s">
        <v>167</v>
      </c>
      <c r="C252" t="s">
        <v>300</v>
      </c>
      <c r="D252" t="s">
        <v>284</v>
      </c>
      <c r="E252">
        <v>3497.1093233685401</v>
      </c>
      <c r="F252">
        <v>1.4091771523227261</v>
      </c>
      <c r="G252">
        <v>4928.0465576657352</v>
      </c>
      <c r="H252">
        <v>4.9280465576657351</v>
      </c>
      <c r="I252">
        <v>98560.931153314712</v>
      </c>
      <c r="J252">
        <v>98.560931153314712</v>
      </c>
      <c r="K252">
        <v>20</v>
      </c>
    </row>
    <row r="253" spans="1:11" x14ac:dyDescent="0.25">
      <c r="A253" t="s">
        <v>299</v>
      </c>
      <c r="B253" t="s">
        <v>166</v>
      </c>
      <c r="C253" t="s">
        <v>300</v>
      </c>
      <c r="D253" t="s">
        <v>285</v>
      </c>
      <c r="E253">
        <v>2685.28037330084</v>
      </c>
      <c r="F253">
        <v>3.7257294640099312</v>
      </c>
      <c r="G253">
        <v>10004.628205934527</v>
      </c>
      <c r="H253">
        <v>10.004628205934527</v>
      </c>
      <c r="I253">
        <v>200092.56411869053</v>
      </c>
      <c r="J253">
        <v>200.09256411869052</v>
      </c>
      <c r="K253">
        <v>20</v>
      </c>
    </row>
    <row r="254" spans="1:11" x14ac:dyDescent="0.25">
      <c r="A254" t="s">
        <v>299</v>
      </c>
      <c r="B254" t="s">
        <v>175</v>
      </c>
      <c r="C254" t="s">
        <v>300</v>
      </c>
      <c r="D254" t="s">
        <v>284</v>
      </c>
      <c r="E254">
        <v>270.60965002256597</v>
      </c>
      <c r="F254">
        <v>1.8268247632285322</v>
      </c>
      <c r="G254">
        <v>494.35640982983006</v>
      </c>
      <c r="H254">
        <v>0.49435640982983003</v>
      </c>
      <c r="I254">
        <v>9887.1281965966009</v>
      </c>
      <c r="J254">
        <v>9.8871281965966009</v>
      </c>
      <c r="K254">
        <v>20</v>
      </c>
    </row>
    <row r="255" spans="1:11" x14ac:dyDescent="0.25">
      <c r="A255" t="s">
        <v>299</v>
      </c>
      <c r="B255" t="s">
        <v>160</v>
      </c>
      <c r="C255" t="s">
        <v>300</v>
      </c>
      <c r="D255" t="s">
        <v>284</v>
      </c>
      <c r="E255">
        <v>44.605986267455897</v>
      </c>
      <c r="F255">
        <v>9.8670422090673249</v>
      </c>
      <c r="G255">
        <v>440.1291492780648</v>
      </c>
      <c r="H255">
        <v>0.44012914927806479</v>
      </c>
      <c r="I255">
        <v>8802.5829855612956</v>
      </c>
      <c r="J255">
        <v>8.8025829855612958</v>
      </c>
      <c r="K255">
        <v>20</v>
      </c>
    </row>
    <row r="256" spans="1:11" x14ac:dyDescent="0.25">
      <c r="A256" t="s">
        <v>299</v>
      </c>
      <c r="B256" t="s">
        <v>164</v>
      </c>
      <c r="C256" t="s">
        <v>300</v>
      </c>
      <c r="D256" t="s">
        <v>281</v>
      </c>
      <c r="E256">
        <v>20.8161269248127</v>
      </c>
      <c r="F256">
        <v>2.1347687321001798</v>
      </c>
      <c r="G256">
        <v>44.437616882518824</v>
      </c>
      <c r="H256">
        <v>4.4437616882518821E-2</v>
      </c>
      <c r="I256">
        <v>888.75233765037649</v>
      </c>
      <c r="J256">
        <v>0.88875233765037653</v>
      </c>
      <c r="K256">
        <v>20</v>
      </c>
    </row>
    <row r="257" spans="1:11" x14ac:dyDescent="0.25">
      <c r="A257" t="s">
        <v>299</v>
      </c>
      <c r="B257" t="s">
        <v>161</v>
      </c>
      <c r="C257" t="s">
        <v>300</v>
      </c>
      <c r="D257" t="s">
        <v>284</v>
      </c>
      <c r="E257">
        <v>2185.6933271053399</v>
      </c>
      <c r="F257">
        <v>3.7133870232896782</v>
      </c>
      <c r="G257">
        <v>8116.3252377638109</v>
      </c>
      <c r="H257">
        <v>8.1163252377638102</v>
      </c>
      <c r="I257">
        <v>162326.50475527623</v>
      </c>
      <c r="J257">
        <v>162.32650475527623</v>
      </c>
      <c r="K257">
        <v>20</v>
      </c>
    </row>
    <row r="258" spans="1:11" x14ac:dyDescent="0.25">
      <c r="A258" t="s">
        <v>299</v>
      </c>
      <c r="B258" t="s">
        <v>165</v>
      </c>
      <c r="C258" t="s">
        <v>300</v>
      </c>
      <c r="D258" t="s">
        <v>282</v>
      </c>
      <c r="E258">
        <v>1436.31275781208</v>
      </c>
      <c r="F258">
        <v>2.4381191987700079</v>
      </c>
      <c r="G258">
        <v>3501.9017102599291</v>
      </c>
      <c r="H258">
        <v>3.5019017102599292</v>
      </c>
      <c r="I258">
        <v>70038.034205198579</v>
      </c>
      <c r="J258">
        <v>70.038034205198585</v>
      </c>
      <c r="K258">
        <v>20</v>
      </c>
    </row>
    <row r="259" spans="1:11" x14ac:dyDescent="0.25">
      <c r="A259" t="s">
        <v>299</v>
      </c>
      <c r="B259" t="s">
        <v>153</v>
      </c>
      <c r="C259" t="s">
        <v>300</v>
      </c>
      <c r="D259" t="s">
        <v>284</v>
      </c>
      <c r="E259">
        <v>520.403173120318</v>
      </c>
      <c r="F259">
        <v>6.8511656259798173</v>
      </c>
      <c r="G259">
        <v>3565.3683313327465</v>
      </c>
      <c r="H259">
        <v>3.5653683313327464</v>
      </c>
      <c r="I259">
        <v>71307.366626654926</v>
      </c>
      <c r="J259">
        <v>71.307366626654925</v>
      </c>
      <c r="K259">
        <v>20</v>
      </c>
    </row>
    <row r="260" spans="1:11" x14ac:dyDescent="0.25">
      <c r="A260" t="s">
        <v>299</v>
      </c>
      <c r="B260" t="s">
        <v>196</v>
      </c>
      <c r="C260" t="s">
        <v>300</v>
      </c>
      <c r="D260" t="s">
        <v>197</v>
      </c>
      <c r="E260">
        <v>22247.235650893599</v>
      </c>
      <c r="F260">
        <v>0.15711156529178327</v>
      </c>
      <c r="G260">
        <v>3495.2980165270583</v>
      </c>
      <c r="H260">
        <v>3.4952980165270584</v>
      </c>
      <c r="I260">
        <v>69905.960330541158</v>
      </c>
      <c r="J260">
        <v>69.905960330541163</v>
      </c>
      <c r="K260">
        <v>20</v>
      </c>
    </row>
    <row r="261" spans="1:11" x14ac:dyDescent="0.25">
      <c r="A261" t="s">
        <v>299</v>
      </c>
      <c r="B261" t="s">
        <v>198</v>
      </c>
      <c r="C261" t="s">
        <v>300</v>
      </c>
      <c r="D261" s="28" t="s">
        <v>290</v>
      </c>
      <c r="E261">
        <v>741.57452169645398</v>
      </c>
      <c r="F261">
        <v>0.71972977198106691</v>
      </c>
      <c r="G261">
        <v>533.73326140755762</v>
      </c>
      <c r="H261">
        <v>0.53373326140755761</v>
      </c>
      <c r="I261">
        <v>10674.665228151152</v>
      </c>
      <c r="J261">
        <v>10.674665228151152</v>
      </c>
      <c r="K261">
        <v>20</v>
      </c>
    </row>
    <row r="262" spans="1:11" x14ac:dyDescent="0.25">
      <c r="A262" t="s">
        <v>299</v>
      </c>
      <c r="B262" t="s">
        <v>191</v>
      </c>
      <c r="C262" t="s">
        <v>300</v>
      </c>
      <c r="D262" t="s">
        <v>192</v>
      </c>
      <c r="E262">
        <v>741.57452169645398</v>
      </c>
      <c r="F262">
        <v>1.1643588E-2</v>
      </c>
      <c r="G262">
        <v>8.6345882019305709</v>
      </c>
      <c r="H262">
        <v>8.6345882019305716E-3</v>
      </c>
      <c r="I262">
        <v>172.69176403861141</v>
      </c>
      <c r="J262">
        <v>0.17269176403861142</v>
      </c>
      <c r="K262">
        <v>20</v>
      </c>
    </row>
    <row r="263" spans="1:11" x14ac:dyDescent="0.25">
      <c r="A263" t="s">
        <v>299</v>
      </c>
      <c r="B263" t="s">
        <v>193</v>
      </c>
      <c r="C263" t="s">
        <v>300</v>
      </c>
      <c r="D263" t="s">
        <v>192</v>
      </c>
      <c r="E263">
        <v>741.57452169645398</v>
      </c>
      <c r="F263">
        <v>4.0316122111199997</v>
      </c>
      <c r="G263">
        <v>2989.7408971268969</v>
      </c>
      <c r="H263">
        <v>2.9897408971268971</v>
      </c>
      <c r="I263">
        <v>59794.817942537935</v>
      </c>
      <c r="J263">
        <v>59.794817942537932</v>
      </c>
      <c r="K263">
        <v>20</v>
      </c>
    </row>
    <row r="264" spans="1:11" x14ac:dyDescent="0.25">
      <c r="A264" t="s">
        <v>299</v>
      </c>
      <c r="B264" t="s">
        <v>194</v>
      </c>
      <c r="C264" t="s">
        <v>300</v>
      </c>
      <c r="D264" t="s">
        <v>192</v>
      </c>
      <c r="E264">
        <v>4449.4471301787198</v>
      </c>
      <c r="F264">
        <v>1.7678969999999999E-2</v>
      </c>
      <c r="G264">
        <v>78.66164233101567</v>
      </c>
      <c r="H264">
        <v>7.8661642331015677E-2</v>
      </c>
      <c r="I264">
        <v>1573.2328466203135</v>
      </c>
      <c r="J264">
        <v>1.5732328466203134</v>
      </c>
      <c r="K264">
        <v>20</v>
      </c>
    </row>
    <row r="265" spans="1:11" x14ac:dyDescent="0.25">
      <c r="A265" t="s">
        <v>299</v>
      </c>
      <c r="B265" t="s">
        <v>195</v>
      </c>
      <c r="C265" t="s">
        <v>300</v>
      </c>
      <c r="D265" t="s">
        <v>192</v>
      </c>
      <c r="E265">
        <v>100854.134950718</v>
      </c>
      <c r="F265">
        <v>2.6073817899999997E-2</v>
      </c>
      <c r="G265">
        <v>2629.6523491670464</v>
      </c>
      <c r="H265">
        <v>2.6296523491670465</v>
      </c>
      <c r="I265">
        <v>52593.04698334093</v>
      </c>
      <c r="J265">
        <v>52.593046983340926</v>
      </c>
      <c r="K265">
        <v>20</v>
      </c>
    </row>
    <row r="266" spans="1:11" x14ac:dyDescent="0.25">
      <c r="A266" t="s">
        <v>299</v>
      </c>
      <c r="B266" t="s">
        <v>200</v>
      </c>
      <c r="C266" t="s">
        <v>300</v>
      </c>
      <c r="D266" t="s">
        <v>192</v>
      </c>
      <c r="E266">
        <v>2224.7235650893599</v>
      </c>
      <c r="F266">
        <v>2.4988913333333335E-2</v>
      </c>
      <c r="G266">
        <v>55.593424358642373</v>
      </c>
      <c r="H266">
        <v>5.5593424358642375E-2</v>
      </c>
      <c r="I266">
        <v>1111.8684871728474</v>
      </c>
      <c r="J266">
        <v>1.1118684871728475</v>
      </c>
      <c r="K266">
        <v>20</v>
      </c>
    </row>
    <row r="267" spans="1:11" x14ac:dyDescent="0.25">
      <c r="A267" t="s">
        <v>299</v>
      </c>
      <c r="B267" t="s">
        <v>201</v>
      </c>
      <c r="C267" t="s">
        <v>300</v>
      </c>
      <c r="D267" t="s">
        <v>192</v>
      </c>
      <c r="E267">
        <v>4449.4471301787198</v>
      </c>
      <c r="F267">
        <v>5.4951907149999998E-3</v>
      </c>
      <c r="G267">
        <v>24.450560556641495</v>
      </c>
      <c r="H267">
        <v>2.4450560556641496E-2</v>
      </c>
      <c r="I267">
        <v>489.01121113282989</v>
      </c>
      <c r="J267">
        <v>0.48901121113282986</v>
      </c>
      <c r="K267">
        <v>20</v>
      </c>
    </row>
    <row r="268" spans="1:11" x14ac:dyDescent="0.25">
      <c r="A268" t="s">
        <v>299</v>
      </c>
      <c r="B268" t="s">
        <v>202</v>
      </c>
      <c r="C268" t="s">
        <v>300</v>
      </c>
      <c r="D268" t="s">
        <v>192</v>
      </c>
      <c r="E268">
        <v>21505.6611291972</v>
      </c>
      <c r="F268">
        <v>1.3242758000000002E-3</v>
      </c>
      <c r="G268">
        <v>28.479426596396532</v>
      </c>
      <c r="H268">
        <v>2.8479426596396532E-2</v>
      </c>
      <c r="I268">
        <v>569.5885319279306</v>
      </c>
      <c r="J268">
        <v>0.56958853192793057</v>
      </c>
      <c r="K268">
        <v>20</v>
      </c>
    </row>
    <row r="269" spans="1:11" x14ac:dyDescent="0.25">
      <c r="A269" t="s">
        <v>299</v>
      </c>
      <c r="B269" t="s">
        <v>204</v>
      </c>
      <c r="C269" t="s">
        <v>300</v>
      </c>
      <c r="D269" t="s">
        <v>192</v>
      </c>
      <c r="E269">
        <v>29662.980867858099</v>
      </c>
      <c r="F269">
        <v>3.4368381999999994E-3</v>
      </c>
      <c r="G269">
        <v>101.94686577252385</v>
      </c>
      <c r="H269">
        <v>0.10194686577252385</v>
      </c>
      <c r="I269">
        <v>2038.9373154504769</v>
      </c>
      <c r="J269">
        <v>2.0389373154504771</v>
      </c>
      <c r="K269">
        <v>20</v>
      </c>
    </row>
    <row r="270" spans="1:11" x14ac:dyDescent="0.25">
      <c r="A270" t="s">
        <v>299</v>
      </c>
      <c r="B270" t="s">
        <v>205</v>
      </c>
      <c r="C270" t="s">
        <v>300</v>
      </c>
      <c r="D270" t="s">
        <v>192</v>
      </c>
      <c r="E270">
        <v>8898.8942603574505</v>
      </c>
      <c r="F270">
        <v>2.1055455000000001E-3</v>
      </c>
      <c r="G270">
        <v>18.737026764871459</v>
      </c>
      <c r="H270">
        <v>1.8737026764871458E-2</v>
      </c>
      <c r="I270">
        <v>374.74053529742918</v>
      </c>
      <c r="J270">
        <v>0.37474053529742918</v>
      </c>
      <c r="K270">
        <v>20</v>
      </c>
    </row>
    <row r="271" spans="1:11" x14ac:dyDescent="0.25">
      <c r="A271" t="s">
        <v>299</v>
      </c>
      <c r="B271" t="s">
        <v>212</v>
      </c>
      <c r="C271" t="s">
        <v>300</v>
      </c>
      <c r="D271" t="s">
        <v>192</v>
      </c>
      <c r="E271">
        <v>741.57452169645398</v>
      </c>
      <c r="F271">
        <v>0.61629875000000001</v>
      </c>
      <c r="G271">
        <v>457.0314507533725</v>
      </c>
      <c r="H271">
        <v>0.45703145075337248</v>
      </c>
      <c r="I271">
        <v>9140.6290150674504</v>
      </c>
      <c r="J271">
        <v>9.1406290150674501</v>
      </c>
      <c r="K271">
        <v>20</v>
      </c>
    </row>
    <row r="272" spans="1:11" x14ac:dyDescent="0.25">
      <c r="A272" t="s">
        <v>299</v>
      </c>
      <c r="B272" t="s">
        <v>209</v>
      </c>
      <c r="C272" t="s">
        <v>300</v>
      </c>
      <c r="D272" t="s">
        <v>192</v>
      </c>
      <c r="E272">
        <v>40045.0241716085</v>
      </c>
      <c r="F272">
        <v>5.0592084619999998E-2</v>
      </c>
      <c r="G272">
        <v>2025.9612514999626</v>
      </c>
      <c r="H272">
        <v>2.0259612514999628</v>
      </c>
      <c r="I272">
        <v>40519.225029999252</v>
      </c>
      <c r="J272">
        <v>40.519225029999255</v>
      </c>
      <c r="K272">
        <v>20</v>
      </c>
    </row>
    <row r="273" spans="1:11" x14ac:dyDescent="0.25">
      <c r="A273" t="s">
        <v>299</v>
      </c>
      <c r="B273" t="s">
        <v>213</v>
      </c>
      <c r="C273" t="s">
        <v>300</v>
      </c>
      <c r="D273" t="s">
        <v>192</v>
      </c>
      <c r="E273">
        <v>22247.235650893599</v>
      </c>
      <c r="F273">
        <v>5.1946198919999999E-2</v>
      </c>
      <c r="G273">
        <v>1155.6593285414344</v>
      </c>
      <c r="H273">
        <v>1.1556593285414345</v>
      </c>
      <c r="I273">
        <v>23113.18657082869</v>
      </c>
      <c r="J273">
        <v>23.113186570828688</v>
      </c>
      <c r="K273">
        <v>20</v>
      </c>
    </row>
    <row r="274" spans="1:11" x14ac:dyDescent="0.25">
      <c r="A274" t="s">
        <v>299</v>
      </c>
      <c r="B274" t="s">
        <v>210</v>
      </c>
      <c r="C274" t="s">
        <v>300</v>
      </c>
      <c r="D274" t="s">
        <v>192</v>
      </c>
      <c r="E274">
        <v>1483.14904339291</v>
      </c>
      <c r="F274">
        <v>8.3159730000000001E-2</v>
      </c>
      <c r="G274">
        <v>123.33827399831269</v>
      </c>
      <c r="H274">
        <v>0.12333827399831268</v>
      </c>
      <c r="I274">
        <v>2466.7654799662537</v>
      </c>
      <c r="J274">
        <v>2.4667654799662535</v>
      </c>
      <c r="K274">
        <v>20</v>
      </c>
    </row>
    <row r="275" spans="1:11" x14ac:dyDescent="0.25">
      <c r="A275" t="s">
        <v>299</v>
      </c>
      <c r="B275" t="s">
        <v>215</v>
      </c>
      <c r="C275" t="s">
        <v>300</v>
      </c>
      <c r="D275" t="s">
        <v>192</v>
      </c>
      <c r="E275">
        <v>741.57452169645398</v>
      </c>
      <c r="F275">
        <v>8.2112681664000001E-2</v>
      </c>
      <c r="G275">
        <v>60.892672630193985</v>
      </c>
      <c r="H275">
        <v>6.0892672630193982E-2</v>
      </c>
      <c r="I275">
        <v>1217.8534526038798</v>
      </c>
      <c r="J275">
        <v>1.2178534526038798</v>
      </c>
      <c r="K275">
        <v>20</v>
      </c>
    </row>
    <row r="276" spans="1:11" x14ac:dyDescent="0.25">
      <c r="A276" t="s">
        <v>299</v>
      </c>
      <c r="B276" t="s">
        <v>211</v>
      </c>
      <c r="C276" t="s">
        <v>300</v>
      </c>
      <c r="D276" t="s">
        <v>192</v>
      </c>
      <c r="E276">
        <v>5191.0216518751804</v>
      </c>
      <c r="F276">
        <v>7.4152566398857145E-2</v>
      </c>
      <c r="G276">
        <v>384.92757771857941</v>
      </c>
      <c r="H276">
        <v>0.38492757771857944</v>
      </c>
      <c r="I276">
        <v>7698.5515543715883</v>
      </c>
      <c r="J276">
        <v>7.6985515543715879</v>
      </c>
      <c r="K276">
        <v>20</v>
      </c>
    </row>
    <row r="277" spans="1:11" x14ac:dyDescent="0.25">
      <c r="A277" t="s">
        <v>301</v>
      </c>
      <c r="B277" t="s">
        <v>172</v>
      </c>
      <c r="C277" t="s">
        <v>302</v>
      </c>
      <c r="D277" t="s">
        <v>281</v>
      </c>
      <c r="E277">
        <v>11051.471021900599</v>
      </c>
      <c r="F277">
        <v>1.3718890844053861</v>
      </c>
      <c r="G277">
        <v>15161.39246156787</v>
      </c>
      <c r="H277">
        <v>15.161392461567869</v>
      </c>
      <c r="I277">
        <v>303227.8492313574</v>
      </c>
      <c r="J277">
        <v>303.22784923135737</v>
      </c>
      <c r="K277">
        <v>20</v>
      </c>
    </row>
    <row r="278" spans="1:11" x14ac:dyDescent="0.25">
      <c r="A278" t="s">
        <v>301</v>
      </c>
      <c r="B278" t="s">
        <v>171</v>
      </c>
      <c r="C278" t="s">
        <v>302</v>
      </c>
      <c r="D278" t="s">
        <v>282</v>
      </c>
      <c r="E278">
        <v>270.890549462602</v>
      </c>
      <c r="F278">
        <v>4.2860174492206182</v>
      </c>
      <c r="G278">
        <v>1161.041621825673</v>
      </c>
      <c r="H278">
        <v>1.1610416218256729</v>
      </c>
      <c r="I278">
        <v>23220.832436513461</v>
      </c>
      <c r="J278">
        <v>23.220832436513462</v>
      </c>
      <c r="K278">
        <v>20</v>
      </c>
    </row>
    <row r="279" spans="1:11" x14ac:dyDescent="0.25">
      <c r="A279" t="s">
        <v>301</v>
      </c>
      <c r="B279" t="s">
        <v>173</v>
      </c>
      <c r="C279" t="s">
        <v>302</v>
      </c>
      <c r="D279" t="s">
        <v>285</v>
      </c>
      <c r="E279">
        <v>15748.3462062083</v>
      </c>
      <c r="F279">
        <v>0.52557713359573988</v>
      </c>
      <c r="G279">
        <v>8276.9706579323029</v>
      </c>
      <c r="H279">
        <v>8.2769706579323028</v>
      </c>
      <c r="I279">
        <v>165539.41315864606</v>
      </c>
      <c r="J279">
        <v>165.53941315864606</v>
      </c>
      <c r="K279">
        <v>20</v>
      </c>
    </row>
    <row r="280" spans="1:11" x14ac:dyDescent="0.25">
      <c r="A280" t="s">
        <v>301</v>
      </c>
      <c r="B280" t="s">
        <v>330</v>
      </c>
      <c r="C280" t="s">
        <v>302</v>
      </c>
      <c r="D280" t="s">
        <v>283</v>
      </c>
      <c r="E280">
        <v>92.095591849171498</v>
      </c>
      <c r="F280">
        <v>9.5553616319130708</v>
      </c>
      <c r="G280">
        <v>880.00668482389949</v>
      </c>
      <c r="H280">
        <v>0.88000668482389954</v>
      </c>
      <c r="I280">
        <v>17600.133696477991</v>
      </c>
      <c r="J280">
        <v>17.60013369647799</v>
      </c>
      <c r="K280">
        <v>20</v>
      </c>
    </row>
    <row r="281" spans="1:11" x14ac:dyDescent="0.25">
      <c r="A281" t="s">
        <v>301</v>
      </c>
      <c r="B281" t="s">
        <v>170</v>
      </c>
      <c r="C281" t="s">
        <v>302</v>
      </c>
      <c r="D281" t="s">
        <v>283</v>
      </c>
      <c r="E281">
        <v>2578.6765717767998</v>
      </c>
      <c r="F281">
        <v>6.9151710261966572</v>
      </c>
      <c r="G281">
        <v>17831.989515083053</v>
      </c>
      <c r="H281">
        <v>17.831989515083052</v>
      </c>
      <c r="I281">
        <v>356639.79030166107</v>
      </c>
      <c r="J281">
        <v>356.63979030166104</v>
      </c>
      <c r="K281">
        <v>20</v>
      </c>
    </row>
    <row r="282" spans="1:11" x14ac:dyDescent="0.25">
      <c r="A282" t="s">
        <v>301</v>
      </c>
      <c r="B282" t="s">
        <v>179</v>
      </c>
      <c r="C282" t="s">
        <v>302</v>
      </c>
      <c r="D282" t="s">
        <v>283</v>
      </c>
      <c r="E282">
        <v>2670.7721636259698</v>
      </c>
      <c r="F282">
        <v>2.4966586700683133</v>
      </c>
      <c r="G282">
        <v>6668.0064780938856</v>
      </c>
      <c r="H282">
        <v>6.6680064780938855</v>
      </c>
      <c r="I282">
        <v>133360.12956187772</v>
      </c>
      <c r="J282">
        <v>133.36012956187773</v>
      </c>
      <c r="K282">
        <v>20</v>
      </c>
    </row>
    <row r="283" spans="1:11" x14ac:dyDescent="0.25">
      <c r="A283" t="s">
        <v>301</v>
      </c>
      <c r="B283" t="s">
        <v>167</v>
      </c>
      <c r="C283" t="s">
        <v>302</v>
      </c>
      <c r="D283" t="s">
        <v>284</v>
      </c>
      <c r="E283">
        <v>1105.14710219006</v>
      </c>
      <c r="F283">
        <v>3.6796527148112048</v>
      </c>
      <c r="G283">
        <v>4066.55753483939</v>
      </c>
      <c r="H283">
        <v>4.0665575348393901</v>
      </c>
      <c r="I283">
        <v>81331.150696787794</v>
      </c>
      <c r="J283">
        <v>81.331150696787788</v>
      </c>
      <c r="K283">
        <v>20</v>
      </c>
    </row>
    <row r="284" spans="1:11" x14ac:dyDescent="0.25">
      <c r="A284" t="s">
        <v>301</v>
      </c>
      <c r="B284" t="s">
        <v>166</v>
      </c>
      <c r="C284" t="s">
        <v>302</v>
      </c>
      <c r="D284" t="s">
        <v>285</v>
      </c>
      <c r="E284">
        <v>4052.20604136355</v>
      </c>
      <c r="F284">
        <v>3.6634999705467188</v>
      </c>
      <c r="G284">
        <v>14845.256713184601</v>
      </c>
      <c r="H284">
        <v>14.8452567131846</v>
      </c>
      <c r="I284">
        <v>296905.13426369202</v>
      </c>
      <c r="J284">
        <v>296.90513426369199</v>
      </c>
      <c r="K284">
        <v>20</v>
      </c>
    </row>
    <row r="285" spans="1:11" x14ac:dyDescent="0.25">
      <c r="A285" t="s">
        <v>301</v>
      </c>
      <c r="B285" t="s">
        <v>163</v>
      </c>
      <c r="C285" t="s">
        <v>302</v>
      </c>
      <c r="D285" t="s">
        <v>281</v>
      </c>
      <c r="E285">
        <v>6354.5958375928303</v>
      </c>
      <c r="F285">
        <v>2.0852369921632645</v>
      </c>
      <c r="G285">
        <v>13250.838310795274</v>
      </c>
      <c r="H285">
        <v>13.250838310795274</v>
      </c>
      <c r="I285">
        <v>265016.76621590549</v>
      </c>
      <c r="J285">
        <v>265.01676621590548</v>
      </c>
      <c r="K285">
        <v>20</v>
      </c>
    </row>
    <row r="286" spans="1:11" x14ac:dyDescent="0.25">
      <c r="A286" t="s">
        <v>301</v>
      </c>
      <c r="B286" t="s">
        <v>161</v>
      </c>
      <c r="C286" t="s">
        <v>302</v>
      </c>
      <c r="D286" t="s">
        <v>284</v>
      </c>
      <c r="E286">
        <v>276.28677554751403</v>
      </c>
      <c r="F286">
        <v>4.2334605430557462</v>
      </c>
      <c r="G286">
        <v>1169.6491628484998</v>
      </c>
      <c r="H286">
        <v>1.1696491628484997</v>
      </c>
      <c r="I286">
        <v>23392.983256969997</v>
      </c>
      <c r="J286">
        <v>23.392983256969998</v>
      </c>
      <c r="K286">
        <v>20</v>
      </c>
    </row>
    <row r="287" spans="1:11" x14ac:dyDescent="0.25">
      <c r="A287" t="s">
        <v>301</v>
      </c>
      <c r="B287" t="s">
        <v>165</v>
      </c>
      <c r="C287" t="s">
        <v>302</v>
      </c>
      <c r="D287" t="s">
        <v>282</v>
      </c>
      <c r="E287">
        <v>355.22585427537598</v>
      </c>
      <c r="F287">
        <v>4.8002831675134496</v>
      </c>
      <c r="G287">
        <v>1705.1846889436729</v>
      </c>
      <c r="H287">
        <v>1.7051846889436728</v>
      </c>
      <c r="I287">
        <v>34103.693778873458</v>
      </c>
      <c r="J287">
        <v>34.103693778873456</v>
      </c>
      <c r="K287">
        <v>20</v>
      </c>
    </row>
    <row r="288" spans="1:11" x14ac:dyDescent="0.25">
      <c r="A288" t="s">
        <v>301</v>
      </c>
      <c r="B288" t="s">
        <v>178</v>
      </c>
      <c r="C288" t="s">
        <v>302</v>
      </c>
      <c r="D288" t="s">
        <v>282</v>
      </c>
      <c r="E288">
        <v>78.9390787278613</v>
      </c>
      <c r="F288">
        <v>4.0910787760802201</v>
      </c>
      <c r="G288">
        <v>322.94598958687897</v>
      </c>
      <c r="H288">
        <v>0.32294598958687898</v>
      </c>
      <c r="I288">
        <v>6458.9197917375795</v>
      </c>
      <c r="J288">
        <v>6.4589197917375794</v>
      </c>
      <c r="K288">
        <v>20</v>
      </c>
    </row>
    <row r="289" spans="1:11" x14ac:dyDescent="0.25">
      <c r="A289" t="s">
        <v>301</v>
      </c>
      <c r="B289" t="s">
        <v>196</v>
      </c>
      <c r="C289" t="s">
        <v>302</v>
      </c>
      <c r="D289" t="s">
        <v>197</v>
      </c>
      <c r="E289">
        <v>80986.561082365195</v>
      </c>
      <c r="F289">
        <v>0.10256094581944404</v>
      </c>
      <c r="G289">
        <v>8306.0583032715513</v>
      </c>
      <c r="H289">
        <v>8.306058303271552</v>
      </c>
      <c r="I289">
        <v>166121.16606543103</v>
      </c>
      <c r="J289">
        <v>166.12116606543103</v>
      </c>
      <c r="K289">
        <v>20</v>
      </c>
    </row>
    <row r="290" spans="1:11" x14ac:dyDescent="0.25">
      <c r="A290" t="s">
        <v>301</v>
      </c>
      <c r="B290" t="s">
        <v>198</v>
      </c>
      <c r="C290" t="s">
        <v>302</v>
      </c>
      <c r="D290" s="28" t="s">
        <v>290</v>
      </c>
      <c r="E290">
        <v>27801.356789468598</v>
      </c>
      <c r="F290">
        <v>0.21043188814727598</v>
      </c>
      <c r="G290">
        <v>5850.2920022639673</v>
      </c>
      <c r="H290">
        <v>5.8502920022639673</v>
      </c>
      <c r="I290">
        <v>117005.84004527934</v>
      </c>
      <c r="J290">
        <v>117.00584004527934</v>
      </c>
      <c r="K290">
        <v>20</v>
      </c>
    </row>
    <row r="291" spans="1:11" x14ac:dyDescent="0.25">
      <c r="A291" t="s">
        <v>301</v>
      </c>
      <c r="B291" t="s">
        <v>217</v>
      </c>
      <c r="C291" t="s">
        <v>302</v>
      </c>
      <c r="D291" t="s">
        <v>192</v>
      </c>
      <c r="E291">
        <v>3626.2639290611301</v>
      </c>
      <c r="F291">
        <v>3.9249215999999996E-2</v>
      </c>
      <c r="G291">
        <v>142.32801622472897</v>
      </c>
      <c r="H291">
        <v>0.14232801622472896</v>
      </c>
      <c r="I291">
        <v>2846.5603244945796</v>
      </c>
      <c r="J291">
        <v>2.8465603244945794</v>
      </c>
      <c r="K291">
        <v>20</v>
      </c>
    </row>
    <row r="292" spans="1:11" x14ac:dyDescent="0.25">
      <c r="A292" t="s">
        <v>301</v>
      </c>
      <c r="B292" t="s">
        <v>191</v>
      </c>
      <c r="C292" t="s">
        <v>302</v>
      </c>
      <c r="D292" t="s">
        <v>192</v>
      </c>
      <c r="E292">
        <v>6043.7732151018799</v>
      </c>
      <c r="F292">
        <v>1.4603001599999998E-2</v>
      </c>
      <c r="G292">
        <v>88.257229930169885</v>
      </c>
      <c r="H292">
        <v>8.8257229930169878E-2</v>
      </c>
      <c r="I292">
        <v>1765.1445986033978</v>
      </c>
      <c r="J292">
        <v>1.7651445986033978</v>
      </c>
      <c r="K292">
        <v>20</v>
      </c>
    </row>
    <row r="293" spans="1:11" x14ac:dyDescent="0.25">
      <c r="A293" t="s">
        <v>301</v>
      </c>
      <c r="B293" t="s">
        <v>193</v>
      </c>
      <c r="C293" t="s">
        <v>302</v>
      </c>
      <c r="D293" t="s">
        <v>192</v>
      </c>
      <c r="E293">
        <v>3626.2639290611301</v>
      </c>
      <c r="F293">
        <v>1.83598136111</v>
      </c>
      <c r="G293">
        <v>6657.75298422175</v>
      </c>
      <c r="H293">
        <v>6.6577529842217498</v>
      </c>
      <c r="I293">
        <v>133155.05968443499</v>
      </c>
      <c r="J293">
        <v>133.155059684435</v>
      </c>
      <c r="K293">
        <v>20</v>
      </c>
    </row>
    <row r="294" spans="1:11" x14ac:dyDescent="0.25">
      <c r="A294" t="s">
        <v>301</v>
      </c>
      <c r="B294" t="s">
        <v>194</v>
      </c>
      <c r="C294" t="s">
        <v>302</v>
      </c>
      <c r="D294" t="s">
        <v>192</v>
      </c>
      <c r="E294">
        <v>16922.565002285301</v>
      </c>
      <c r="F294">
        <v>1.9549709999999998E-2</v>
      </c>
      <c r="G294">
        <v>330.83123825082691</v>
      </c>
      <c r="H294">
        <v>0.33083123825082689</v>
      </c>
      <c r="I294">
        <v>6616.6247650165387</v>
      </c>
      <c r="J294">
        <v>6.6166247650165388</v>
      </c>
      <c r="K294">
        <v>20</v>
      </c>
    </row>
    <row r="295" spans="1:11" x14ac:dyDescent="0.25">
      <c r="A295" t="s">
        <v>301</v>
      </c>
      <c r="B295" t="s">
        <v>195</v>
      </c>
      <c r="C295" t="s">
        <v>302</v>
      </c>
      <c r="D295" t="s">
        <v>192</v>
      </c>
      <c r="E295">
        <v>73734.033224242899</v>
      </c>
      <c r="F295">
        <v>2.1397907700000003E-2</v>
      </c>
      <c r="G295">
        <v>1577.7540372810831</v>
      </c>
      <c r="H295">
        <v>1.5777540372810832</v>
      </c>
      <c r="I295">
        <v>31555.080745621664</v>
      </c>
      <c r="J295">
        <v>31.555080745621666</v>
      </c>
      <c r="K295">
        <v>20</v>
      </c>
    </row>
    <row r="296" spans="1:11" x14ac:dyDescent="0.25">
      <c r="A296" t="s">
        <v>301</v>
      </c>
      <c r="B296" t="s">
        <v>200</v>
      </c>
      <c r="C296" t="s">
        <v>302</v>
      </c>
      <c r="D296" t="s">
        <v>192</v>
      </c>
      <c r="E296">
        <v>2417.5092860407499</v>
      </c>
      <c r="F296">
        <v>2.1723849999999999E-2</v>
      </c>
      <c r="G296">
        <v>52.517609103556346</v>
      </c>
      <c r="H296">
        <v>5.2517609103556344E-2</v>
      </c>
      <c r="I296">
        <v>1050.3521820711269</v>
      </c>
      <c r="J296">
        <v>1.0503521820711268</v>
      </c>
      <c r="K296">
        <v>20</v>
      </c>
    </row>
    <row r="297" spans="1:11" x14ac:dyDescent="0.25">
      <c r="A297" t="s">
        <v>301</v>
      </c>
      <c r="B297" t="s">
        <v>201</v>
      </c>
      <c r="C297" t="s">
        <v>302</v>
      </c>
      <c r="D297" t="s">
        <v>192</v>
      </c>
      <c r="E297">
        <v>131754.25608922099</v>
      </c>
      <c r="F297">
        <v>6.3396397574999996E-3</v>
      </c>
      <c r="G297">
        <v>835.27452012306173</v>
      </c>
      <c r="H297">
        <v>0.83527452012306169</v>
      </c>
      <c r="I297">
        <v>16705.490402461233</v>
      </c>
      <c r="J297">
        <v>16.705490402461233</v>
      </c>
      <c r="K297">
        <v>20</v>
      </c>
    </row>
    <row r="298" spans="1:11" x14ac:dyDescent="0.25">
      <c r="A298" t="s">
        <v>301</v>
      </c>
      <c r="B298" t="s">
        <v>202</v>
      </c>
      <c r="C298" t="s">
        <v>302</v>
      </c>
      <c r="D298" t="s">
        <v>192</v>
      </c>
      <c r="E298">
        <v>158346.858235669</v>
      </c>
      <c r="F298">
        <v>1.5997559000000001E-3</v>
      </c>
      <c r="G298">
        <v>253.3163207089751</v>
      </c>
      <c r="H298">
        <v>0.25331632070897508</v>
      </c>
      <c r="I298">
        <v>5066.3264141795016</v>
      </c>
      <c r="J298">
        <v>5.0663264141795015</v>
      </c>
      <c r="K298">
        <v>20</v>
      </c>
    </row>
    <row r="299" spans="1:11" x14ac:dyDescent="0.25">
      <c r="A299" t="s">
        <v>301</v>
      </c>
      <c r="B299" t="s">
        <v>204</v>
      </c>
      <c r="C299" t="s">
        <v>302</v>
      </c>
      <c r="D299" t="s">
        <v>192</v>
      </c>
      <c r="E299">
        <v>7252.5278581222601</v>
      </c>
      <c r="F299">
        <v>4.2055859999999999E-3</v>
      </c>
      <c r="G299">
        <v>30.501129624728964</v>
      </c>
      <c r="H299">
        <v>3.0501129624728965E-2</v>
      </c>
      <c r="I299">
        <v>610.02259249457927</v>
      </c>
      <c r="J299">
        <v>0.61002259249457924</v>
      </c>
      <c r="K299">
        <v>20</v>
      </c>
    </row>
    <row r="300" spans="1:11" x14ac:dyDescent="0.25">
      <c r="A300" t="s">
        <v>301</v>
      </c>
      <c r="B300" t="s">
        <v>205</v>
      </c>
      <c r="C300" t="s">
        <v>302</v>
      </c>
      <c r="D300" t="s">
        <v>192</v>
      </c>
      <c r="E300">
        <v>10878.7917871834</v>
      </c>
      <c r="F300">
        <v>2.6481139999999996E-3</v>
      </c>
      <c r="G300">
        <v>28.808280834725377</v>
      </c>
      <c r="H300">
        <v>2.8808280834725378E-2</v>
      </c>
      <c r="I300">
        <v>576.16561669450755</v>
      </c>
      <c r="J300">
        <v>0.5761656166945075</v>
      </c>
      <c r="K300">
        <v>20</v>
      </c>
    </row>
    <row r="301" spans="1:11" x14ac:dyDescent="0.25">
      <c r="A301" t="s">
        <v>301</v>
      </c>
      <c r="B301" t="s">
        <v>216</v>
      </c>
      <c r="C301" t="s">
        <v>302</v>
      </c>
      <c r="D301" t="s">
        <v>192</v>
      </c>
      <c r="E301">
        <v>13296.3010732241</v>
      </c>
      <c r="F301">
        <v>8.3487066599999993E-2</v>
      </c>
      <c r="G301">
        <v>1110.0691732339119</v>
      </c>
      <c r="H301">
        <v>1.1100691732339119</v>
      </c>
      <c r="I301">
        <v>22201.383464678238</v>
      </c>
      <c r="J301">
        <v>22.201383464678237</v>
      </c>
      <c r="K301">
        <v>20</v>
      </c>
    </row>
    <row r="302" spans="1:11" x14ac:dyDescent="0.25">
      <c r="A302" t="s">
        <v>301</v>
      </c>
      <c r="B302" t="s">
        <v>212</v>
      </c>
      <c r="C302" t="s">
        <v>302</v>
      </c>
      <c r="D302" t="s">
        <v>192</v>
      </c>
      <c r="E302">
        <v>2417.5092860407499</v>
      </c>
      <c r="F302">
        <v>0.51038287999999998</v>
      </c>
      <c r="G302">
        <v>1233.8553518362216</v>
      </c>
      <c r="H302">
        <v>1.2338553518362216</v>
      </c>
      <c r="I302">
        <v>24677.107036724432</v>
      </c>
      <c r="J302">
        <v>24.677107036724433</v>
      </c>
      <c r="K302">
        <v>20</v>
      </c>
    </row>
    <row r="303" spans="1:11" x14ac:dyDescent="0.25">
      <c r="A303" t="s">
        <v>301</v>
      </c>
      <c r="B303" t="s">
        <v>207</v>
      </c>
      <c r="C303" t="s">
        <v>302</v>
      </c>
      <c r="D303" t="s">
        <v>192</v>
      </c>
      <c r="E303">
        <v>2417.5092860407499</v>
      </c>
      <c r="F303">
        <v>1.7798399999999999E-2</v>
      </c>
      <c r="G303">
        <v>43.027797276667677</v>
      </c>
      <c r="H303">
        <v>4.3027797276667674E-2</v>
      </c>
      <c r="I303">
        <v>860.55594553335357</v>
      </c>
      <c r="J303">
        <v>0.86055594553335357</v>
      </c>
      <c r="K303">
        <v>20</v>
      </c>
    </row>
    <row r="304" spans="1:11" x14ac:dyDescent="0.25">
      <c r="A304" t="s">
        <v>301</v>
      </c>
      <c r="B304" t="s">
        <v>208</v>
      </c>
      <c r="C304" t="s">
        <v>302</v>
      </c>
      <c r="D304" t="s">
        <v>192</v>
      </c>
      <c r="E304">
        <v>2417.5092860407499</v>
      </c>
      <c r="F304">
        <v>1.6991543800000002E-2</v>
      </c>
      <c r="G304">
        <v>41.077214920668133</v>
      </c>
      <c r="H304">
        <v>4.1077214920668133E-2</v>
      </c>
      <c r="I304">
        <v>821.54429841336264</v>
      </c>
      <c r="J304">
        <v>0.82154429841336263</v>
      </c>
      <c r="K304">
        <v>20</v>
      </c>
    </row>
    <row r="305" spans="1:11" x14ac:dyDescent="0.25">
      <c r="A305" t="s">
        <v>301</v>
      </c>
      <c r="B305" t="s">
        <v>209</v>
      </c>
      <c r="C305" t="s">
        <v>302</v>
      </c>
      <c r="D305" t="s">
        <v>192</v>
      </c>
      <c r="E305">
        <v>2417.5092860407499</v>
      </c>
      <c r="F305">
        <v>6.4780007599999995E-2</v>
      </c>
      <c r="G305">
        <v>156.60626992279035</v>
      </c>
      <c r="H305">
        <v>0.15660626992279034</v>
      </c>
      <c r="I305">
        <v>3132.125398455807</v>
      </c>
      <c r="J305">
        <v>3.1321253984558068</v>
      </c>
      <c r="K305">
        <v>20</v>
      </c>
    </row>
    <row r="306" spans="1:11" x14ac:dyDescent="0.25">
      <c r="A306" t="s">
        <v>301</v>
      </c>
      <c r="B306" t="s">
        <v>210</v>
      </c>
      <c r="C306" t="s">
        <v>302</v>
      </c>
      <c r="D306" t="s">
        <v>192</v>
      </c>
      <c r="E306">
        <v>4835.0185720814998</v>
      </c>
      <c r="F306">
        <v>2.2449040000000003E-2</v>
      </c>
      <c r="G306">
        <v>108.54152532540049</v>
      </c>
      <c r="H306">
        <v>0.10854152532540048</v>
      </c>
      <c r="I306">
        <v>2170.8305065080099</v>
      </c>
      <c r="J306">
        <v>2.1708305065080098</v>
      </c>
      <c r="K306">
        <v>20</v>
      </c>
    </row>
    <row r="307" spans="1:11" x14ac:dyDescent="0.25">
      <c r="A307" t="s">
        <v>301</v>
      </c>
      <c r="B307" t="s">
        <v>211</v>
      </c>
      <c r="C307" t="s">
        <v>302</v>
      </c>
      <c r="D307" t="s">
        <v>192</v>
      </c>
      <c r="E307">
        <v>2417.5092860407499</v>
      </c>
      <c r="F307">
        <v>8.2245057179999997E-2</v>
      </c>
      <c r="G307">
        <v>198.82818946360246</v>
      </c>
      <c r="H307">
        <v>0.19882818946360245</v>
      </c>
      <c r="I307">
        <v>3976.5637892720492</v>
      </c>
      <c r="J307">
        <v>3.9765637892720491</v>
      </c>
      <c r="K307">
        <v>20</v>
      </c>
    </row>
    <row r="308" spans="1:11" x14ac:dyDescent="0.25">
      <c r="A308" t="s">
        <v>301</v>
      </c>
      <c r="B308" t="s">
        <v>326</v>
      </c>
      <c r="C308" t="s">
        <v>302</v>
      </c>
      <c r="D308" t="s">
        <v>192</v>
      </c>
      <c r="E308">
        <v>1208.7546430203799</v>
      </c>
      <c r="F308">
        <v>6.8750522880000001E-3</v>
      </c>
      <c r="G308">
        <v>8.3102513741278869</v>
      </c>
      <c r="H308">
        <v>8.3102513741278878E-3</v>
      </c>
      <c r="I308">
        <v>166.20502748255774</v>
      </c>
      <c r="J308">
        <v>0.16620502748255775</v>
      </c>
      <c r="K308">
        <v>20</v>
      </c>
    </row>
    <row r="309" spans="1:11" x14ac:dyDescent="0.25">
      <c r="A309" t="s">
        <v>303</v>
      </c>
      <c r="B309" t="s">
        <v>172</v>
      </c>
      <c r="C309" t="s">
        <v>304</v>
      </c>
      <c r="D309" t="s">
        <v>281</v>
      </c>
      <c r="E309">
        <v>8090.1437515955304</v>
      </c>
      <c r="F309">
        <v>0.76420412274183491</v>
      </c>
      <c r="G309">
        <v>6182.5212085433996</v>
      </c>
      <c r="H309">
        <v>6.1825212085433998</v>
      </c>
      <c r="I309">
        <v>123650.42417086799</v>
      </c>
      <c r="J309">
        <v>123.65042417086799</v>
      </c>
      <c r="K309">
        <v>20</v>
      </c>
    </row>
    <row r="310" spans="1:11" x14ac:dyDescent="0.25">
      <c r="A310" t="s">
        <v>303</v>
      </c>
      <c r="B310" t="s">
        <v>171</v>
      </c>
      <c r="C310" t="s">
        <v>304</v>
      </c>
      <c r="D310" t="s">
        <v>282</v>
      </c>
      <c r="E310">
        <v>289.43532643047001</v>
      </c>
      <c r="F310">
        <v>2.7507107907424233</v>
      </c>
      <c r="G310">
        <v>796.15287563434958</v>
      </c>
      <c r="H310">
        <v>0.79615287563434955</v>
      </c>
      <c r="I310">
        <v>15923.057512686992</v>
      </c>
      <c r="J310">
        <v>15.923057512686992</v>
      </c>
      <c r="K310">
        <v>20</v>
      </c>
    </row>
    <row r="311" spans="1:11" x14ac:dyDescent="0.25">
      <c r="A311" t="s">
        <v>303</v>
      </c>
      <c r="B311" t="s">
        <v>328</v>
      </c>
      <c r="C311" t="s">
        <v>304</v>
      </c>
      <c r="D311" t="s">
        <v>281</v>
      </c>
      <c r="E311">
        <v>42.804993394685297</v>
      </c>
      <c r="F311">
        <v>2.66709802177418</v>
      </c>
      <c r="G311">
        <v>114.165113205022</v>
      </c>
      <c r="H311">
        <v>0.114165113205022</v>
      </c>
      <c r="I311">
        <v>2283.30226410044</v>
      </c>
      <c r="J311">
        <v>2.2833022641004401</v>
      </c>
      <c r="K311">
        <v>20</v>
      </c>
    </row>
    <row r="312" spans="1:11" x14ac:dyDescent="0.25">
      <c r="A312" t="s">
        <v>303</v>
      </c>
      <c r="B312" t="s">
        <v>329</v>
      </c>
      <c r="C312" t="s">
        <v>304</v>
      </c>
      <c r="D312" t="s">
        <v>281</v>
      </c>
      <c r="E312">
        <v>85.609986789370694</v>
      </c>
      <c r="F312">
        <v>0.89682565819829207</v>
      </c>
      <c r="G312">
        <v>76.777232750724465</v>
      </c>
      <c r="H312">
        <v>7.677723275072447E-2</v>
      </c>
      <c r="I312">
        <v>1535.5446550144893</v>
      </c>
      <c r="J312">
        <v>1.5355446550144893</v>
      </c>
      <c r="K312">
        <v>20</v>
      </c>
    </row>
    <row r="313" spans="1:11" x14ac:dyDescent="0.25">
      <c r="A313" t="s">
        <v>303</v>
      </c>
      <c r="B313" t="s">
        <v>173</v>
      </c>
      <c r="C313" t="s">
        <v>304</v>
      </c>
      <c r="D313" t="s">
        <v>285</v>
      </c>
      <c r="E313">
        <v>10144.783434540401</v>
      </c>
      <c r="F313">
        <v>0.31852468034689357</v>
      </c>
      <c r="G313">
        <v>3231.3639006754424</v>
      </c>
      <c r="H313">
        <v>3.2313639006754427</v>
      </c>
      <c r="I313">
        <v>64627.278013508847</v>
      </c>
      <c r="J313">
        <v>64.627278013508842</v>
      </c>
      <c r="K313">
        <v>20</v>
      </c>
    </row>
    <row r="314" spans="1:11" x14ac:dyDescent="0.25">
      <c r="A314" t="s">
        <v>303</v>
      </c>
      <c r="B314" t="s">
        <v>170</v>
      </c>
      <c r="C314" t="s">
        <v>304</v>
      </c>
      <c r="D314" t="s">
        <v>283</v>
      </c>
      <c r="E314">
        <v>428.049933946853</v>
      </c>
      <c r="F314">
        <v>3.433693063976083</v>
      </c>
      <c r="G314">
        <v>1469.7920892287295</v>
      </c>
      <c r="H314">
        <v>1.4697920892287295</v>
      </c>
      <c r="I314">
        <v>29395.84178457459</v>
      </c>
      <c r="J314">
        <v>29.395841784574589</v>
      </c>
      <c r="K314">
        <v>20</v>
      </c>
    </row>
    <row r="315" spans="1:11" x14ac:dyDescent="0.25">
      <c r="A315" t="s">
        <v>303</v>
      </c>
      <c r="B315" t="s">
        <v>179</v>
      </c>
      <c r="C315" t="s">
        <v>304</v>
      </c>
      <c r="D315" t="s">
        <v>283</v>
      </c>
      <c r="E315">
        <v>2568.2996036811201</v>
      </c>
      <c r="F315">
        <v>1.8054810879990142</v>
      </c>
      <c r="G315">
        <v>4637.0163627616257</v>
      </c>
      <c r="H315">
        <v>4.6370163627616261</v>
      </c>
      <c r="I315">
        <v>92740.327255232522</v>
      </c>
      <c r="J315">
        <v>92.740327255232515</v>
      </c>
      <c r="K315">
        <v>20</v>
      </c>
    </row>
    <row r="316" spans="1:11" x14ac:dyDescent="0.25">
      <c r="A316" t="s">
        <v>303</v>
      </c>
      <c r="B316" t="s">
        <v>167</v>
      </c>
      <c r="C316" t="s">
        <v>304</v>
      </c>
      <c r="D316" t="s">
        <v>284</v>
      </c>
      <c r="E316">
        <v>513.65992073622397</v>
      </c>
      <c r="F316">
        <v>2.1502977759468265</v>
      </c>
      <c r="G316">
        <v>1104.5217851521256</v>
      </c>
      <c r="H316">
        <v>1.1045217851521256</v>
      </c>
      <c r="I316">
        <v>22090.435703042513</v>
      </c>
      <c r="J316">
        <v>22.090435703042512</v>
      </c>
      <c r="K316">
        <v>20</v>
      </c>
    </row>
    <row r="317" spans="1:11" x14ac:dyDescent="0.25">
      <c r="A317" t="s">
        <v>303</v>
      </c>
      <c r="B317" t="s">
        <v>166</v>
      </c>
      <c r="C317" t="s">
        <v>304</v>
      </c>
      <c r="D317" t="s">
        <v>285</v>
      </c>
      <c r="E317">
        <v>1198.5398150511901</v>
      </c>
      <c r="F317">
        <v>2.7257286568795145</v>
      </c>
      <c r="G317">
        <v>3266.8943202961023</v>
      </c>
      <c r="H317">
        <v>3.2668943202961023</v>
      </c>
      <c r="I317">
        <v>65337.886405922043</v>
      </c>
      <c r="J317">
        <v>65.337886405922049</v>
      </c>
      <c r="K317">
        <v>20</v>
      </c>
    </row>
    <row r="318" spans="1:11" x14ac:dyDescent="0.25">
      <c r="A318" t="s">
        <v>303</v>
      </c>
      <c r="B318" t="s">
        <v>175</v>
      </c>
      <c r="C318" t="s">
        <v>304</v>
      </c>
      <c r="D318" t="s">
        <v>284</v>
      </c>
      <c r="E318">
        <v>42.804993394685297</v>
      </c>
      <c r="F318">
        <v>2.5680900110400602</v>
      </c>
      <c r="G318">
        <v>109.92707595952707</v>
      </c>
      <c r="H318">
        <v>0.10992707595952707</v>
      </c>
      <c r="I318">
        <v>2198.5415191905413</v>
      </c>
      <c r="J318">
        <v>2.1985415191905413</v>
      </c>
      <c r="K318">
        <v>20</v>
      </c>
    </row>
    <row r="319" spans="1:11" x14ac:dyDescent="0.25">
      <c r="A319" t="s">
        <v>303</v>
      </c>
      <c r="B319" t="s">
        <v>164</v>
      </c>
      <c r="C319" t="s">
        <v>304</v>
      </c>
      <c r="D319" t="s">
        <v>281</v>
      </c>
      <c r="E319">
        <v>385.24494055216798</v>
      </c>
      <c r="F319">
        <v>1.4904521554142991</v>
      </c>
      <c r="G319">
        <v>574.1891520084323</v>
      </c>
      <c r="H319">
        <v>0.57418915200843235</v>
      </c>
      <c r="I319">
        <v>11483.783040168646</v>
      </c>
      <c r="J319">
        <v>11.483783040168646</v>
      </c>
      <c r="K319">
        <v>20</v>
      </c>
    </row>
    <row r="320" spans="1:11" x14ac:dyDescent="0.25">
      <c r="A320" t="s">
        <v>303</v>
      </c>
      <c r="B320" t="s">
        <v>163</v>
      </c>
      <c r="C320" t="s">
        <v>304</v>
      </c>
      <c r="D320" t="s">
        <v>281</v>
      </c>
      <c r="E320">
        <v>4622.9392866260196</v>
      </c>
      <c r="F320">
        <v>0.99793556552723783</v>
      </c>
      <c r="G320">
        <v>4613.3955313972219</v>
      </c>
      <c r="H320">
        <v>4.6133955313972219</v>
      </c>
      <c r="I320">
        <v>92267.910627944439</v>
      </c>
      <c r="J320">
        <v>92.267910627944445</v>
      </c>
      <c r="K320">
        <v>20</v>
      </c>
    </row>
    <row r="321" spans="1:11" x14ac:dyDescent="0.25">
      <c r="A321" t="s">
        <v>303</v>
      </c>
      <c r="B321" t="s">
        <v>161</v>
      </c>
      <c r="C321" t="s">
        <v>304</v>
      </c>
      <c r="D321" t="s">
        <v>284</v>
      </c>
      <c r="E321">
        <v>42.804993394685297</v>
      </c>
      <c r="F321">
        <v>3.3280235321885798</v>
      </c>
      <c r="G321">
        <v>142.45602531268941</v>
      </c>
      <c r="H321">
        <v>0.14245602531268942</v>
      </c>
      <c r="I321">
        <v>2849.1205062537883</v>
      </c>
      <c r="J321">
        <v>2.8491205062537883</v>
      </c>
      <c r="K321">
        <v>20</v>
      </c>
    </row>
    <row r="322" spans="1:11" x14ac:dyDescent="0.25">
      <c r="A322" t="s">
        <v>303</v>
      </c>
      <c r="B322" t="s">
        <v>190</v>
      </c>
      <c r="C322" t="s">
        <v>304</v>
      </c>
      <c r="D322" t="s">
        <v>284</v>
      </c>
      <c r="E322">
        <v>42.804993394685297</v>
      </c>
      <c r="F322">
        <v>3.9959369923756198</v>
      </c>
      <c r="G322">
        <v>171.04605656421705</v>
      </c>
      <c r="H322">
        <v>0.17104605656421706</v>
      </c>
      <c r="I322">
        <v>3420.9211312843408</v>
      </c>
      <c r="J322">
        <v>3.4209211312843411</v>
      </c>
      <c r="K322">
        <v>20</v>
      </c>
    </row>
    <row r="323" spans="1:11" x14ac:dyDescent="0.25">
      <c r="A323" t="s">
        <v>303</v>
      </c>
      <c r="B323" t="s">
        <v>178</v>
      </c>
      <c r="C323" t="s">
        <v>304</v>
      </c>
      <c r="D323" t="s">
        <v>282</v>
      </c>
      <c r="E323">
        <v>128.41498018405599</v>
      </c>
      <c r="F323">
        <v>5.6431620350479381</v>
      </c>
      <c r="G323">
        <v>724.66654090609802</v>
      </c>
      <c r="H323">
        <v>0.72466654090609806</v>
      </c>
      <c r="I323">
        <v>14493.33081812196</v>
      </c>
      <c r="J323">
        <v>14.49333081812196</v>
      </c>
      <c r="K323">
        <v>20</v>
      </c>
    </row>
    <row r="324" spans="1:11" x14ac:dyDescent="0.25">
      <c r="A324" t="s">
        <v>303</v>
      </c>
      <c r="B324" t="s">
        <v>153</v>
      </c>
      <c r="C324" t="s">
        <v>304</v>
      </c>
      <c r="D324" t="s">
        <v>284</v>
      </c>
      <c r="E324">
        <v>42.804993394685297</v>
      </c>
      <c r="F324">
        <v>6.5614247177830398</v>
      </c>
      <c r="G324">
        <v>280.86174170442786</v>
      </c>
      <c r="H324">
        <v>0.28086174170442785</v>
      </c>
      <c r="I324">
        <v>5617.2348340885574</v>
      </c>
      <c r="J324">
        <v>5.6172348340885572</v>
      </c>
      <c r="K324">
        <v>20</v>
      </c>
    </row>
    <row r="325" spans="1:11" x14ac:dyDescent="0.25">
      <c r="A325" t="s">
        <v>303</v>
      </c>
      <c r="B325" t="s">
        <v>196</v>
      </c>
      <c r="C325" t="s">
        <v>304</v>
      </c>
      <c r="D325" t="s">
        <v>197</v>
      </c>
      <c r="E325">
        <v>43195.588959411798</v>
      </c>
      <c r="F325">
        <v>8.4123804546599776E-2</v>
      </c>
      <c r="G325">
        <v>3633.7772828968214</v>
      </c>
      <c r="H325">
        <v>3.6337772828968213</v>
      </c>
      <c r="I325">
        <v>72675.545657936425</v>
      </c>
      <c r="J325">
        <v>72.675545657936425</v>
      </c>
      <c r="K325">
        <v>20</v>
      </c>
    </row>
    <row r="326" spans="1:11" x14ac:dyDescent="0.25">
      <c r="A326" t="s">
        <v>303</v>
      </c>
      <c r="B326" t="s">
        <v>198</v>
      </c>
      <c r="C326" t="s">
        <v>304</v>
      </c>
      <c r="D326" s="28" t="s">
        <v>290</v>
      </c>
      <c r="E326">
        <v>23259.163285837101</v>
      </c>
      <c r="F326">
        <v>0.36005324864458194</v>
      </c>
      <c r="G326">
        <v>8374.5373018204373</v>
      </c>
      <c r="H326">
        <v>8.3745373018204372</v>
      </c>
      <c r="I326">
        <v>167490.74603640876</v>
      </c>
      <c r="J326">
        <v>167.49074603640875</v>
      </c>
      <c r="K326">
        <v>20</v>
      </c>
    </row>
    <row r="327" spans="1:11" x14ac:dyDescent="0.25">
      <c r="A327" t="s">
        <v>303</v>
      </c>
      <c r="B327" t="s">
        <v>217</v>
      </c>
      <c r="C327" t="s">
        <v>304</v>
      </c>
      <c r="D327" t="s">
        <v>192</v>
      </c>
      <c r="E327">
        <v>1661.36880613122</v>
      </c>
      <c r="F327">
        <v>3.5831808E-2</v>
      </c>
      <c r="G327">
        <v>59.529848078483099</v>
      </c>
      <c r="H327">
        <v>5.9529848078483098E-2</v>
      </c>
      <c r="I327">
        <v>1190.596961569662</v>
      </c>
      <c r="J327">
        <v>1.1905969615696619</v>
      </c>
      <c r="K327">
        <v>20</v>
      </c>
    </row>
    <row r="328" spans="1:11" x14ac:dyDescent="0.25">
      <c r="A328" t="s">
        <v>303</v>
      </c>
      <c r="B328" t="s">
        <v>191</v>
      </c>
      <c r="C328" t="s">
        <v>304</v>
      </c>
      <c r="D328" t="s">
        <v>192</v>
      </c>
      <c r="E328">
        <v>4984.1064183936696</v>
      </c>
      <c r="F328">
        <v>1.5638148000000001E-2</v>
      </c>
      <c r="G328">
        <v>77.942193818590127</v>
      </c>
      <c r="H328">
        <v>7.7942193818590133E-2</v>
      </c>
      <c r="I328">
        <v>1558.8438763718025</v>
      </c>
      <c r="J328">
        <v>1.5588438763718024</v>
      </c>
      <c r="K328">
        <v>20</v>
      </c>
    </row>
    <row r="329" spans="1:11" x14ac:dyDescent="0.25">
      <c r="A329" t="s">
        <v>303</v>
      </c>
      <c r="B329" t="s">
        <v>218</v>
      </c>
      <c r="C329" t="s">
        <v>304</v>
      </c>
      <c r="D329" t="s">
        <v>192</v>
      </c>
      <c r="E329">
        <v>1661.36880613122</v>
      </c>
      <c r="F329">
        <v>3.2376688281599999</v>
      </c>
      <c r="G329">
        <v>5378.9619956884453</v>
      </c>
      <c r="H329">
        <v>5.3789619956884449</v>
      </c>
      <c r="I329">
        <v>107579.23991376891</v>
      </c>
      <c r="J329">
        <v>107.5792399137689</v>
      </c>
      <c r="K329">
        <v>20</v>
      </c>
    </row>
    <row r="330" spans="1:11" x14ac:dyDescent="0.25">
      <c r="A330" t="s">
        <v>303</v>
      </c>
      <c r="B330" t="s">
        <v>194</v>
      </c>
      <c r="C330" t="s">
        <v>304</v>
      </c>
      <c r="D330" t="s">
        <v>192</v>
      </c>
      <c r="E330">
        <v>16613.688061312201</v>
      </c>
      <c r="F330">
        <v>1.8283302000000001E-2</v>
      </c>
      <c r="G330">
        <v>303.75307615876551</v>
      </c>
      <c r="H330">
        <v>0.30375307615876551</v>
      </c>
      <c r="I330">
        <v>6075.06152317531</v>
      </c>
      <c r="J330">
        <v>6.07506152317531</v>
      </c>
      <c r="K330">
        <v>20</v>
      </c>
    </row>
    <row r="331" spans="1:11" x14ac:dyDescent="0.25">
      <c r="A331" t="s">
        <v>303</v>
      </c>
      <c r="B331" t="s">
        <v>195</v>
      </c>
      <c r="C331" t="s">
        <v>304</v>
      </c>
      <c r="D331" t="s">
        <v>192</v>
      </c>
      <c r="E331">
        <v>212655.20718479701</v>
      </c>
      <c r="F331">
        <v>1.8252976299999998E-2</v>
      </c>
      <c r="G331">
        <v>3881.5904568156889</v>
      </c>
      <c r="H331">
        <v>3.8815904568156889</v>
      </c>
      <c r="I331">
        <v>77631.809136313779</v>
      </c>
      <c r="J331">
        <v>77.631809136313777</v>
      </c>
      <c r="K331">
        <v>20</v>
      </c>
    </row>
    <row r="332" spans="1:11" x14ac:dyDescent="0.25">
      <c r="A332" t="s">
        <v>303</v>
      </c>
      <c r="B332" t="s">
        <v>200</v>
      </c>
      <c r="C332" t="s">
        <v>304</v>
      </c>
      <c r="D332" t="s">
        <v>192</v>
      </c>
      <c r="E332">
        <v>1661.36880613122</v>
      </c>
      <c r="F332">
        <v>2.6620000000000001E-2</v>
      </c>
      <c r="G332">
        <v>44.225637619213082</v>
      </c>
      <c r="H332">
        <v>4.4225637619213082E-2</v>
      </c>
      <c r="I332">
        <v>884.5127523842616</v>
      </c>
      <c r="J332">
        <v>0.88451275238426164</v>
      </c>
      <c r="K332">
        <v>20</v>
      </c>
    </row>
    <row r="333" spans="1:11" x14ac:dyDescent="0.25">
      <c r="A333" t="s">
        <v>303</v>
      </c>
      <c r="B333" t="s">
        <v>201</v>
      </c>
      <c r="C333" t="s">
        <v>304</v>
      </c>
      <c r="D333" t="s">
        <v>192</v>
      </c>
      <c r="E333">
        <v>96359.390755611006</v>
      </c>
      <c r="F333">
        <v>6.3647275124999996E-3</v>
      </c>
      <c r="G333">
        <v>613.3012654299755</v>
      </c>
      <c r="H333">
        <v>0.61330126542997554</v>
      </c>
      <c r="I333">
        <v>12266.02530859951</v>
      </c>
      <c r="J333">
        <v>12.266025308599509</v>
      </c>
      <c r="K333">
        <v>20</v>
      </c>
    </row>
    <row r="334" spans="1:11" x14ac:dyDescent="0.25">
      <c r="A334" t="s">
        <v>303</v>
      </c>
      <c r="B334" t="s">
        <v>202</v>
      </c>
      <c r="C334" t="s">
        <v>304</v>
      </c>
      <c r="D334" t="s">
        <v>192</v>
      </c>
      <c r="E334">
        <v>142877.71732728501</v>
      </c>
      <c r="F334">
        <v>1.5209310000000001E-3</v>
      </c>
      <c r="G334">
        <v>217.30714949230492</v>
      </c>
      <c r="H334">
        <v>0.21730714949230492</v>
      </c>
      <c r="I334">
        <v>4346.1429898460983</v>
      </c>
      <c r="J334">
        <v>4.3461429898460979</v>
      </c>
      <c r="K334">
        <v>20</v>
      </c>
    </row>
    <row r="335" spans="1:11" x14ac:dyDescent="0.25">
      <c r="A335" t="s">
        <v>303</v>
      </c>
      <c r="B335" t="s">
        <v>203</v>
      </c>
      <c r="C335" t="s">
        <v>304</v>
      </c>
      <c r="D335" t="s">
        <v>192</v>
      </c>
      <c r="E335">
        <v>8306.8440306561206</v>
      </c>
      <c r="F335">
        <v>2.2414067999999999E-3</v>
      </c>
      <c r="G335">
        <v>18.619016696852036</v>
      </c>
      <c r="H335">
        <v>1.8619016696852037E-2</v>
      </c>
      <c r="I335">
        <v>372.38033393704075</v>
      </c>
      <c r="J335">
        <v>0.37238033393704073</v>
      </c>
      <c r="K335">
        <v>20</v>
      </c>
    </row>
    <row r="336" spans="1:11" x14ac:dyDescent="0.25">
      <c r="A336" t="s">
        <v>303</v>
      </c>
      <c r="B336" t="s">
        <v>204</v>
      </c>
      <c r="C336" t="s">
        <v>304</v>
      </c>
      <c r="D336" t="s">
        <v>192</v>
      </c>
      <c r="E336">
        <v>8306.8440306561206</v>
      </c>
      <c r="F336">
        <v>3.6398955999999995E-3</v>
      </c>
      <c r="G336">
        <v>30.236045037071474</v>
      </c>
      <c r="H336">
        <v>3.0236045037071474E-2</v>
      </c>
      <c r="I336">
        <v>604.72090074142943</v>
      </c>
      <c r="J336">
        <v>0.60472090074142948</v>
      </c>
      <c r="K336">
        <v>20</v>
      </c>
    </row>
    <row r="337" spans="1:11" x14ac:dyDescent="0.25">
      <c r="A337" t="s">
        <v>303</v>
      </c>
      <c r="B337" t="s">
        <v>205</v>
      </c>
      <c r="C337" t="s">
        <v>304</v>
      </c>
      <c r="D337" t="s">
        <v>192</v>
      </c>
      <c r="E337">
        <v>26581.9008980996</v>
      </c>
      <c r="F337">
        <v>2.6760137500000006E-3</v>
      </c>
      <c r="G337">
        <v>71.13353230445189</v>
      </c>
      <c r="H337">
        <v>7.1133532304451894E-2</v>
      </c>
      <c r="I337">
        <v>1422.6706460890377</v>
      </c>
      <c r="J337">
        <v>1.4226706460890377</v>
      </c>
      <c r="K337">
        <v>20</v>
      </c>
    </row>
    <row r="338" spans="1:11" x14ac:dyDescent="0.25">
      <c r="A338" t="s">
        <v>303</v>
      </c>
      <c r="B338" t="s">
        <v>216</v>
      </c>
      <c r="C338" t="s">
        <v>304</v>
      </c>
      <c r="D338" t="s">
        <v>192</v>
      </c>
      <c r="E338">
        <v>18275.056867443502</v>
      </c>
      <c r="F338">
        <v>7.7001865500000002E-2</v>
      </c>
      <c r="G338">
        <v>1407.2134709117358</v>
      </c>
      <c r="H338">
        <v>1.4072134709117359</v>
      </c>
      <c r="I338">
        <v>28144.269418234719</v>
      </c>
      <c r="J338">
        <v>28.144269418234718</v>
      </c>
      <c r="K338">
        <v>20</v>
      </c>
    </row>
    <row r="339" spans="1:11" x14ac:dyDescent="0.25">
      <c r="A339" t="s">
        <v>303</v>
      </c>
      <c r="B339" t="s">
        <v>212</v>
      </c>
      <c r="C339" t="s">
        <v>304</v>
      </c>
      <c r="D339" t="s">
        <v>192</v>
      </c>
      <c r="E339">
        <v>1661.36880613122</v>
      </c>
      <c r="F339">
        <v>0.14706125</v>
      </c>
      <c r="G339">
        <v>244.3229733406649</v>
      </c>
      <c r="H339">
        <v>0.24432297334066491</v>
      </c>
      <c r="I339">
        <v>4886.4594668132977</v>
      </c>
      <c r="J339">
        <v>4.8864594668132977</v>
      </c>
      <c r="K339">
        <v>20</v>
      </c>
    </row>
    <row r="340" spans="1:11" x14ac:dyDescent="0.25">
      <c r="A340" t="s">
        <v>303</v>
      </c>
      <c r="B340" t="s">
        <v>208</v>
      </c>
      <c r="C340" t="s">
        <v>304</v>
      </c>
      <c r="D340" t="s">
        <v>192</v>
      </c>
      <c r="E340">
        <v>4984.1064183936696</v>
      </c>
      <c r="F340">
        <v>1.8521775066666666E-2</v>
      </c>
      <c r="G340">
        <v>92.31449798981717</v>
      </c>
      <c r="H340">
        <v>9.2314497989817168E-2</v>
      </c>
      <c r="I340">
        <v>1846.2899597963433</v>
      </c>
      <c r="J340">
        <v>1.8462899597963434</v>
      </c>
      <c r="K340">
        <v>20</v>
      </c>
    </row>
    <row r="341" spans="1:11" x14ac:dyDescent="0.25">
      <c r="A341" t="s">
        <v>303</v>
      </c>
      <c r="B341" t="s">
        <v>215</v>
      </c>
      <c r="C341" t="s">
        <v>304</v>
      </c>
      <c r="D341" t="s">
        <v>192</v>
      </c>
      <c r="E341">
        <v>1661.36880613122</v>
      </c>
      <c r="F341">
        <v>7.9400409088000001E-2</v>
      </c>
      <c r="G341">
        <v>131.91336285286104</v>
      </c>
      <c r="H341">
        <v>0.13191336285286104</v>
      </c>
      <c r="I341">
        <v>2638.2672570572208</v>
      </c>
      <c r="J341">
        <v>2.6382672570572208</v>
      </c>
      <c r="K341">
        <v>20</v>
      </c>
    </row>
    <row r="342" spans="1:11" x14ac:dyDescent="0.25">
      <c r="A342" t="s">
        <v>305</v>
      </c>
      <c r="B342" t="s">
        <v>172</v>
      </c>
      <c r="C342" t="s">
        <v>306</v>
      </c>
      <c r="D342" t="s">
        <v>281</v>
      </c>
      <c r="E342">
        <v>16271.165796859799</v>
      </c>
      <c r="F342">
        <v>1.7198782906870878</v>
      </c>
      <c r="G342">
        <v>27984.424818189436</v>
      </c>
      <c r="H342">
        <v>27.984424818189435</v>
      </c>
      <c r="I342">
        <v>559688.49636378873</v>
      </c>
      <c r="J342">
        <v>559.68849636378877</v>
      </c>
      <c r="K342">
        <v>20</v>
      </c>
    </row>
    <row r="343" spans="1:11" x14ac:dyDescent="0.25">
      <c r="A343" t="s">
        <v>305</v>
      </c>
      <c r="B343" t="s">
        <v>171</v>
      </c>
      <c r="C343" t="s">
        <v>306</v>
      </c>
      <c r="D343" t="s">
        <v>282</v>
      </c>
      <c r="E343">
        <v>309.577339548282</v>
      </c>
      <c r="F343">
        <v>3.0340372390146051</v>
      </c>
      <c r="G343">
        <v>939.26917654455644</v>
      </c>
      <c r="H343">
        <v>0.93926917654455644</v>
      </c>
      <c r="I343">
        <v>18785.383530891129</v>
      </c>
      <c r="J343">
        <v>18.785383530891128</v>
      </c>
      <c r="K343">
        <v>20</v>
      </c>
    </row>
    <row r="344" spans="1:11" x14ac:dyDescent="0.25">
      <c r="A344" t="s">
        <v>305</v>
      </c>
      <c r="B344" t="s">
        <v>173</v>
      </c>
      <c r="C344" t="s">
        <v>306</v>
      </c>
      <c r="D344" t="s">
        <v>285</v>
      </c>
      <c r="E344">
        <v>15149.016431559099</v>
      </c>
      <c r="F344">
        <v>0.96396512089319519</v>
      </c>
      <c r="G344">
        <v>14603.123455860867</v>
      </c>
      <c r="H344">
        <v>14.603123455860867</v>
      </c>
      <c r="I344">
        <v>292062.46911721735</v>
      </c>
      <c r="J344">
        <v>292.06246911721735</v>
      </c>
      <c r="K344">
        <v>20</v>
      </c>
    </row>
    <row r="345" spans="1:11" x14ac:dyDescent="0.25">
      <c r="A345" t="s">
        <v>305</v>
      </c>
      <c r="B345" t="s">
        <v>170</v>
      </c>
      <c r="C345" t="s">
        <v>306</v>
      </c>
      <c r="D345" t="s">
        <v>283</v>
      </c>
      <c r="E345">
        <v>1028.6369181922801</v>
      </c>
      <c r="F345">
        <v>5.6907353700944716</v>
      </c>
      <c r="G345">
        <v>5853.700493341782</v>
      </c>
      <c r="H345">
        <v>5.8537004933417824</v>
      </c>
      <c r="I345">
        <v>117074.00986683564</v>
      </c>
      <c r="J345">
        <v>117.07400986683564</v>
      </c>
      <c r="K345">
        <v>20</v>
      </c>
    </row>
    <row r="346" spans="1:11" x14ac:dyDescent="0.25">
      <c r="A346" t="s">
        <v>305</v>
      </c>
      <c r="B346" t="s">
        <v>179</v>
      </c>
      <c r="C346" t="s">
        <v>306</v>
      </c>
      <c r="D346" t="s">
        <v>283</v>
      </c>
      <c r="E346">
        <v>3834.0103314439698</v>
      </c>
      <c r="F346">
        <v>3.7231298789267919</v>
      </c>
      <c r="G346">
        <v>14274.518421113056</v>
      </c>
      <c r="H346">
        <v>14.274518421113056</v>
      </c>
      <c r="I346">
        <v>285490.36842226115</v>
      </c>
      <c r="J346">
        <v>285.49036842226116</v>
      </c>
      <c r="K346">
        <v>20</v>
      </c>
    </row>
    <row r="347" spans="1:11" x14ac:dyDescent="0.25">
      <c r="A347" t="s">
        <v>305</v>
      </c>
      <c r="B347" t="s">
        <v>167</v>
      </c>
      <c r="C347" t="s">
        <v>306</v>
      </c>
      <c r="D347" t="s">
        <v>284</v>
      </c>
      <c r="E347">
        <v>1496.1991537342301</v>
      </c>
      <c r="F347">
        <v>5.2872939538150368</v>
      </c>
      <c r="G347">
        <v>7910.8447392421695</v>
      </c>
      <c r="H347">
        <v>7.9108447392421697</v>
      </c>
      <c r="I347">
        <v>158216.89478484337</v>
      </c>
      <c r="J347">
        <v>158.21689478484336</v>
      </c>
      <c r="K347">
        <v>20</v>
      </c>
    </row>
    <row r="348" spans="1:11" x14ac:dyDescent="0.25">
      <c r="A348" t="s">
        <v>305</v>
      </c>
      <c r="B348" t="s">
        <v>166</v>
      </c>
      <c r="C348" t="s">
        <v>306</v>
      </c>
      <c r="D348" t="s">
        <v>285</v>
      </c>
      <c r="E348">
        <v>8696.6575810802206</v>
      </c>
      <c r="F348">
        <v>3.1186474306549661</v>
      </c>
      <c r="G348">
        <v>27121.808820521863</v>
      </c>
      <c r="H348">
        <v>27.121808820521863</v>
      </c>
      <c r="I348">
        <v>542436.17641043721</v>
      </c>
      <c r="J348">
        <v>542.43617641043716</v>
      </c>
      <c r="K348">
        <v>20</v>
      </c>
    </row>
    <row r="349" spans="1:11" x14ac:dyDescent="0.25">
      <c r="A349" t="s">
        <v>305</v>
      </c>
      <c r="B349" t="s">
        <v>164</v>
      </c>
      <c r="C349" t="s">
        <v>306</v>
      </c>
      <c r="D349" t="s">
        <v>281</v>
      </c>
      <c r="E349">
        <v>93.512447108389495</v>
      </c>
      <c r="F349">
        <v>0.80359762501548704</v>
      </c>
      <c r="G349">
        <v>75.146380405688149</v>
      </c>
      <c r="H349">
        <v>7.5146380405688148E-2</v>
      </c>
      <c r="I349">
        <v>1502.927608113763</v>
      </c>
      <c r="J349">
        <v>1.502927608113763</v>
      </c>
      <c r="K349">
        <v>20</v>
      </c>
    </row>
    <row r="350" spans="1:11" x14ac:dyDescent="0.25">
      <c r="A350" t="s">
        <v>305</v>
      </c>
      <c r="B350" t="s">
        <v>163</v>
      </c>
      <c r="C350" t="s">
        <v>306</v>
      </c>
      <c r="D350" t="s">
        <v>281</v>
      </c>
      <c r="E350">
        <v>12904.717700957801</v>
      </c>
      <c r="F350">
        <v>1.1050492155650935</v>
      </c>
      <c r="G350">
        <v>14260.348172532395</v>
      </c>
      <c r="H350">
        <v>14.260348172532394</v>
      </c>
      <c r="I350">
        <v>285206.96345064789</v>
      </c>
      <c r="J350">
        <v>285.20696345064789</v>
      </c>
      <c r="K350">
        <v>20</v>
      </c>
    </row>
    <row r="351" spans="1:11" x14ac:dyDescent="0.25">
      <c r="A351" t="s">
        <v>305</v>
      </c>
      <c r="B351" t="s">
        <v>181</v>
      </c>
      <c r="C351" t="s">
        <v>306</v>
      </c>
      <c r="D351" t="s">
        <v>284</v>
      </c>
      <c r="E351">
        <v>93.512447108389495</v>
      </c>
      <c r="F351">
        <v>8.5782192137754993</v>
      </c>
      <c r="G351">
        <v>802.17027051235186</v>
      </c>
      <c r="H351">
        <v>0.8021702705123519</v>
      </c>
      <c r="I351">
        <v>16043.405410247036</v>
      </c>
      <c r="J351">
        <v>16.043405410247036</v>
      </c>
      <c r="K351">
        <v>20</v>
      </c>
    </row>
    <row r="352" spans="1:11" x14ac:dyDescent="0.25">
      <c r="A352" t="s">
        <v>305</v>
      </c>
      <c r="B352" t="s">
        <v>165</v>
      </c>
      <c r="C352" t="s">
        <v>306</v>
      </c>
      <c r="D352" t="s">
        <v>282</v>
      </c>
      <c r="E352">
        <v>40.076763046452598</v>
      </c>
      <c r="F352">
        <v>0.71838104484645504</v>
      </c>
      <c r="G352">
        <v>28.790386911374416</v>
      </c>
      <c r="H352">
        <v>2.8790386911374415E-2</v>
      </c>
      <c r="I352">
        <v>575.80773822748836</v>
      </c>
      <c r="J352">
        <v>0.57580773822748832</v>
      </c>
      <c r="K352">
        <v>20</v>
      </c>
    </row>
    <row r="353" spans="1:11" x14ac:dyDescent="0.25">
      <c r="A353" t="s">
        <v>305</v>
      </c>
      <c r="B353" t="s">
        <v>178</v>
      </c>
      <c r="C353" t="s">
        <v>306</v>
      </c>
      <c r="D353" t="s">
        <v>282</v>
      </c>
      <c r="E353">
        <v>240.46057827871601</v>
      </c>
      <c r="F353">
        <v>6.1237248013964916</v>
      </c>
      <c r="G353">
        <v>1472.5144069635157</v>
      </c>
      <c r="H353">
        <v>1.4725144069635157</v>
      </c>
      <c r="I353">
        <v>29450.288139270313</v>
      </c>
      <c r="J353">
        <v>29.450288139270313</v>
      </c>
      <c r="K353">
        <v>20</v>
      </c>
    </row>
    <row r="354" spans="1:11" x14ac:dyDescent="0.25">
      <c r="A354" t="s">
        <v>305</v>
      </c>
      <c r="B354" t="s">
        <v>196</v>
      </c>
      <c r="C354" t="s">
        <v>306</v>
      </c>
      <c r="D354" t="s">
        <v>197</v>
      </c>
      <c r="E354">
        <v>45306.780624014697</v>
      </c>
      <c r="F354">
        <v>9.6096684775880958E-2</v>
      </c>
      <c r="G354">
        <v>4353.8314158359317</v>
      </c>
      <c r="H354">
        <v>4.3538314158359315</v>
      </c>
      <c r="I354">
        <v>87076.628316718634</v>
      </c>
      <c r="J354">
        <v>87.07662831671864</v>
      </c>
      <c r="K354">
        <v>20</v>
      </c>
    </row>
    <row r="355" spans="1:11" x14ac:dyDescent="0.25">
      <c r="A355" t="s">
        <v>305</v>
      </c>
      <c r="B355" t="s">
        <v>198</v>
      </c>
      <c r="C355" t="s">
        <v>306</v>
      </c>
      <c r="D355" s="28" t="s">
        <v>290</v>
      </c>
      <c r="E355">
        <v>8345.9859044237601</v>
      </c>
      <c r="F355">
        <v>0.37265573977304622</v>
      </c>
      <c r="G355">
        <v>3110.1795513484526</v>
      </c>
      <c r="H355">
        <v>3.1101795513484527</v>
      </c>
      <c r="I355">
        <v>62203.59102696905</v>
      </c>
      <c r="J355">
        <v>62.20359102696905</v>
      </c>
      <c r="K355">
        <v>20</v>
      </c>
    </row>
    <row r="356" spans="1:11" x14ac:dyDescent="0.25">
      <c r="A356" t="s">
        <v>305</v>
      </c>
      <c r="B356" t="s">
        <v>191</v>
      </c>
      <c r="C356" t="s">
        <v>306</v>
      </c>
      <c r="D356" t="s">
        <v>192</v>
      </c>
      <c r="E356">
        <v>2384.5674012639302</v>
      </c>
      <c r="F356">
        <v>1.3116432000000001E-2</v>
      </c>
      <c r="G356">
        <v>31.277016168095056</v>
      </c>
      <c r="H356">
        <v>3.1277016168095056E-2</v>
      </c>
      <c r="I356">
        <v>625.54032336190107</v>
      </c>
      <c r="J356">
        <v>0.62554032336190102</v>
      </c>
      <c r="K356">
        <v>20</v>
      </c>
    </row>
    <row r="357" spans="1:11" x14ac:dyDescent="0.25">
      <c r="A357" t="s">
        <v>305</v>
      </c>
      <c r="B357" t="s">
        <v>193</v>
      </c>
      <c r="C357" t="s">
        <v>306</v>
      </c>
      <c r="D357" t="s">
        <v>192</v>
      </c>
      <c r="E357">
        <v>3576.8511018958998</v>
      </c>
      <c r="F357">
        <v>2.7256591680499995</v>
      </c>
      <c r="G357">
        <v>9749.2769986323019</v>
      </c>
      <c r="H357">
        <v>9.7492769986323022</v>
      </c>
      <c r="I357">
        <v>194985.53997264605</v>
      </c>
      <c r="J357">
        <v>194.98553997264605</v>
      </c>
      <c r="K357">
        <v>20</v>
      </c>
    </row>
    <row r="358" spans="1:11" x14ac:dyDescent="0.25">
      <c r="A358" t="s">
        <v>305</v>
      </c>
      <c r="B358" t="s">
        <v>194</v>
      </c>
      <c r="C358" t="s">
        <v>306</v>
      </c>
      <c r="D358" t="s">
        <v>192</v>
      </c>
      <c r="E358">
        <v>11922.8370063197</v>
      </c>
      <c r="F358">
        <v>2.3766858000000002E-2</v>
      </c>
      <c r="G358">
        <v>283.36837408634545</v>
      </c>
      <c r="H358">
        <v>0.28336837408634546</v>
      </c>
      <c r="I358">
        <v>5667.3674817269093</v>
      </c>
      <c r="J358">
        <v>5.6673674817269095</v>
      </c>
      <c r="K358">
        <v>20</v>
      </c>
    </row>
    <row r="359" spans="1:11" x14ac:dyDescent="0.25">
      <c r="A359" t="s">
        <v>305</v>
      </c>
      <c r="B359" t="s">
        <v>195</v>
      </c>
      <c r="C359" t="s">
        <v>306</v>
      </c>
      <c r="D359" t="s">
        <v>192</v>
      </c>
      <c r="E359">
        <v>172881.136591635</v>
      </c>
      <c r="F359">
        <v>2.09078285E-2</v>
      </c>
      <c r="G359">
        <v>3614.5691547429792</v>
      </c>
      <c r="H359">
        <v>3.6145691547429792</v>
      </c>
      <c r="I359">
        <v>72291.383094859586</v>
      </c>
      <c r="J359">
        <v>72.291383094859583</v>
      </c>
      <c r="K359">
        <v>20</v>
      </c>
    </row>
    <row r="360" spans="1:11" x14ac:dyDescent="0.25">
      <c r="A360" t="s">
        <v>305</v>
      </c>
      <c r="B360" t="s">
        <v>200</v>
      </c>
      <c r="C360" t="s">
        <v>306</v>
      </c>
      <c r="D360" t="s">
        <v>192</v>
      </c>
      <c r="E360">
        <v>1192.2837006319701</v>
      </c>
      <c r="F360">
        <v>9.4910399999999992E-3</v>
      </c>
      <c r="G360">
        <v>11.316012294046052</v>
      </c>
      <c r="H360">
        <v>1.1316012294046052E-2</v>
      </c>
      <c r="I360">
        <v>226.32024588092105</v>
      </c>
      <c r="J360">
        <v>0.22632024588092106</v>
      </c>
      <c r="K360">
        <v>20</v>
      </c>
    </row>
    <row r="361" spans="1:11" x14ac:dyDescent="0.25">
      <c r="A361" t="s">
        <v>305</v>
      </c>
      <c r="B361" t="s">
        <v>201</v>
      </c>
      <c r="C361" t="s">
        <v>306</v>
      </c>
      <c r="D361" t="s">
        <v>192</v>
      </c>
      <c r="E361">
        <v>139497.19297393999</v>
      </c>
      <c r="F361">
        <v>7.0731482849999998E-3</v>
      </c>
      <c r="G361">
        <v>986.68433124593764</v>
      </c>
      <c r="H361">
        <v>0.98668433124593768</v>
      </c>
      <c r="I361">
        <v>19733.686624918751</v>
      </c>
      <c r="J361">
        <v>19.73368662491875</v>
      </c>
      <c r="K361">
        <v>20</v>
      </c>
    </row>
    <row r="362" spans="1:11" x14ac:dyDescent="0.25">
      <c r="A362" t="s">
        <v>305</v>
      </c>
      <c r="B362" t="s">
        <v>202</v>
      </c>
      <c r="C362" t="s">
        <v>306</v>
      </c>
      <c r="D362" t="s">
        <v>192</v>
      </c>
      <c r="E362">
        <v>92998.128649293401</v>
      </c>
      <c r="F362">
        <v>1.4629394999999996E-3</v>
      </c>
      <c r="G362">
        <v>136.05063582713294</v>
      </c>
      <c r="H362">
        <v>0.13605063582713295</v>
      </c>
      <c r="I362">
        <v>2721.0127165426588</v>
      </c>
      <c r="J362">
        <v>2.721012716542659</v>
      </c>
      <c r="K362">
        <v>20</v>
      </c>
    </row>
    <row r="363" spans="1:11" x14ac:dyDescent="0.25">
      <c r="A363" t="s">
        <v>305</v>
      </c>
      <c r="B363" t="s">
        <v>204</v>
      </c>
      <c r="C363" t="s">
        <v>306</v>
      </c>
      <c r="D363" t="s">
        <v>192</v>
      </c>
      <c r="E363">
        <v>3576.8511018958998</v>
      </c>
      <c r="F363">
        <v>3.2072693333333332E-3</v>
      </c>
      <c r="G363">
        <v>11.471924849010261</v>
      </c>
      <c r="H363">
        <v>1.1471924849010261E-2</v>
      </c>
      <c r="I363">
        <v>229.43849698020523</v>
      </c>
      <c r="J363">
        <v>0.22943849698020524</v>
      </c>
      <c r="K363">
        <v>20</v>
      </c>
    </row>
    <row r="364" spans="1:11" x14ac:dyDescent="0.25">
      <c r="A364" t="s">
        <v>305</v>
      </c>
      <c r="B364" t="s">
        <v>205</v>
      </c>
      <c r="C364" t="s">
        <v>306</v>
      </c>
      <c r="D364" t="s">
        <v>192</v>
      </c>
      <c r="E364">
        <v>35768.511018958998</v>
      </c>
      <c r="F364">
        <v>2.3441619999999995E-3</v>
      </c>
      <c r="G364">
        <v>83.847184327224937</v>
      </c>
      <c r="H364">
        <v>8.3847184327224933E-2</v>
      </c>
      <c r="I364">
        <v>1676.9436865444986</v>
      </c>
      <c r="J364">
        <v>1.6769436865444987</v>
      </c>
      <c r="K364">
        <v>20</v>
      </c>
    </row>
    <row r="365" spans="1:11" x14ac:dyDescent="0.25">
      <c r="A365" t="s">
        <v>305</v>
      </c>
      <c r="B365" t="s">
        <v>216</v>
      </c>
      <c r="C365" t="s">
        <v>306</v>
      </c>
      <c r="D365" t="s">
        <v>192</v>
      </c>
      <c r="E365">
        <v>1192.2837006319701</v>
      </c>
      <c r="F365">
        <v>7.1890341600000005E-2</v>
      </c>
      <c r="G365">
        <v>85.713682522544474</v>
      </c>
      <c r="H365">
        <v>8.5713682522544479E-2</v>
      </c>
      <c r="I365">
        <v>1714.2736504508894</v>
      </c>
      <c r="J365">
        <v>1.7142736504508893</v>
      </c>
      <c r="K365">
        <v>20</v>
      </c>
    </row>
    <row r="366" spans="1:11" x14ac:dyDescent="0.25">
      <c r="A366" t="s">
        <v>305</v>
      </c>
      <c r="B366" t="s">
        <v>212</v>
      </c>
      <c r="C366" t="s">
        <v>306</v>
      </c>
      <c r="D366" t="s">
        <v>192</v>
      </c>
      <c r="E366">
        <v>1192.2837006319701</v>
      </c>
      <c r="F366">
        <v>8.9989120000000006E-2</v>
      </c>
      <c r="G366">
        <v>107.29256101021444</v>
      </c>
      <c r="H366">
        <v>0.10729256101021444</v>
      </c>
      <c r="I366">
        <v>2145.8512202042889</v>
      </c>
      <c r="J366">
        <v>2.145851220204289</v>
      </c>
      <c r="K366">
        <v>20</v>
      </c>
    </row>
    <row r="367" spans="1:11" x14ac:dyDescent="0.25">
      <c r="A367" t="s">
        <v>305</v>
      </c>
      <c r="B367" t="s">
        <v>208</v>
      </c>
      <c r="C367" t="s">
        <v>306</v>
      </c>
      <c r="D367" t="s">
        <v>192</v>
      </c>
      <c r="E367">
        <v>1192.2837006319701</v>
      </c>
      <c r="F367">
        <v>1.82552832E-2</v>
      </c>
      <c r="G367">
        <v>21.765476609780631</v>
      </c>
      <c r="H367">
        <v>2.1765476609780631E-2</v>
      </c>
      <c r="I367">
        <v>435.30953219561263</v>
      </c>
      <c r="J367">
        <v>0.43530953219561264</v>
      </c>
      <c r="K367">
        <v>20</v>
      </c>
    </row>
    <row r="368" spans="1:11" x14ac:dyDescent="0.25">
      <c r="A368" t="s">
        <v>305</v>
      </c>
      <c r="B368" t="s">
        <v>209</v>
      </c>
      <c r="C368" t="s">
        <v>306</v>
      </c>
      <c r="D368" t="s">
        <v>192</v>
      </c>
      <c r="E368">
        <v>1192.2837006319701</v>
      </c>
      <c r="F368">
        <v>2.3209986799999999E-2</v>
      </c>
      <c r="G368">
        <v>27.672888953523177</v>
      </c>
      <c r="H368">
        <v>2.7672888953523177E-2</v>
      </c>
      <c r="I368">
        <v>553.45777907046352</v>
      </c>
      <c r="J368">
        <v>0.55345777907046356</v>
      </c>
      <c r="K368">
        <v>20</v>
      </c>
    </row>
    <row r="369" spans="1:11" x14ac:dyDescent="0.25">
      <c r="A369" t="s">
        <v>305</v>
      </c>
      <c r="B369" t="s">
        <v>210</v>
      </c>
      <c r="C369" t="s">
        <v>306</v>
      </c>
      <c r="D369" t="s">
        <v>192</v>
      </c>
      <c r="E369">
        <v>4769.1348025278603</v>
      </c>
      <c r="F369">
        <v>4.0091149999999999E-2</v>
      </c>
      <c r="G369">
        <v>191.20009873836483</v>
      </c>
      <c r="H369">
        <v>0.19120009873836483</v>
      </c>
      <c r="I369">
        <v>3824.0019747672968</v>
      </c>
      <c r="J369">
        <v>3.8240019747672966</v>
      </c>
      <c r="K369">
        <v>20</v>
      </c>
    </row>
    <row r="370" spans="1:11" x14ac:dyDescent="0.25">
      <c r="A370" t="s">
        <v>305</v>
      </c>
      <c r="B370" t="s">
        <v>215</v>
      </c>
      <c r="C370" t="s">
        <v>306</v>
      </c>
      <c r="D370" t="s">
        <v>192</v>
      </c>
      <c r="E370">
        <v>5961.4185031598299</v>
      </c>
      <c r="F370">
        <v>8.1841454406400005E-2</v>
      </c>
      <c r="G370">
        <v>487.89116062382459</v>
      </c>
      <c r="H370">
        <v>0.48789116062382459</v>
      </c>
      <c r="I370">
        <v>9757.8232124764909</v>
      </c>
      <c r="J370">
        <v>9.7578232124764916</v>
      </c>
      <c r="K370">
        <v>20</v>
      </c>
    </row>
    <row r="371" spans="1:11" x14ac:dyDescent="0.25">
      <c r="A371" t="s">
        <v>305</v>
      </c>
      <c r="B371" t="s">
        <v>211</v>
      </c>
      <c r="C371" t="s">
        <v>306</v>
      </c>
      <c r="D371" t="s">
        <v>192</v>
      </c>
      <c r="E371">
        <v>1192.2837006319701</v>
      </c>
      <c r="F371">
        <v>5.5224104416000001E-2</v>
      </c>
      <c r="G371">
        <v>65.842799577194796</v>
      </c>
      <c r="H371">
        <v>6.5842799577194799E-2</v>
      </c>
      <c r="I371">
        <v>1316.8559915438959</v>
      </c>
      <c r="J371">
        <v>1.316855991543896</v>
      </c>
      <c r="K371">
        <v>20</v>
      </c>
    </row>
    <row r="372" spans="1:11" x14ac:dyDescent="0.25">
      <c r="A372" t="s">
        <v>307</v>
      </c>
      <c r="B372" t="s">
        <v>172</v>
      </c>
      <c r="C372" t="s">
        <v>308</v>
      </c>
      <c r="D372" t="s">
        <v>281</v>
      </c>
      <c r="E372">
        <v>1671.5349920624601</v>
      </c>
      <c r="F372">
        <v>1.3017553027401454</v>
      </c>
      <c r="G372">
        <v>2175.9295396330144</v>
      </c>
      <c r="H372">
        <v>2.1759295396330143</v>
      </c>
      <c r="I372">
        <v>43518.590792660289</v>
      </c>
      <c r="J372">
        <v>43.518590792660291</v>
      </c>
      <c r="K372">
        <v>20</v>
      </c>
    </row>
    <row r="373" spans="1:11" x14ac:dyDescent="0.25">
      <c r="A373" t="s">
        <v>307</v>
      </c>
      <c r="B373" t="s">
        <v>157</v>
      </c>
      <c r="C373" t="s">
        <v>308</v>
      </c>
      <c r="D373" t="s">
        <v>282</v>
      </c>
      <c r="E373">
        <v>9.7941503441159892</v>
      </c>
      <c r="F373">
        <v>217.05038760344701</v>
      </c>
      <c r="G373">
        <v>2125.8241284368091</v>
      </c>
      <c r="H373">
        <v>2.1258241284368093</v>
      </c>
      <c r="I373">
        <v>42516.482568736181</v>
      </c>
      <c r="J373">
        <v>42.51648256873618</v>
      </c>
      <c r="K373">
        <v>20</v>
      </c>
    </row>
    <row r="374" spans="1:11" x14ac:dyDescent="0.25">
      <c r="A374" t="s">
        <v>307</v>
      </c>
      <c r="B374" t="s">
        <v>171</v>
      </c>
      <c r="C374" t="s">
        <v>308</v>
      </c>
      <c r="D374" t="s">
        <v>282</v>
      </c>
      <c r="E374">
        <v>3.5615092160421802</v>
      </c>
      <c r="F374">
        <v>6.2159994194796022</v>
      </c>
      <c r="G374">
        <v>22.138339219389444</v>
      </c>
      <c r="H374">
        <v>2.2138339219389444E-2</v>
      </c>
      <c r="I374">
        <v>442.7667843877889</v>
      </c>
      <c r="J374">
        <v>0.44276678438778888</v>
      </c>
      <c r="K374">
        <v>20</v>
      </c>
    </row>
    <row r="375" spans="1:11" x14ac:dyDescent="0.25">
      <c r="A375" t="s">
        <v>307</v>
      </c>
      <c r="B375" t="s">
        <v>173</v>
      </c>
      <c r="C375" t="s">
        <v>308</v>
      </c>
      <c r="D375" t="s">
        <v>285</v>
      </c>
      <c r="E375">
        <v>5166.5627027385199</v>
      </c>
      <c r="F375">
        <v>0.84353767636859123</v>
      </c>
      <c r="G375">
        <v>4358.1902970806796</v>
      </c>
      <c r="H375">
        <v>4.3581902970806796</v>
      </c>
      <c r="I375">
        <v>87163.805941613595</v>
      </c>
      <c r="J375">
        <v>87.163805941613589</v>
      </c>
      <c r="K375">
        <v>20</v>
      </c>
    </row>
    <row r="376" spans="1:11" x14ac:dyDescent="0.25">
      <c r="A376" t="s">
        <v>307</v>
      </c>
      <c r="B376" t="s">
        <v>170</v>
      </c>
      <c r="C376" t="s">
        <v>308</v>
      </c>
      <c r="D376" t="s">
        <v>283</v>
      </c>
      <c r="E376">
        <v>1823.4927186135999</v>
      </c>
      <c r="F376">
        <v>6.6445159156586655</v>
      </c>
      <c r="G376">
        <v>12116.226390915754</v>
      </c>
      <c r="H376">
        <v>12.116226390915754</v>
      </c>
      <c r="I376">
        <v>242324.52781831508</v>
      </c>
      <c r="J376">
        <v>242.32452781831509</v>
      </c>
      <c r="K376">
        <v>20</v>
      </c>
    </row>
    <row r="377" spans="1:11" x14ac:dyDescent="0.25">
      <c r="A377" t="s">
        <v>307</v>
      </c>
      <c r="B377" t="s">
        <v>179</v>
      </c>
      <c r="C377" t="s">
        <v>308</v>
      </c>
      <c r="D377" t="s">
        <v>283</v>
      </c>
      <c r="E377">
        <v>506.52575517044301</v>
      </c>
      <c r="F377">
        <v>2.1706785426056872</v>
      </c>
      <c r="G377">
        <v>1099.5045880256223</v>
      </c>
      <c r="H377">
        <v>1.0995045880256222</v>
      </c>
      <c r="I377">
        <v>21990.091760512445</v>
      </c>
      <c r="J377">
        <v>21.990091760512446</v>
      </c>
      <c r="K377">
        <v>20</v>
      </c>
    </row>
    <row r="378" spans="1:11" x14ac:dyDescent="0.25">
      <c r="A378" t="s">
        <v>307</v>
      </c>
      <c r="B378" t="s">
        <v>167</v>
      </c>
      <c r="C378" t="s">
        <v>308</v>
      </c>
      <c r="D378" t="s">
        <v>284</v>
      </c>
      <c r="E378">
        <v>1519.5772655113301</v>
      </c>
      <c r="F378">
        <v>3.1694157752296244</v>
      </c>
      <c r="G378">
        <v>4816.1721569919055</v>
      </c>
      <c r="H378">
        <v>4.8161721569919056</v>
      </c>
      <c r="I378">
        <v>96323.443139838113</v>
      </c>
      <c r="J378">
        <v>96.323443139838119</v>
      </c>
      <c r="K378">
        <v>20</v>
      </c>
    </row>
    <row r="379" spans="1:11" x14ac:dyDescent="0.25">
      <c r="A379" t="s">
        <v>307</v>
      </c>
      <c r="B379" t="s">
        <v>166</v>
      </c>
      <c r="C379" t="s">
        <v>308</v>
      </c>
      <c r="D379" t="s">
        <v>285</v>
      </c>
      <c r="E379">
        <v>1899.47158188916</v>
      </c>
      <c r="F379">
        <v>4.2540587993579031</v>
      </c>
      <c r="G379">
        <v>8080.4637970658569</v>
      </c>
      <c r="H379">
        <v>8.0804637970658568</v>
      </c>
      <c r="I379">
        <v>161609.27594131714</v>
      </c>
      <c r="J379">
        <v>161.60927594131715</v>
      </c>
      <c r="K379">
        <v>20</v>
      </c>
    </row>
    <row r="380" spans="1:11" x14ac:dyDescent="0.25">
      <c r="A380" t="s">
        <v>307</v>
      </c>
      <c r="B380" t="s">
        <v>175</v>
      </c>
      <c r="C380" t="s">
        <v>308</v>
      </c>
      <c r="D380" t="s">
        <v>284</v>
      </c>
      <c r="E380">
        <v>50.652575517044298</v>
      </c>
      <c r="F380">
        <v>4.6347638030510696</v>
      </c>
      <c r="G380">
        <v>234.76272353770773</v>
      </c>
      <c r="H380">
        <v>0.23476272353770772</v>
      </c>
      <c r="I380">
        <v>4695.2544707541547</v>
      </c>
      <c r="J380">
        <v>4.695254470754155</v>
      </c>
      <c r="K380">
        <v>20</v>
      </c>
    </row>
    <row r="381" spans="1:11" x14ac:dyDescent="0.25">
      <c r="A381" t="s">
        <v>307</v>
      </c>
      <c r="B381" t="s">
        <v>160</v>
      </c>
      <c r="C381" t="s">
        <v>308</v>
      </c>
      <c r="D381" t="s">
        <v>284</v>
      </c>
      <c r="E381">
        <v>21.708246650161801</v>
      </c>
      <c r="F381">
        <v>14.581366797310999</v>
      </c>
      <c r="G381">
        <v>316.53590693250698</v>
      </c>
      <c r="H381">
        <v>0.31653590693250699</v>
      </c>
      <c r="I381">
        <v>6330.7181386501397</v>
      </c>
      <c r="J381">
        <v>6.3307181386501394</v>
      </c>
      <c r="K381">
        <v>20</v>
      </c>
    </row>
    <row r="382" spans="1:11" x14ac:dyDescent="0.25">
      <c r="A382" t="s">
        <v>307</v>
      </c>
      <c r="B382" t="s">
        <v>163</v>
      </c>
      <c r="C382" t="s">
        <v>308</v>
      </c>
      <c r="D382" t="s">
        <v>281</v>
      </c>
      <c r="E382">
        <v>10.8541233250809</v>
      </c>
      <c r="F382">
        <v>1.86698420889692</v>
      </c>
      <c r="G382">
        <v>20.264476849345773</v>
      </c>
      <c r="H382">
        <v>2.0264476849345771E-2</v>
      </c>
      <c r="I382">
        <v>405.28953698691544</v>
      </c>
      <c r="J382">
        <v>0.40528953698691544</v>
      </c>
      <c r="K382">
        <v>20</v>
      </c>
    </row>
    <row r="383" spans="1:11" x14ac:dyDescent="0.25">
      <c r="A383" t="s">
        <v>307</v>
      </c>
      <c r="B383" t="s">
        <v>161</v>
      </c>
      <c r="C383" t="s">
        <v>308</v>
      </c>
      <c r="D383" t="s">
        <v>284</v>
      </c>
      <c r="E383">
        <v>253.26287758522199</v>
      </c>
      <c r="F383">
        <v>3.8863611201668085</v>
      </c>
      <c r="G383">
        <v>984.27100062877264</v>
      </c>
      <c r="H383">
        <v>0.9842710006287726</v>
      </c>
      <c r="I383">
        <v>19685.420012575454</v>
      </c>
      <c r="J383">
        <v>19.685420012575456</v>
      </c>
      <c r="K383">
        <v>20</v>
      </c>
    </row>
    <row r="384" spans="1:11" x14ac:dyDescent="0.25">
      <c r="A384" t="s">
        <v>307</v>
      </c>
      <c r="B384" t="s">
        <v>181</v>
      </c>
      <c r="C384" t="s">
        <v>308</v>
      </c>
      <c r="D384" t="s">
        <v>284</v>
      </c>
      <c r="E384">
        <v>50.652575517044298</v>
      </c>
      <c r="F384">
        <v>13.289414609426299</v>
      </c>
      <c r="G384">
        <v>673.1430770812774</v>
      </c>
      <c r="H384">
        <v>0.67314307708127741</v>
      </c>
      <c r="I384">
        <v>13462.861541625549</v>
      </c>
      <c r="J384">
        <v>13.462861541625548</v>
      </c>
      <c r="K384">
        <v>20</v>
      </c>
    </row>
    <row r="385" spans="1:11" x14ac:dyDescent="0.25">
      <c r="A385" t="s">
        <v>307</v>
      </c>
      <c r="B385" t="s">
        <v>165</v>
      </c>
      <c r="C385" t="s">
        <v>308</v>
      </c>
      <c r="D385" t="s">
        <v>282</v>
      </c>
      <c r="E385">
        <v>466.72730297848</v>
      </c>
      <c r="F385">
        <v>7.7121148743416601</v>
      </c>
      <c r="G385">
        <v>3599.4545755617023</v>
      </c>
      <c r="H385">
        <v>3.5994545755617025</v>
      </c>
      <c r="I385">
        <v>71989.091511234044</v>
      </c>
      <c r="J385">
        <v>71.989091511234051</v>
      </c>
      <c r="K385">
        <v>20</v>
      </c>
    </row>
    <row r="386" spans="1:11" x14ac:dyDescent="0.25">
      <c r="A386" t="s">
        <v>307</v>
      </c>
      <c r="B386" t="s">
        <v>186</v>
      </c>
      <c r="C386" t="s">
        <v>308</v>
      </c>
      <c r="D386" t="s">
        <v>284</v>
      </c>
      <c r="E386">
        <v>65.124739950485505</v>
      </c>
      <c r="F386">
        <v>51.435577247826991</v>
      </c>
      <c r="G386">
        <v>3349.7285924678417</v>
      </c>
      <c r="H386">
        <v>3.3497285924678417</v>
      </c>
      <c r="I386">
        <v>66994.571849356842</v>
      </c>
      <c r="J386">
        <v>66.994571849356845</v>
      </c>
      <c r="K386">
        <v>20</v>
      </c>
    </row>
    <row r="387" spans="1:11" x14ac:dyDescent="0.25">
      <c r="A387" t="s">
        <v>307</v>
      </c>
      <c r="B387" t="s">
        <v>196</v>
      </c>
      <c r="C387" t="s">
        <v>308</v>
      </c>
      <c r="D387" t="s">
        <v>197</v>
      </c>
      <c r="E387">
        <v>17285.191395191399</v>
      </c>
      <c r="F387">
        <v>0.11566934246944097</v>
      </c>
      <c r="G387">
        <v>1999.366723140228</v>
      </c>
      <c r="H387">
        <v>1.9993667231402281</v>
      </c>
      <c r="I387">
        <v>39987.33446280456</v>
      </c>
      <c r="J387">
        <v>39.987334462804561</v>
      </c>
      <c r="K387">
        <v>20</v>
      </c>
    </row>
    <row r="388" spans="1:11" x14ac:dyDescent="0.25">
      <c r="A388" t="s">
        <v>307</v>
      </c>
      <c r="B388" t="s">
        <v>198</v>
      </c>
      <c r="C388" t="s">
        <v>308</v>
      </c>
      <c r="D388" s="28" t="s">
        <v>290</v>
      </c>
      <c r="E388">
        <v>1063.7040858579301</v>
      </c>
      <c r="F388">
        <v>0.22164479582924396</v>
      </c>
      <c r="G388">
        <v>235.76447493271348</v>
      </c>
      <c r="H388">
        <v>0.23576447493271349</v>
      </c>
      <c r="I388">
        <v>4715.2894986542697</v>
      </c>
      <c r="J388">
        <v>4.7152894986542693</v>
      </c>
      <c r="K388">
        <v>20</v>
      </c>
    </row>
    <row r="389" spans="1:11" x14ac:dyDescent="0.25">
      <c r="A389" t="s">
        <v>307</v>
      </c>
      <c r="B389" t="s">
        <v>191</v>
      </c>
      <c r="C389" t="s">
        <v>308</v>
      </c>
      <c r="D389" t="s">
        <v>192</v>
      </c>
      <c r="E389">
        <v>2393.3341931803402</v>
      </c>
      <c r="F389">
        <v>1.5893984E-2</v>
      </c>
      <c r="G389">
        <v>38.039615373061238</v>
      </c>
      <c r="H389">
        <v>3.803961537306124E-2</v>
      </c>
      <c r="I389">
        <v>760.79230746122471</v>
      </c>
      <c r="J389">
        <v>0.76079230746122473</v>
      </c>
      <c r="K389">
        <v>20</v>
      </c>
    </row>
    <row r="390" spans="1:11" x14ac:dyDescent="0.25">
      <c r="A390" t="s">
        <v>307</v>
      </c>
      <c r="B390" t="s">
        <v>193</v>
      </c>
      <c r="C390" t="s">
        <v>308</v>
      </c>
      <c r="D390" t="s">
        <v>192</v>
      </c>
      <c r="E390">
        <v>265.92602146448297</v>
      </c>
      <c r="F390">
        <v>3.6201432684300001</v>
      </c>
      <c r="G390">
        <v>962.69029650501977</v>
      </c>
      <c r="H390">
        <v>0.9626902965050198</v>
      </c>
      <c r="I390">
        <v>19253.805930100396</v>
      </c>
      <c r="J390">
        <v>19.253805930100395</v>
      </c>
      <c r="K390">
        <v>20</v>
      </c>
    </row>
    <row r="391" spans="1:11" x14ac:dyDescent="0.25">
      <c r="A391" t="s">
        <v>307</v>
      </c>
      <c r="B391" t="s">
        <v>194</v>
      </c>
      <c r="C391" t="s">
        <v>308</v>
      </c>
      <c r="D391" t="s">
        <v>192</v>
      </c>
      <c r="E391">
        <v>2127.4081717158601</v>
      </c>
      <c r="F391">
        <v>2.8302884999999996E-2</v>
      </c>
      <c r="G391">
        <v>60.211788832134232</v>
      </c>
      <c r="H391">
        <v>6.0211788832134232E-2</v>
      </c>
      <c r="I391">
        <v>1204.2357766426846</v>
      </c>
      <c r="J391">
        <v>1.2042357766426846</v>
      </c>
      <c r="K391">
        <v>20</v>
      </c>
    </row>
    <row r="392" spans="1:11" x14ac:dyDescent="0.25">
      <c r="A392" t="s">
        <v>307</v>
      </c>
      <c r="B392" t="s">
        <v>195</v>
      </c>
      <c r="C392" t="s">
        <v>308</v>
      </c>
      <c r="D392" t="s">
        <v>192</v>
      </c>
      <c r="E392">
        <v>32974.8266615959</v>
      </c>
      <c r="F392">
        <v>1.7623713899999997E-2</v>
      </c>
      <c r="G392">
        <v>581.13891098605814</v>
      </c>
      <c r="H392">
        <v>0.58113891098605819</v>
      </c>
      <c r="I392">
        <v>11622.778219721164</v>
      </c>
      <c r="J392">
        <v>11.622778219721164</v>
      </c>
      <c r="K392">
        <v>20</v>
      </c>
    </row>
    <row r="393" spans="1:11" x14ac:dyDescent="0.25">
      <c r="A393" t="s">
        <v>307</v>
      </c>
      <c r="B393" t="s">
        <v>200</v>
      </c>
      <c r="C393" t="s">
        <v>308</v>
      </c>
      <c r="D393" t="s">
        <v>192</v>
      </c>
      <c r="E393">
        <v>4520.7423648962103</v>
      </c>
      <c r="F393">
        <v>2.4267081176470584E-2</v>
      </c>
      <c r="G393">
        <v>109.70522194684594</v>
      </c>
      <c r="H393">
        <v>0.10970522194684594</v>
      </c>
      <c r="I393">
        <v>2194.104438936919</v>
      </c>
      <c r="J393">
        <v>2.1941044389369191</v>
      </c>
      <c r="K393">
        <v>20</v>
      </c>
    </row>
    <row r="394" spans="1:11" x14ac:dyDescent="0.25">
      <c r="A394" t="s">
        <v>307</v>
      </c>
      <c r="B394" t="s">
        <v>201</v>
      </c>
      <c r="C394" t="s">
        <v>308</v>
      </c>
      <c r="D394" t="s">
        <v>192</v>
      </c>
      <c r="E394">
        <v>17285.191395191399</v>
      </c>
      <c r="F394">
        <v>7.5009103417500011E-3</v>
      </c>
      <c r="G394">
        <v>129.6546708953193</v>
      </c>
      <c r="H394">
        <v>0.12965467089531929</v>
      </c>
      <c r="I394">
        <v>2593.0934179063861</v>
      </c>
      <c r="J394">
        <v>2.593093417906386</v>
      </c>
      <c r="K394">
        <v>20</v>
      </c>
    </row>
    <row r="395" spans="1:11" x14ac:dyDescent="0.25">
      <c r="A395" t="s">
        <v>307</v>
      </c>
      <c r="B395" t="s">
        <v>202</v>
      </c>
      <c r="C395" t="s">
        <v>308</v>
      </c>
      <c r="D395" t="s">
        <v>192</v>
      </c>
      <c r="E395">
        <v>5318.5204292896497</v>
      </c>
      <c r="F395">
        <v>1.6037423000000001E-3</v>
      </c>
      <c r="G395">
        <v>8.52953618586597</v>
      </c>
      <c r="H395">
        <v>8.5295361858659692E-3</v>
      </c>
      <c r="I395">
        <v>170.59072371731941</v>
      </c>
      <c r="J395">
        <v>0.1705907237173194</v>
      </c>
      <c r="K395">
        <v>20</v>
      </c>
    </row>
    <row r="396" spans="1:11" x14ac:dyDescent="0.25">
      <c r="A396" t="s">
        <v>307</v>
      </c>
      <c r="B396" t="s">
        <v>204</v>
      </c>
      <c r="C396" t="s">
        <v>308</v>
      </c>
      <c r="D396" t="s">
        <v>192</v>
      </c>
      <c r="E396">
        <v>16753.339352262399</v>
      </c>
      <c r="F396">
        <v>4.0076257999999993E-3</v>
      </c>
      <c r="G396">
        <v>67.141115024282072</v>
      </c>
      <c r="H396">
        <v>6.7141115024282078E-2</v>
      </c>
      <c r="I396">
        <v>1342.8223004856413</v>
      </c>
      <c r="J396">
        <v>1.3428223004856414</v>
      </c>
      <c r="K396">
        <v>20</v>
      </c>
    </row>
    <row r="397" spans="1:11" x14ac:dyDescent="0.25">
      <c r="A397" t="s">
        <v>307</v>
      </c>
      <c r="B397" t="s">
        <v>205</v>
      </c>
      <c r="C397" t="s">
        <v>308</v>
      </c>
      <c r="D397" t="s">
        <v>192</v>
      </c>
      <c r="E397">
        <v>1063.7040858579301</v>
      </c>
      <c r="F397">
        <v>2.420532E-3</v>
      </c>
      <c r="G397">
        <v>2.5747297783498673</v>
      </c>
      <c r="H397">
        <v>2.5747297783498672E-3</v>
      </c>
      <c r="I397">
        <v>51.494595566997347</v>
      </c>
      <c r="J397">
        <v>5.1494595566997349E-2</v>
      </c>
      <c r="K397">
        <v>20</v>
      </c>
    </row>
    <row r="398" spans="1:11" x14ac:dyDescent="0.25">
      <c r="A398" t="s">
        <v>307</v>
      </c>
      <c r="B398" t="s">
        <v>212</v>
      </c>
      <c r="C398" t="s">
        <v>308</v>
      </c>
      <c r="D398" t="s">
        <v>192</v>
      </c>
      <c r="E398">
        <v>265.92602146448297</v>
      </c>
      <c r="F398">
        <v>0.55742968000000004</v>
      </c>
      <c r="G398">
        <v>148.23505704861989</v>
      </c>
      <c r="H398">
        <v>0.14823505704861989</v>
      </c>
      <c r="I398">
        <v>2964.7011409723978</v>
      </c>
      <c r="J398">
        <v>2.9647011409723976</v>
      </c>
      <c r="K398">
        <v>20</v>
      </c>
    </row>
    <row r="399" spans="1:11" x14ac:dyDescent="0.25">
      <c r="A399" t="s">
        <v>307</v>
      </c>
      <c r="B399" t="s">
        <v>207</v>
      </c>
      <c r="C399" t="s">
        <v>308</v>
      </c>
      <c r="D399" t="s">
        <v>192</v>
      </c>
      <c r="E399">
        <v>15955.561287869001</v>
      </c>
      <c r="F399">
        <v>2.3151590999999992E-2</v>
      </c>
      <c r="G399">
        <v>369.39662911217624</v>
      </c>
      <c r="H399">
        <v>0.36939662911217624</v>
      </c>
      <c r="I399">
        <v>7387.9325822435248</v>
      </c>
      <c r="J399">
        <v>7.3879325822435247</v>
      </c>
      <c r="K399">
        <v>20</v>
      </c>
    </row>
    <row r="400" spans="1:11" x14ac:dyDescent="0.25">
      <c r="A400" t="s">
        <v>307</v>
      </c>
      <c r="B400" t="s">
        <v>209</v>
      </c>
      <c r="C400" t="s">
        <v>308</v>
      </c>
      <c r="D400" t="s">
        <v>192</v>
      </c>
      <c r="E400">
        <v>5850.3724722186198</v>
      </c>
      <c r="F400">
        <v>4.5686628680000008E-2</v>
      </c>
      <c r="G400">
        <v>267.28379477794573</v>
      </c>
      <c r="H400">
        <v>0.26728379477794573</v>
      </c>
      <c r="I400">
        <v>5345.6758955589148</v>
      </c>
      <c r="J400">
        <v>5.345675895558915</v>
      </c>
      <c r="K400">
        <v>20</v>
      </c>
    </row>
    <row r="401" spans="1:11" x14ac:dyDescent="0.25">
      <c r="A401" t="s">
        <v>307</v>
      </c>
      <c r="B401" t="s">
        <v>213</v>
      </c>
      <c r="C401" t="s">
        <v>308</v>
      </c>
      <c r="D401" t="s">
        <v>192</v>
      </c>
      <c r="E401">
        <v>2659.2602146448298</v>
      </c>
      <c r="F401">
        <v>4.7906963720000001E-2</v>
      </c>
      <c r="G401">
        <v>127.39708262502928</v>
      </c>
      <c r="H401">
        <v>0.12739708262502927</v>
      </c>
      <c r="I401">
        <v>2547.9416525005859</v>
      </c>
      <c r="J401">
        <v>2.5479416525005858</v>
      </c>
      <c r="K401">
        <v>20</v>
      </c>
    </row>
    <row r="402" spans="1:11" x14ac:dyDescent="0.25">
      <c r="A402" t="s">
        <v>307</v>
      </c>
      <c r="B402" t="s">
        <v>210</v>
      </c>
      <c r="C402" t="s">
        <v>308</v>
      </c>
      <c r="D402" t="s">
        <v>192</v>
      </c>
      <c r="E402">
        <v>1595.5561287869</v>
      </c>
      <c r="F402">
        <v>3.5260294999999997E-2</v>
      </c>
      <c r="G402">
        <v>56.259779790084082</v>
      </c>
      <c r="H402">
        <v>5.6259779790084084E-2</v>
      </c>
      <c r="I402">
        <v>1125.1955958016815</v>
      </c>
      <c r="J402">
        <v>1.1251955958016815</v>
      </c>
      <c r="K402">
        <v>20</v>
      </c>
    </row>
    <row r="403" spans="1:11" x14ac:dyDescent="0.25">
      <c r="A403" t="s">
        <v>307</v>
      </c>
      <c r="B403" t="s">
        <v>211</v>
      </c>
      <c r="C403" t="s">
        <v>308</v>
      </c>
      <c r="D403" t="s">
        <v>192</v>
      </c>
      <c r="E403">
        <v>531.85204292896503</v>
      </c>
      <c r="F403">
        <v>7.5452396291999999E-2</v>
      </c>
      <c r="G403">
        <v>40.129511111786066</v>
      </c>
      <c r="H403">
        <v>4.0129511111786066E-2</v>
      </c>
      <c r="I403">
        <v>802.59022223572128</v>
      </c>
      <c r="J403">
        <v>0.8025902222357213</v>
      </c>
      <c r="K403">
        <v>20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pivot sum</vt:lpstr>
      <vt:lpstr>zoocnt</vt:lpstr>
      <vt:lpstr>zoocnt rot work</vt:lpstr>
      <vt:lpstr>zoocnt zoo work</vt:lpstr>
      <vt:lpstr>zoosam</vt:lpstr>
      <vt:lpstr>NS sample</vt:lpstr>
      <vt:lpstr>NS count</vt:lpstr>
      <vt:lpstr>OS sample</vt:lpstr>
      <vt:lpstr>OS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2025-11-17T16:55:09Z</dcterms:created>
  <dcterms:modified xsi:type="dcterms:W3CDTF">2026-10-05T13:46:45Z</dcterms:modified>
</cp:coreProperties>
</file>